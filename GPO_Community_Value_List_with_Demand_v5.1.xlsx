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89e0d9d9ffb367/Documents/GitHub/Community-value-list/"/>
    </mc:Choice>
  </mc:AlternateContent>
  <xr:revisionPtr revIDLastSave="0" documentId="11_DFF563CAECFE4632EE0FAD00FD796C93C092A528" xr6:coauthVersionLast="47" xr6:coauthVersionMax="47" xr10:uidLastSave="{00000000-0000-0000-0000-000000000000}"/>
  <bookViews>
    <workbookView minimized="1" xWindow="1848" yWindow="1848" windowWidth="17280" windowHeight="9960" xr2:uid="{00000000-000D-0000-FFFF-FFFF00000000}"/>
  </bookViews>
  <sheets>
    <sheet name="README" sheetId="1" r:id="rId1"/>
    <sheet name="Test for bot" sheetId="2" r:id="rId2"/>
    <sheet name="Settings" sheetId="3" r:id="rId3"/>
    <sheet name="Lists" sheetId="4" r:id="rId4"/>
    <sheet name="Items" sheetId="5" r:id="rId5"/>
    <sheet name="Trade_Repo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02" i="6" l="1"/>
  <c r="Z502" i="6" s="1"/>
  <c r="V502" i="6"/>
  <c r="U502" i="6"/>
  <c r="X502" i="6" s="1"/>
  <c r="T502" i="6"/>
  <c r="S502" i="6"/>
  <c r="Q502" i="6"/>
  <c r="R502" i="6" s="1"/>
  <c r="O502" i="6"/>
  <c r="A502" i="6"/>
  <c r="Y501" i="6"/>
  <c r="Z501" i="6" s="1"/>
  <c r="V501" i="6"/>
  <c r="U501" i="6"/>
  <c r="X501" i="6" s="1"/>
  <c r="T501" i="6"/>
  <c r="S501" i="6"/>
  <c r="Q501" i="6"/>
  <c r="R501" i="6" s="1"/>
  <c r="O501" i="6"/>
  <c r="A501" i="6"/>
  <c r="Y500" i="6"/>
  <c r="Z500" i="6" s="1"/>
  <c r="X500" i="6"/>
  <c r="W500" i="6"/>
  <c r="V500" i="6"/>
  <c r="U500" i="6"/>
  <c r="T500" i="6"/>
  <c r="S500" i="6"/>
  <c r="Q500" i="6"/>
  <c r="R500" i="6" s="1"/>
  <c r="O500" i="6"/>
  <c r="A500" i="6"/>
  <c r="Y499" i="6"/>
  <c r="Z499" i="6" s="1"/>
  <c r="X499" i="6"/>
  <c r="V499" i="6"/>
  <c r="U499" i="6"/>
  <c r="W499" i="6" s="1"/>
  <c r="T499" i="6"/>
  <c r="S499" i="6"/>
  <c r="Q499" i="6"/>
  <c r="R499" i="6" s="1"/>
  <c r="O499" i="6"/>
  <c r="A499" i="6"/>
  <c r="Y498" i="6"/>
  <c r="Z498" i="6" s="1"/>
  <c r="V498" i="6"/>
  <c r="U498" i="6"/>
  <c r="X498" i="6" s="1"/>
  <c r="T498" i="6"/>
  <c r="S498" i="6"/>
  <c r="Q498" i="6"/>
  <c r="R498" i="6" s="1"/>
  <c r="O498" i="6"/>
  <c r="A498" i="6"/>
  <c r="Y497" i="6"/>
  <c r="Z497" i="6" s="1"/>
  <c r="V497" i="6"/>
  <c r="U497" i="6"/>
  <c r="X497" i="6" s="1"/>
  <c r="T497" i="6"/>
  <c r="S497" i="6"/>
  <c r="Q497" i="6"/>
  <c r="R497" i="6" s="1"/>
  <c r="O497" i="6"/>
  <c r="A497" i="6"/>
  <c r="Y496" i="6"/>
  <c r="Z496" i="6" s="1"/>
  <c r="V496" i="6"/>
  <c r="U496" i="6"/>
  <c r="T496" i="6"/>
  <c r="S496" i="6"/>
  <c r="Q496" i="6"/>
  <c r="R496" i="6" s="1"/>
  <c r="O496" i="6"/>
  <c r="A496" i="6"/>
  <c r="Y495" i="6"/>
  <c r="Z495" i="6" s="1"/>
  <c r="V495" i="6"/>
  <c r="U495" i="6"/>
  <c r="X495" i="6" s="1"/>
  <c r="T495" i="6"/>
  <c r="S495" i="6"/>
  <c r="Q495" i="6"/>
  <c r="R495" i="6" s="1"/>
  <c r="O495" i="6"/>
  <c r="A495" i="6"/>
  <c r="Y494" i="6"/>
  <c r="Z494" i="6" s="1"/>
  <c r="X494" i="6"/>
  <c r="V494" i="6"/>
  <c r="U494" i="6"/>
  <c r="W494" i="6" s="1"/>
  <c r="T494" i="6"/>
  <c r="S494" i="6"/>
  <c r="R494" i="6"/>
  <c r="Q494" i="6"/>
  <c r="O494" i="6"/>
  <c r="A494" i="6"/>
  <c r="Y493" i="6"/>
  <c r="Z493" i="6" s="1"/>
  <c r="V493" i="6"/>
  <c r="U493" i="6"/>
  <c r="X493" i="6" s="1"/>
  <c r="T493" i="6"/>
  <c r="S493" i="6"/>
  <c r="Q493" i="6"/>
  <c r="R493" i="6" s="1"/>
  <c r="O493" i="6"/>
  <c r="A493" i="6"/>
  <c r="Y492" i="6"/>
  <c r="Z492" i="6" s="1"/>
  <c r="X492" i="6"/>
  <c r="W492" i="6"/>
  <c r="V492" i="6"/>
  <c r="U492" i="6"/>
  <c r="T492" i="6"/>
  <c r="S492" i="6"/>
  <c r="Q492" i="6"/>
  <c r="R492" i="6" s="1"/>
  <c r="O492" i="6"/>
  <c r="A492" i="6"/>
  <c r="Y491" i="6"/>
  <c r="Z491" i="6" s="1"/>
  <c r="V491" i="6"/>
  <c r="U491" i="6"/>
  <c r="T491" i="6"/>
  <c r="S491" i="6"/>
  <c r="Q491" i="6"/>
  <c r="R491" i="6" s="1"/>
  <c r="O491" i="6"/>
  <c r="A491" i="6"/>
  <c r="Y490" i="6"/>
  <c r="Z490" i="6" s="1"/>
  <c r="W490" i="6"/>
  <c r="V490" i="6"/>
  <c r="U490" i="6"/>
  <c r="X490" i="6" s="1"/>
  <c r="T490" i="6"/>
  <c r="S490" i="6"/>
  <c r="Q490" i="6"/>
  <c r="R490" i="6" s="1"/>
  <c r="O490" i="6"/>
  <c r="A490" i="6"/>
  <c r="Y489" i="6"/>
  <c r="Z489" i="6" s="1"/>
  <c r="X489" i="6"/>
  <c r="V489" i="6"/>
  <c r="U489" i="6"/>
  <c r="W489" i="6" s="1"/>
  <c r="T489" i="6"/>
  <c r="S489" i="6"/>
  <c r="Q489" i="6"/>
  <c r="R489" i="6" s="1"/>
  <c r="O489" i="6"/>
  <c r="A489" i="6"/>
  <c r="Y488" i="6"/>
  <c r="Z488" i="6" s="1"/>
  <c r="V488" i="6"/>
  <c r="U488" i="6"/>
  <c r="X488" i="6" s="1"/>
  <c r="T488" i="6"/>
  <c r="S488" i="6"/>
  <c r="Q488" i="6"/>
  <c r="R488" i="6" s="1"/>
  <c r="O488" i="6"/>
  <c r="A488" i="6"/>
  <c r="Y487" i="6"/>
  <c r="Z487" i="6" s="1"/>
  <c r="V487" i="6"/>
  <c r="U487" i="6"/>
  <c r="X487" i="6" s="1"/>
  <c r="T487" i="6"/>
  <c r="S487" i="6"/>
  <c r="Q487" i="6"/>
  <c r="R487" i="6" s="1"/>
  <c r="O487" i="6"/>
  <c r="A487" i="6"/>
  <c r="Y486" i="6"/>
  <c r="Z486" i="6" s="1"/>
  <c r="V486" i="6"/>
  <c r="U486" i="6"/>
  <c r="T486" i="6"/>
  <c r="S486" i="6"/>
  <c r="Q486" i="6"/>
  <c r="R486" i="6" s="1"/>
  <c r="O486" i="6"/>
  <c r="A486" i="6"/>
  <c r="Y485" i="6"/>
  <c r="Z485" i="6" s="1"/>
  <c r="X485" i="6"/>
  <c r="V485" i="6"/>
  <c r="U485" i="6"/>
  <c r="W485" i="6" s="1"/>
  <c r="T485" i="6"/>
  <c r="S485" i="6"/>
  <c r="Q485" i="6"/>
  <c r="R485" i="6" s="1"/>
  <c r="O485" i="6"/>
  <c r="A485" i="6"/>
  <c r="Y484" i="6"/>
  <c r="Z484" i="6" s="1"/>
  <c r="X484" i="6"/>
  <c r="V484" i="6"/>
  <c r="U484" i="6"/>
  <c r="W484" i="6" s="1"/>
  <c r="T484" i="6"/>
  <c r="S484" i="6"/>
  <c r="R484" i="6"/>
  <c r="Q484" i="6"/>
  <c r="O484" i="6"/>
  <c r="A484" i="6"/>
  <c r="Y483" i="6"/>
  <c r="Z483" i="6" s="1"/>
  <c r="V483" i="6"/>
  <c r="U483" i="6"/>
  <c r="X483" i="6" s="1"/>
  <c r="T483" i="6"/>
  <c r="S483" i="6"/>
  <c r="Q483" i="6"/>
  <c r="R483" i="6" s="1"/>
  <c r="O483" i="6"/>
  <c r="A483" i="6"/>
  <c r="Y482" i="6"/>
  <c r="Z482" i="6" s="1"/>
  <c r="W482" i="6"/>
  <c r="V482" i="6"/>
  <c r="U482" i="6"/>
  <c r="X482" i="6" s="1"/>
  <c r="T482" i="6"/>
  <c r="S482" i="6"/>
  <c r="Q482" i="6"/>
  <c r="R482" i="6" s="1"/>
  <c r="O482" i="6"/>
  <c r="A482" i="6"/>
  <c r="Y481" i="6"/>
  <c r="Z481" i="6" s="1"/>
  <c r="V481" i="6"/>
  <c r="U481" i="6"/>
  <c r="T481" i="6"/>
  <c r="S481" i="6"/>
  <c r="Q481" i="6"/>
  <c r="R481" i="6" s="1"/>
  <c r="O481" i="6"/>
  <c r="A481" i="6"/>
  <c r="Y480" i="6"/>
  <c r="Z480" i="6" s="1"/>
  <c r="X480" i="6"/>
  <c r="V480" i="6"/>
  <c r="U480" i="6"/>
  <c r="W480" i="6" s="1"/>
  <c r="T480" i="6"/>
  <c r="S480" i="6"/>
  <c r="Q480" i="6"/>
  <c r="R480" i="6" s="1"/>
  <c r="O480" i="6"/>
  <c r="A480" i="6"/>
  <c r="Y479" i="6"/>
  <c r="Z479" i="6" s="1"/>
  <c r="X479" i="6"/>
  <c r="V479" i="6"/>
  <c r="U479" i="6"/>
  <c r="W479" i="6" s="1"/>
  <c r="T479" i="6"/>
  <c r="S479" i="6"/>
  <c r="Q479" i="6"/>
  <c r="R479" i="6" s="1"/>
  <c r="O479" i="6"/>
  <c r="A479" i="6"/>
  <c r="Y478" i="6"/>
  <c r="Z478" i="6" s="1"/>
  <c r="V478" i="6"/>
  <c r="U478" i="6"/>
  <c r="X478" i="6" s="1"/>
  <c r="T478" i="6"/>
  <c r="S478" i="6"/>
  <c r="Q478" i="6"/>
  <c r="R478" i="6" s="1"/>
  <c r="O478" i="6"/>
  <c r="A478" i="6"/>
  <c r="Y477" i="6"/>
  <c r="Z477" i="6" s="1"/>
  <c r="X477" i="6"/>
  <c r="V477" i="6"/>
  <c r="U477" i="6"/>
  <c r="W477" i="6" s="1"/>
  <c r="T477" i="6"/>
  <c r="S477" i="6"/>
  <c r="Q477" i="6"/>
  <c r="R477" i="6" s="1"/>
  <c r="O477" i="6"/>
  <c r="A477" i="6"/>
  <c r="Y476" i="6"/>
  <c r="Z476" i="6" s="1"/>
  <c r="V476" i="6"/>
  <c r="U476" i="6"/>
  <c r="T476" i="6"/>
  <c r="S476" i="6"/>
  <c r="Q476" i="6"/>
  <c r="R476" i="6" s="1"/>
  <c r="O476" i="6"/>
  <c r="A476" i="6"/>
  <c r="Z475" i="6"/>
  <c r="Y475" i="6"/>
  <c r="X475" i="6"/>
  <c r="W475" i="6"/>
  <c r="V475" i="6"/>
  <c r="U475" i="6"/>
  <c r="T475" i="6"/>
  <c r="S475" i="6"/>
  <c r="Q475" i="6"/>
  <c r="R475" i="6" s="1"/>
  <c r="O475" i="6"/>
  <c r="A475" i="6"/>
  <c r="Y474" i="6"/>
  <c r="Z474" i="6" s="1"/>
  <c r="X474" i="6"/>
  <c r="V474" i="6"/>
  <c r="U474" i="6"/>
  <c r="W474" i="6" s="1"/>
  <c r="T474" i="6"/>
  <c r="S474" i="6"/>
  <c r="Q474" i="6"/>
  <c r="R474" i="6" s="1"/>
  <c r="O474" i="6"/>
  <c r="A474" i="6"/>
  <c r="Y473" i="6"/>
  <c r="Z473" i="6" s="1"/>
  <c r="V473" i="6"/>
  <c r="U473" i="6"/>
  <c r="X473" i="6" s="1"/>
  <c r="T473" i="6"/>
  <c r="S473" i="6"/>
  <c r="Q473" i="6"/>
  <c r="R473" i="6" s="1"/>
  <c r="O473" i="6"/>
  <c r="A473" i="6"/>
  <c r="Y472" i="6"/>
  <c r="Z472" i="6" s="1"/>
  <c r="V472" i="6"/>
  <c r="U472" i="6"/>
  <c r="X472" i="6" s="1"/>
  <c r="T472" i="6"/>
  <c r="S472" i="6"/>
  <c r="Q472" i="6"/>
  <c r="R472" i="6" s="1"/>
  <c r="O472" i="6"/>
  <c r="A472" i="6"/>
  <c r="Y471" i="6"/>
  <c r="Z471" i="6" s="1"/>
  <c r="V471" i="6"/>
  <c r="U471" i="6"/>
  <c r="T471" i="6"/>
  <c r="S471" i="6"/>
  <c r="Q471" i="6"/>
  <c r="R471" i="6" s="1"/>
  <c r="O471" i="6"/>
  <c r="A471" i="6"/>
  <c r="Y470" i="6"/>
  <c r="Z470" i="6" s="1"/>
  <c r="V470" i="6"/>
  <c r="U470" i="6"/>
  <c r="X470" i="6" s="1"/>
  <c r="T470" i="6"/>
  <c r="S470" i="6"/>
  <c r="Q470" i="6"/>
  <c r="R470" i="6" s="1"/>
  <c r="O470" i="6"/>
  <c r="A470" i="6"/>
  <c r="Y469" i="6"/>
  <c r="Z469" i="6" s="1"/>
  <c r="X469" i="6"/>
  <c r="V469" i="6"/>
  <c r="U469" i="6"/>
  <c r="W469" i="6" s="1"/>
  <c r="T469" i="6"/>
  <c r="S469" i="6"/>
  <c r="Q469" i="6"/>
  <c r="R469" i="6" s="1"/>
  <c r="O469" i="6"/>
  <c r="A469" i="6"/>
  <c r="Y468" i="6"/>
  <c r="Z468" i="6" s="1"/>
  <c r="V468" i="6"/>
  <c r="U468" i="6"/>
  <c r="X468" i="6" s="1"/>
  <c r="T468" i="6"/>
  <c r="S468" i="6"/>
  <c r="Q468" i="6"/>
  <c r="R468" i="6" s="1"/>
  <c r="O468" i="6"/>
  <c r="A468" i="6"/>
  <c r="Y467" i="6"/>
  <c r="Z467" i="6" s="1"/>
  <c r="V467" i="6"/>
  <c r="U467" i="6"/>
  <c r="X467" i="6" s="1"/>
  <c r="T467" i="6"/>
  <c r="S467" i="6"/>
  <c r="Q467" i="6"/>
  <c r="R467" i="6" s="1"/>
  <c r="O467" i="6"/>
  <c r="A467" i="6"/>
  <c r="Y466" i="6"/>
  <c r="Z466" i="6" s="1"/>
  <c r="V466" i="6"/>
  <c r="U466" i="6"/>
  <c r="T466" i="6"/>
  <c r="S466" i="6"/>
  <c r="Q466" i="6"/>
  <c r="R466" i="6" s="1"/>
  <c r="O466" i="6"/>
  <c r="A466" i="6"/>
  <c r="Y465" i="6"/>
  <c r="Z465" i="6" s="1"/>
  <c r="W465" i="6"/>
  <c r="V465" i="6"/>
  <c r="U465" i="6"/>
  <c r="X465" i="6" s="1"/>
  <c r="T465" i="6"/>
  <c r="S465" i="6"/>
  <c r="Q465" i="6"/>
  <c r="R465" i="6" s="1"/>
  <c r="O465" i="6"/>
  <c r="A465" i="6"/>
  <c r="Y464" i="6"/>
  <c r="Z464" i="6" s="1"/>
  <c r="X464" i="6"/>
  <c r="V464" i="6"/>
  <c r="U464" i="6"/>
  <c r="W464" i="6" s="1"/>
  <c r="T464" i="6"/>
  <c r="S464" i="6"/>
  <c r="Q464" i="6"/>
  <c r="R464" i="6" s="1"/>
  <c r="O464" i="6"/>
  <c r="A464" i="6"/>
  <c r="Y463" i="6"/>
  <c r="Z463" i="6" s="1"/>
  <c r="V463" i="6"/>
  <c r="U463" i="6"/>
  <c r="X463" i="6" s="1"/>
  <c r="T463" i="6"/>
  <c r="S463" i="6"/>
  <c r="Q463" i="6"/>
  <c r="R463" i="6" s="1"/>
  <c r="O463" i="6"/>
  <c r="A463" i="6"/>
  <c r="Y462" i="6"/>
  <c r="Z462" i="6" s="1"/>
  <c r="V462" i="6"/>
  <c r="U462" i="6"/>
  <c r="X462" i="6" s="1"/>
  <c r="T462" i="6"/>
  <c r="S462" i="6"/>
  <c r="Q462" i="6"/>
  <c r="R462" i="6" s="1"/>
  <c r="O462" i="6"/>
  <c r="A462" i="6"/>
  <c r="Y461" i="6"/>
  <c r="Z461" i="6" s="1"/>
  <c r="V461" i="6"/>
  <c r="U461" i="6"/>
  <c r="T461" i="6"/>
  <c r="S461" i="6"/>
  <c r="Q461" i="6"/>
  <c r="R461" i="6" s="1"/>
  <c r="O461" i="6"/>
  <c r="A461" i="6"/>
  <c r="Y460" i="6"/>
  <c r="Z460" i="6" s="1"/>
  <c r="X460" i="6"/>
  <c r="V460" i="6"/>
  <c r="U460" i="6"/>
  <c r="W460" i="6" s="1"/>
  <c r="T460" i="6"/>
  <c r="S460" i="6"/>
  <c r="Q460" i="6"/>
  <c r="R460" i="6" s="1"/>
  <c r="O460" i="6"/>
  <c r="A460" i="6"/>
  <c r="Y459" i="6"/>
  <c r="Z459" i="6" s="1"/>
  <c r="X459" i="6"/>
  <c r="V459" i="6"/>
  <c r="U459" i="6"/>
  <c r="W459" i="6" s="1"/>
  <c r="T459" i="6"/>
  <c r="S459" i="6"/>
  <c r="Q459" i="6"/>
  <c r="R459" i="6" s="1"/>
  <c r="O459" i="6"/>
  <c r="A459" i="6"/>
  <c r="Y458" i="6"/>
  <c r="Z458" i="6" s="1"/>
  <c r="V458" i="6"/>
  <c r="U458" i="6"/>
  <c r="X458" i="6" s="1"/>
  <c r="T458" i="6"/>
  <c r="S458" i="6"/>
  <c r="Q458" i="6"/>
  <c r="R458" i="6" s="1"/>
  <c r="O458" i="6"/>
  <c r="A458" i="6"/>
  <c r="Y457" i="6"/>
  <c r="Z457" i="6" s="1"/>
  <c r="V457" i="6"/>
  <c r="U457" i="6"/>
  <c r="X457" i="6" s="1"/>
  <c r="T457" i="6"/>
  <c r="S457" i="6"/>
  <c r="Q457" i="6"/>
  <c r="R457" i="6" s="1"/>
  <c r="O457" i="6"/>
  <c r="A457" i="6"/>
  <c r="Y456" i="6"/>
  <c r="Z456" i="6" s="1"/>
  <c r="V456" i="6"/>
  <c r="U456" i="6"/>
  <c r="T456" i="6"/>
  <c r="S456" i="6"/>
  <c r="Q456" i="6"/>
  <c r="R456" i="6" s="1"/>
  <c r="O456" i="6"/>
  <c r="A456" i="6"/>
  <c r="Z455" i="6"/>
  <c r="Y455" i="6"/>
  <c r="V455" i="6"/>
  <c r="U455" i="6"/>
  <c r="X455" i="6" s="1"/>
  <c r="T455" i="6"/>
  <c r="S455" i="6"/>
  <c r="Q455" i="6"/>
  <c r="R455" i="6" s="1"/>
  <c r="O455" i="6"/>
  <c r="A455" i="6"/>
  <c r="Y454" i="6"/>
  <c r="Z454" i="6" s="1"/>
  <c r="X454" i="6"/>
  <c r="V454" i="6"/>
  <c r="U454" i="6"/>
  <c r="W454" i="6" s="1"/>
  <c r="T454" i="6"/>
  <c r="S454" i="6"/>
  <c r="Q454" i="6"/>
  <c r="R454" i="6" s="1"/>
  <c r="O454" i="6"/>
  <c r="A454" i="6"/>
  <c r="Y453" i="6"/>
  <c r="Z453" i="6" s="1"/>
  <c r="V453" i="6"/>
  <c r="U453" i="6"/>
  <c r="X453" i="6" s="1"/>
  <c r="T453" i="6"/>
  <c r="S453" i="6"/>
  <c r="Q453" i="6"/>
  <c r="R453" i="6" s="1"/>
  <c r="O453" i="6"/>
  <c r="A453" i="6"/>
  <c r="Y452" i="6"/>
  <c r="Z452" i="6" s="1"/>
  <c r="V452" i="6"/>
  <c r="U452" i="6"/>
  <c r="X452" i="6" s="1"/>
  <c r="T452" i="6"/>
  <c r="S452" i="6"/>
  <c r="Q452" i="6"/>
  <c r="R452" i="6" s="1"/>
  <c r="O452" i="6"/>
  <c r="A452" i="6"/>
  <c r="Y451" i="6"/>
  <c r="Z451" i="6" s="1"/>
  <c r="V451" i="6"/>
  <c r="U451" i="6"/>
  <c r="T451" i="6"/>
  <c r="S451" i="6"/>
  <c r="Q451" i="6"/>
  <c r="R451" i="6" s="1"/>
  <c r="O451" i="6"/>
  <c r="A451" i="6"/>
  <c r="Z450" i="6"/>
  <c r="Y450" i="6"/>
  <c r="V450" i="6"/>
  <c r="U450" i="6"/>
  <c r="X450" i="6" s="1"/>
  <c r="T450" i="6"/>
  <c r="S450" i="6"/>
  <c r="Q450" i="6"/>
  <c r="R450" i="6" s="1"/>
  <c r="O450" i="6"/>
  <c r="A450" i="6"/>
  <c r="Y449" i="6"/>
  <c r="Z449" i="6" s="1"/>
  <c r="X449" i="6"/>
  <c r="V449" i="6"/>
  <c r="U449" i="6"/>
  <c r="W449" i="6" s="1"/>
  <c r="T449" i="6"/>
  <c r="S449" i="6"/>
  <c r="Q449" i="6"/>
  <c r="R449" i="6" s="1"/>
  <c r="O449" i="6"/>
  <c r="A449" i="6"/>
  <c r="Y448" i="6"/>
  <c r="Z448" i="6" s="1"/>
  <c r="V448" i="6"/>
  <c r="U448" i="6"/>
  <c r="X448" i="6" s="1"/>
  <c r="T448" i="6"/>
  <c r="S448" i="6"/>
  <c r="Q448" i="6"/>
  <c r="R448" i="6" s="1"/>
  <c r="O448" i="6"/>
  <c r="A448" i="6"/>
  <c r="Y447" i="6"/>
  <c r="Z447" i="6" s="1"/>
  <c r="V447" i="6"/>
  <c r="U447" i="6"/>
  <c r="T447" i="6"/>
  <c r="S447" i="6"/>
  <c r="Q447" i="6"/>
  <c r="R447" i="6" s="1"/>
  <c r="O447" i="6"/>
  <c r="A447" i="6"/>
  <c r="Y446" i="6"/>
  <c r="Z446" i="6" s="1"/>
  <c r="V446" i="6"/>
  <c r="U446" i="6"/>
  <c r="T446" i="6"/>
  <c r="S446" i="6"/>
  <c r="Q446" i="6"/>
  <c r="R446" i="6" s="1"/>
  <c r="O446" i="6"/>
  <c r="A446" i="6"/>
  <c r="Y445" i="6"/>
  <c r="Z445" i="6" s="1"/>
  <c r="V445" i="6"/>
  <c r="U445" i="6"/>
  <c r="X445" i="6" s="1"/>
  <c r="T445" i="6"/>
  <c r="S445" i="6"/>
  <c r="Q445" i="6"/>
  <c r="R445" i="6" s="1"/>
  <c r="O445" i="6"/>
  <c r="A445" i="6"/>
  <c r="Y444" i="6"/>
  <c r="Z444" i="6" s="1"/>
  <c r="X444" i="6"/>
  <c r="V444" i="6"/>
  <c r="U444" i="6"/>
  <c r="W444" i="6" s="1"/>
  <c r="T444" i="6"/>
  <c r="S444" i="6"/>
  <c r="Q444" i="6"/>
  <c r="R444" i="6" s="1"/>
  <c r="O444" i="6"/>
  <c r="A444" i="6"/>
  <c r="Y443" i="6"/>
  <c r="Z443" i="6" s="1"/>
  <c r="V443" i="6"/>
  <c r="U443" i="6"/>
  <c r="X443" i="6" s="1"/>
  <c r="T443" i="6"/>
  <c r="S443" i="6"/>
  <c r="Q443" i="6"/>
  <c r="R443" i="6" s="1"/>
  <c r="O443" i="6"/>
  <c r="A443" i="6"/>
  <c r="Y442" i="6"/>
  <c r="Z442" i="6" s="1"/>
  <c r="V442" i="6"/>
  <c r="U442" i="6"/>
  <c r="X442" i="6" s="1"/>
  <c r="T442" i="6"/>
  <c r="S442" i="6"/>
  <c r="Q442" i="6"/>
  <c r="R442" i="6" s="1"/>
  <c r="O442" i="6"/>
  <c r="A442" i="6"/>
  <c r="Y441" i="6"/>
  <c r="Z441" i="6" s="1"/>
  <c r="V441" i="6"/>
  <c r="U441" i="6"/>
  <c r="T441" i="6"/>
  <c r="S441" i="6"/>
  <c r="Q441" i="6"/>
  <c r="R441" i="6" s="1"/>
  <c r="O441" i="6"/>
  <c r="A441" i="6"/>
  <c r="Z440" i="6"/>
  <c r="Y440" i="6"/>
  <c r="V440" i="6"/>
  <c r="U440" i="6"/>
  <c r="X440" i="6" s="1"/>
  <c r="T440" i="6"/>
  <c r="S440" i="6"/>
  <c r="Q440" i="6"/>
  <c r="R440" i="6" s="1"/>
  <c r="O440" i="6"/>
  <c r="A440" i="6"/>
  <c r="Y439" i="6"/>
  <c r="Z439" i="6" s="1"/>
  <c r="X439" i="6"/>
  <c r="V439" i="6"/>
  <c r="U439" i="6"/>
  <c r="W439" i="6" s="1"/>
  <c r="T439" i="6"/>
  <c r="S439" i="6"/>
  <c r="Q439" i="6"/>
  <c r="R439" i="6" s="1"/>
  <c r="O439" i="6"/>
  <c r="A439" i="6"/>
  <c r="Y438" i="6"/>
  <c r="Z438" i="6" s="1"/>
  <c r="V438" i="6"/>
  <c r="U438" i="6"/>
  <c r="X438" i="6" s="1"/>
  <c r="T438" i="6"/>
  <c r="S438" i="6"/>
  <c r="Q438" i="6"/>
  <c r="R438" i="6" s="1"/>
  <c r="O438" i="6"/>
  <c r="A438" i="6"/>
  <c r="Y437" i="6"/>
  <c r="Z437" i="6" s="1"/>
  <c r="W437" i="6"/>
  <c r="V437" i="6"/>
  <c r="U437" i="6"/>
  <c r="X437" i="6" s="1"/>
  <c r="T437" i="6"/>
  <c r="S437" i="6"/>
  <c r="Q437" i="6"/>
  <c r="R437" i="6" s="1"/>
  <c r="O437" i="6"/>
  <c r="A437" i="6"/>
  <c r="Y436" i="6"/>
  <c r="Z436" i="6" s="1"/>
  <c r="V436" i="6"/>
  <c r="U436" i="6"/>
  <c r="T436" i="6"/>
  <c r="S436" i="6"/>
  <c r="Q436" i="6"/>
  <c r="R436" i="6" s="1"/>
  <c r="O436" i="6"/>
  <c r="A436" i="6"/>
  <c r="Y435" i="6"/>
  <c r="Z435" i="6" s="1"/>
  <c r="V435" i="6"/>
  <c r="U435" i="6"/>
  <c r="X435" i="6" s="1"/>
  <c r="T435" i="6"/>
  <c r="S435" i="6"/>
  <c r="Q435" i="6"/>
  <c r="R435" i="6" s="1"/>
  <c r="O435" i="6"/>
  <c r="A435" i="6"/>
  <c r="Y434" i="6"/>
  <c r="Z434" i="6" s="1"/>
  <c r="X434" i="6"/>
  <c r="V434" i="6"/>
  <c r="U434" i="6"/>
  <c r="W434" i="6" s="1"/>
  <c r="T434" i="6"/>
  <c r="S434" i="6"/>
  <c r="Q434" i="6"/>
  <c r="R434" i="6" s="1"/>
  <c r="O434" i="6"/>
  <c r="A434" i="6"/>
  <c r="Y433" i="6"/>
  <c r="Z433" i="6" s="1"/>
  <c r="V433" i="6"/>
  <c r="U433" i="6"/>
  <c r="X433" i="6" s="1"/>
  <c r="T433" i="6"/>
  <c r="S433" i="6"/>
  <c r="Q433" i="6"/>
  <c r="R433" i="6" s="1"/>
  <c r="O433" i="6"/>
  <c r="A433" i="6"/>
  <c r="Y432" i="6"/>
  <c r="Z432" i="6" s="1"/>
  <c r="X432" i="6"/>
  <c r="W432" i="6"/>
  <c r="V432" i="6"/>
  <c r="U432" i="6"/>
  <c r="T432" i="6"/>
  <c r="S432" i="6"/>
  <c r="Q432" i="6"/>
  <c r="R432" i="6" s="1"/>
  <c r="O432" i="6"/>
  <c r="A432" i="6"/>
  <c r="Y431" i="6"/>
  <c r="Z431" i="6" s="1"/>
  <c r="V431" i="6"/>
  <c r="U431" i="6"/>
  <c r="T431" i="6"/>
  <c r="S431" i="6"/>
  <c r="Q431" i="6"/>
  <c r="R431" i="6" s="1"/>
  <c r="O431" i="6"/>
  <c r="A431" i="6"/>
  <c r="Z430" i="6"/>
  <c r="Y430" i="6"/>
  <c r="V430" i="6"/>
  <c r="U430" i="6"/>
  <c r="T430" i="6"/>
  <c r="S430" i="6"/>
  <c r="Q430" i="6"/>
  <c r="R430" i="6" s="1"/>
  <c r="O430" i="6"/>
  <c r="A430" i="6"/>
  <c r="Y429" i="6"/>
  <c r="Z429" i="6" s="1"/>
  <c r="X429" i="6"/>
  <c r="V429" i="6"/>
  <c r="U429" i="6"/>
  <c r="W429" i="6" s="1"/>
  <c r="T429" i="6"/>
  <c r="S429" i="6"/>
  <c r="R429" i="6"/>
  <c r="Q429" i="6"/>
  <c r="O429" i="6"/>
  <c r="A429" i="6"/>
  <c r="Y428" i="6"/>
  <c r="Z428" i="6" s="1"/>
  <c r="V428" i="6"/>
  <c r="U428" i="6"/>
  <c r="X428" i="6" s="1"/>
  <c r="T428" i="6"/>
  <c r="S428" i="6"/>
  <c r="Q428" i="6"/>
  <c r="R428" i="6" s="1"/>
  <c r="O428" i="6"/>
  <c r="A428" i="6"/>
  <c r="Y427" i="6"/>
  <c r="Z427" i="6" s="1"/>
  <c r="W427" i="6"/>
  <c r="V427" i="6"/>
  <c r="U427" i="6"/>
  <c r="X427" i="6" s="1"/>
  <c r="T427" i="6"/>
  <c r="S427" i="6"/>
  <c r="Q427" i="6"/>
  <c r="R427" i="6" s="1"/>
  <c r="O427" i="6"/>
  <c r="A427" i="6"/>
  <c r="Y426" i="6"/>
  <c r="Z426" i="6" s="1"/>
  <c r="V426" i="6"/>
  <c r="U426" i="6"/>
  <c r="T426" i="6"/>
  <c r="S426" i="6"/>
  <c r="Q426" i="6"/>
  <c r="R426" i="6" s="1"/>
  <c r="O426" i="6"/>
  <c r="A426" i="6"/>
  <c r="Y425" i="6"/>
  <c r="Z425" i="6" s="1"/>
  <c r="V425" i="6"/>
  <c r="U425" i="6"/>
  <c r="X425" i="6" s="1"/>
  <c r="T425" i="6"/>
  <c r="S425" i="6"/>
  <c r="Q425" i="6"/>
  <c r="R425" i="6" s="1"/>
  <c r="O425" i="6"/>
  <c r="A425" i="6"/>
  <c r="Y424" i="6"/>
  <c r="Z424" i="6" s="1"/>
  <c r="X424" i="6"/>
  <c r="V424" i="6"/>
  <c r="U424" i="6"/>
  <c r="W424" i="6" s="1"/>
  <c r="T424" i="6"/>
  <c r="S424" i="6"/>
  <c r="Q424" i="6"/>
  <c r="R424" i="6" s="1"/>
  <c r="O424" i="6"/>
  <c r="A424" i="6"/>
  <c r="Y423" i="6"/>
  <c r="Z423" i="6" s="1"/>
  <c r="V423" i="6"/>
  <c r="U423" i="6"/>
  <c r="X423" i="6" s="1"/>
  <c r="T423" i="6"/>
  <c r="S423" i="6"/>
  <c r="Q423" i="6"/>
  <c r="R423" i="6" s="1"/>
  <c r="O423" i="6"/>
  <c r="A423" i="6"/>
  <c r="Y422" i="6"/>
  <c r="Z422" i="6" s="1"/>
  <c r="V422" i="6"/>
  <c r="U422" i="6"/>
  <c r="T422" i="6"/>
  <c r="S422" i="6"/>
  <c r="Q422" i="6"/>
  <c r="R422" i="6" s="1"/>
  <c r="O422" i="6"/>
  <c r="A422" i="6"/>
  <c r="Y421" i="6"/>
  <c r="Z421" i="6" s="1"/>
  <c r="V421" i="6"/>
  <c r="U421" i="6"/>
  <c r="T421" i="6"/>
  <c r="S421" i="6"/>
  <c r="Q421" i="6"/>
  <c r="R421" i="6" s="1"/>
  <c r="O421" i="6"/>
  <c r="A421" i="6"/>
  <c r="Z420" i="6"/>
  <c r="Y420" i="6"/>
  <c r="V420" i="6"/>
  <c r="U420" i="6"/>
  <c r="X420" i="6" s="1"/>
  <c r="T420" i="6"/>
  <c r="S420" i="6"/>
  <c r="Q420" i="6"/>
  <c r="R420" i="6" s="1"/>
  <c r="O420" i="6"/>
  <c r="A420" i="6"/>
  <c r="Y419" i="6"/>
  <c r="Z419" i="6" s="1"/>
  <c r="X419" i="6"/>
  <c r="V419" i="6"/>
  <c r="U419" i="6"/>
  <c r="W419" i="6" s="1"/>
  <c r="T419" i="6"/>
  <c r="S419" i="6"/>
  <c r="Q419" i="6"/>
  <c r="R419" i="6" s="1"/>
  <c r="O419" i="6"/>
  <c r="A419" i="6"/>
  <c r="Y418" i="6"/>
  <c r="Z418" i="6" s="1"/>
  <c r="V418" i="6"/>
  <c r="U418" i="6"/>
  <c r="X418" i="6" s="1"/>
  <c r="T418" i="6"/>
  <c r="S418" i="6"/>
  <c r="Q418" i="6"/>
  <c r="R418" i="6" s="1"/>
  <c r="O418" i="6"/>
  <c r="A418" i="6"/>
  <c r="Y417" i="6"/>
  <c r="Z417" i="6" s="1"/>
  <c r="X417" i="6"/>
  <c r="W417" i="6"/>
  <c r="V417" i="6"/>
  <c r="U417" i="6"/>
  <c r="T417" i="6"/>
  <c r="S417" i="6"/>
  <c r="Q417" i="6"/>
  <c r="R417" i="6" s="1"/>
  <c r="O417" i="6"/>
  <c r="A417" i="6"/>
  <c r="Y416" i="6"/>
  <c r="Z416" i="6" s="1"/>
  <c r="V416" i="6"/>
  <c r="U416" i="6"/>
  <c r="T416" i="6"/>
  <c r="S416" i="6"/>
  <c r="Q416" i="6"/>
  <c r="R416" i="6" s="1"/>
  <c r="O416" i="6"/>
  <c r="A416" i="6"/>
  <c r="Y415" i="6"/>
  <c r="Z415" i="6" s="1"/>
  <c r="X415" i="6"/>
  <c r="W415" i="6"/>
  <c r="V415" i="6"/>
  <c r="U415" i="6"/>
  <c r="T415" i="6"/>
  <c r="S415" i="6"/>
  <c r="Q415" i="6"/>
  <c r="R415" i="6" s="1"/>
  <c r="O415" i="6"/>
  <c r="A415" i="6"/>
  <c r="Y414" i="6"/>
  <c r="Z414" i="6" s="1"/>
  <c r="X414" i="6"/>
  <c r="V414" i="6"/>
  <c r="U414" i="6"/>
  <c r="W414" i="6" s="1"/>
  <c r="T414" i="6"/>
  <c r="S414" i="6"/>
  <c r="Q414" i="6"/>
  <c r="R414" i="6" s="1"/>
  <c r="O414" i="6"/>
  <c r="A414" i="6"/>
  <c r="Y413" i="6"/>
  <c r="Z413" i="6" s="1"/>
  <c r="V413" i="6"/>
  <c r="U413" i="6"/>
  <c r="X413" i="6" s="1"/>
  <c r="T413" i="6"/>
  <c r="S413" i="6"/>
  <c r="Q413" i="6"/>
  <c r="R413" i="6" s="1"/>
  <c r="O413" i="6"/>
  <c r="A413" i="6"/>
  <c r="Y412" i="6"/>
  <c r="Z412" i="6" s="1"/>
  <c r="V412" i="6"/>
  <c r="U412" i="6"/>
  <c r="X412" i="6" s="1"/>
  <c r="T412" i="6"/>
  <c r="S412" i="6"/>
  <c r="Q412" i="6"/>
  <c r="R412" i="6" s="1"/>
  <c r="O412" i="6"/>
  <c r="A412" i="6"/>
  <c r="Y411" i="6"/>
  <c r="Z411" i="6" s="1"/>
  <c r="V411" i="6"/>
  <c r="U411" i="6"/>
  <c r="T411" i="6"/>
  <c r="S411" i="6"/>
  <c r="Q411" i="6"/>
  <c r="R411" i="6" s="1"/>
  <c r="O411" i="6"/>
  <c r="A411" i="6"/>
  <c r="Z410" i="6"/>
  <c r="Y410" i="6"/>
  <c r="V410" i="6"/>
  <c r="U410" i="6"/>
  <c r="X410" i="6" s="1"/>
  <c r="T410" i="6"/>
  <c r="S410" i="6"/>
  <c r="Q410" i="6"/>
  <c r="R410" i="6" s="1"/>
  <c r="O410" i="6"/>
  <c r="A410" i="6"/>
  <c r="Y409" i="6"/>
  <c r="Z409" i="6" s="1"/>
  <c r="X409" i="6"/>
  <c r="V409" i="6"/>
  <c r="U409" i="6"/>
  <c r="W409" i="6" s="1"/>
  <c r="T409" i="6"/>
  <c r="S409" i="6"/>
  <c r="Q409" i="6"/>
  <c r="R409" i="6" s="1"/>
  <c r="O409" i="6"/>
  <c r="A409" i="6"/>
  <c r="Y408" i="6"/>
  <c r="Z408" i="6" s="1"/>
  <c r="V408" i="6"/>
  <c r="U408" i="6"/>
  <c r="X408" i="6" s="1"/>
  <c r="T408" i="6"/>
  <c r="S408" i="6"/>
  <c r="Q408" i="6"/>
  <c r="R408" i="6" s="1"/>
  <c r="O408" i="6"/>
  <c r="A408" i="6"/>
  <c r="Y407" i="6"/>
  <c r="Z407" i="6" s="1"/>
  <c r="W407" i="6"/>
  <c r="V407" i="6"/>
  <c r="U407" i="6"/>
  <c r="X407" i="6" s="1"/>
  <c r="T407" i="6"/>
  <c r="S407" i="6"/>
  <c r="Q407" i="6"/>
  <c r="R407" i="6" s="1"/>
  <c r="O407" i="6"/>
  <c r="A407" i="6"/>
  <c r="Y406" i="6"/>
  <c r="Z406" i="6" s="1"/>
  <c r="V406" i="6"/>
  <c r="U406" i="6"/>
  <c r="T406" i="6"/>
  <c r="S406" i="6"/>
  <c r="Q406" i="6"/>
  <c r="R406" i="6" s="1"/>
  <c r="O406" i="6"/>
  <c r="A406" i="6"/>
  <c r="Y405" i="6"/>
  <c r="Z405" i="6" s="1"/>
  <c r="V405" i="6"/>
  <c r="U405" i="6"/>
  <c r="T405" i="6"/>
  <c r="S405" i="6"/>
  <c r="Q405" i="6"/>
  <c r="R405" i="6" s="1"/>
  <c r="O405" i="6"/>
  <c r="A405" i="6"/>
  <c r="Y404" i="6"/>
  <c r="Z404" i="6" s="1"/>
  <c r="X404" i="6"/>
  <c r="V404" i="6"/>
  <c r="U404" i="6"/>
  <c r="W404" i="6" s="1"/>
  <c r="T404" i="6"/>
  <c r="S404" i="6"/>
  <c r="R404" i="6"/>
  <c r="Q404" i="6"/>
  <c r="O404" i="6"/>
  <c r="A404" i="6"/>
  <c r="Y403" i="6"/>
  <c r="Z403" i="6" s="1"/>
  <c r="V403" i="6"/>
  <c r="U403" i="6"/>
  <c r="X403" i="6" s="1"/>
  <c r="T403" i="6"/>
  <c r="S403" i="6"/>
  <c r="Q403" i="6"/>
  <c r="R403" i="6" s="1"/>
  <c r="O403" i="6"/>
  <c r="A403" i="6"/>
  <c r="Y402" i="6"/>
  <c r="Z402" i="6" s="1"/>
  <c r="X402" i="6"/>
  <c r="W402" i="6"/>
  <c r="V402" i="6"/>
  <c r="U402" i="6"/>
  <c r="T402" i="6"/>
  <c r="S402" i="6"/>
  <c r="Q402" i="6"/>
  <c r="R402" i="6" s="1"/>
  <c r="O402" i="6"/>
  <c r="A402" i="6"/>
  <c r="Y401" i="6"/>
  <c r="Z401" i="6" s="1"/>
  <c r="V401" i="6"/>
  <c r="U401" i="6"/>
  <c r="T401" i="6"/>
  <c r="S401" i="6"/>
  <c r="Q401" i="6"/>
  <c r="R401" i="6" s="1"/>
  <c r="O401" i="6"/>
  <c r="A401" i="6"/>
  <c r="Z400" i="6"/>
  <c r="Y400" i="6"/>
  <c r="X400" i="6"/>
  <c r="W400" i="6"/>
  <c r="V400" i="6"/>
  <c r="U400" i="6"/>
  <c r="T400" i="6"/>
  <c r="S400" i="6"/>
  <c r="Q400" i="6"/>
  <c r="R400" i="6" s="1"/>
  <c r="O400" i="6"/>
  <c r="A400" i="6"/>
  <c r="Y399" i="6"/>
  <c r="Z399" i="6" s="1"/>
  <c r="X399" i="6"/>
  <c r="V399" i="6"/>
  <c r="U399" i="6"/>
  <c r="W399" i="6" s="1"/>
  <c r="T399" i="6"/>
  <c r="S399" i="6"/>
  <c r="Q399" i="6"/>
  <c r="R399" i="6" s="1"/>
  <c r="O399" i="6"/>
  <c r="A399" i="6"/>
  <c r="Y398" i="6"/>
  <c r="Z398" i="6" s="1"/>
  <c r="V398" i="6"/>
  <c r="U398" i="6"/>
  <c r="X398" i="6" s="1"/>
  <c r="T398" i="6"/>
  <c r="S398" i="6"/>
  <c r="Q398" i="6"/>
  <c r="R398" i="6" s="1"/>
  <c r="O398" i="6"/>
  <c r="A398" i="6"/>
  <c r="Y397" i="6"/>
  <c r="Z397" i="6" s="1"/>
  <c r="X397" i="6"/>
  <c r="V397" i="6"/>
  <c r="U397" i="6"/>
  <c r="W397" i="6" s="1"/>
  <c r="T397" i="6"/>
  <c r="S397" i="6"/>
  <c r="Q397" i="6"/>
  <c r="R397" i="6" s="1"/>
  <c r="O397" i="6"/>
  <c r="A397" i="6"/>
  <c r="Y396" i="6"/>
  <c r="Z396" i="6" s="1"/>
  <c r="V396" i="6"/>
  <c r="U396" i="6"/>
  <c r="T396" i="6"/>
  <c r="S396" i="6"/>
  <c r="Q396" i="6"/>
  <c r="R396" i="6" s="1"/>
  <c r="O396" i="6"/>
  <c r="A396" i="6"/>
  <c r="Z395" i="6"/>
  <c r="Y395" i="6"/>
  <c r="V395" i="6"/>
  <c r="U395" i="6"/>
  <c r="X395" i="6" s="1"/>
  <c r="T395" i="6"/>
  <c r="S395" i="6"/>
  <c r="Q395" i="6"/>
  <c r="R395" i="6" s="1"/>
  <c r="O395" i="6"/>
  <c r="A395" i="6"/>
  <c r="Y394" i="6"/>
  <c r="Z394" i="6" s="1"/>
  <c r="X394" i="6"/>
  <c r="V394" i="6"/>
  <c r="U394" i="6"/>
  <c r="W394" i="6" s="1"/>
  <c r="T394" i="6"/>
  <c r="S394" i="6"/>
  <c r="R394" i="6"/>
  <c r="Q394" i="6"/>
  <c r="O394" i="6"/>
  <c r="A394" i="6"/>
  <c r="Y393" i="6"/>
  <c r="Z393" i="6" s="1"/>
  <c r="V393" i="6"/>
  <c r="U393" i="6"/>
  <c r="X393" i="6" s="1"/>
  <c r="T393" i="6"/>
  <c r="S393" i="6"/>
  <c r="Q393" i="6"/>
  <c r="R393" i="6" s="1"/>
  <c r="O393" i="6"/>
  <c r="A393" i="6"/>
  <c r="Y392" i="6"/>
  <c r="Z392" i="6" s="1"/>
  <c r="X392" i="6"/>
  <c r="W392" i="6"/>
  <c r="V392" i="6"/>
  <c r="U392" i="6"/>
  <c r="T392" i="6"/>
  <c r="S392" i="6"/>
  <c r="Q392" i="6"/>
  <c r="R392" i="6" s="1"/>
  <c r="O392" i="6"/>
  <c r="A392" i="6"/>
  <c r="Y391" i="6"/>
  <c r="Z391" i="6" s="1"/>
  <c r="V391" i="6"/>
  <c r="U391" i="6"/>
  <c r="T391" i="6"/>
  <c r="S391" i="6"/>
  <c r="Q391" i="6"/>
  <c r="R391" i="6" s="1"/>
  <c r="O391" i="6"/>
  <c r="A391" i="6"/>
  <c r="Y390" i="6"/>
  <c r="Z390" i="6" s="1"/>
  <c r="W390" i="6"/>
  <c r="V390" i="6"/>
  <c r="U390" i="6"/>
  <c r="X390" i="6" s="1"/>
  <c r="T390" i="6"/>
  <c r="S390" i="6"/>
  <c r="Q390" i="6"/>
  <c r="R390" i="6" s="1"/>
  <c r="O390" i="6"/>
  <c r="A390" i="6"/>
  <c r="Y389" i="6"/>
  <c r="Z389" i="6" s="1"/>
  <c r="X389" i="6"/>
  <c r="V389" i="6"/>
  <c r="U389" i="6"/>
  <c r="W389" i="6" s="1"/>
  <c r="T389" i="6"/>
  <c r="S389" i="6"/>
  <c r="Q389" i="6"/>
  <c r="R389" i="6" s="1"/>
  <c r="O389" i="6"/>
  <c r="A389" i="6"/>
  <c r="Y388" i="6"/>
  <c r="Z388" i="6" s="1"/>
  <c r="V388" i="6"/>
  <c r="U388" i="6"/>
  <c r="X388" i="6" s="1"/>
  <c r="T388" i="6"/>
  <c r="S388" i="6"/>
  <c r="Q388" i="6"/>
  <c r="R388" i="6" s="1"/>
  <c r="O388" i="6"/>
  <c r="A388" i="6"/>
  <c r="Y387" i="6"/>
  <c r="Z387" i="6" s="1"/>
  <c r="X387" i="6"/>
  <c r="W387" i="6"/>
  <c r="V387" i="6"/>
  <c r="U387" i="6"/>
  <c r="T387" i="6"/>
  <c r="S387" i="6"/>
  <c r="Q387" i="6"/>
  <c r="R387" i="6" s="1"/>
  <c r="O387" i="6"/>
  <c r="A387" i="6"/>
  <c r="Y386" i="6"/>
  <c r="Z386" i="6" s="1"/>
  <c r="V386" i="6"/>
  <c r="U386" i="6"/>
  <c r="T386" i="6"/>
  <c r="S386" i="6"/>
  <c r="Q386" i="6"/>
  <c r="R386" i="6" s="1"/>
  <c r="O386" i="6"/>
  <c r="A386" i="6"/>
  <c r="Y385" i="6"/>
  <c r="Z385" i="6" s="1"/>
  <c r="X385" i="6"/>
  <c r="V385" i="6"/>
  <c r="U385" i="6"/>
  <c r="W385" i="6" s="1"/>
  <c r="T385" i="6"/>
  <c r="S385" i="6"/>
  <c r="Q385" i="6"/>
  <c r="R385" i="6" s="1"/>
  <c r="O385" i="6"/>
  <c r="A385" i="6"/>
  <c r="Y384" i="6"/>
  <c r="Z384" i="6" s="1"/>
  <c r="X384" i="6"/>
  <c r="V384" i="6"/>
  <c r="U384" i="6"/>
  <c r="W384" i="6" s="1"/>
  <c r="T384" i="6"/>
  <c r="S384" i="6"/>
  <c r="Q384" i="6"/>
  <c r="R384" i="6" s="1"/>
  <c r="O384" i="6"/>
  <c r="A384" i="6"/>
  <c r="Y383" i="6"/>
  <c r="Z383" i="6" s="1"/>
  <c r="V383" i="6"/>
  <c r="U383" i="6"/>
  <c r="X383" i="6" s="1"/>
  <c r="T383" i="6"/>
  <c r="S383" i="6"/>
  <c r="Q383" i="6"/>
  <c r="R383" i="6" s="1"/>
  <c r="O383" i="6"/>
  <c r="A383" i="6"/>
  <c r="Y382" i="6"/>
  <c r="Z382" i="6" s="1"/>
  <c r="W382" i="6"/>
  <c r="V382" i="6"/>
  <c r="U382" i="6"/>
  <c r="X382" i="6" s="1"/>
  <c r="T382" i="6"/>
  <c r="S382" i="6"/>
  <c r="Q382" i="6"/>
  <c r="R382" i="6" s="1"/>
  <c r="O382" i="6"/>
  <c r="A382" i="6"/>
  <c r="Y381" i="6"/>
  <c r="Z381" i="6" s="1"/>
  <c r="V381" i="6"/>
  <c r="U381" i="6"/>
  <c r="T381" i="6"/>
  <c r="S381" i="6"/>
  <c r="Q381" i="6"/>
  <c r="R381" i="6" s="1"/>
  <c r="O381" i="6"/>
  <c r="A381" i="6"/>
  <c r="Z380" i="6"/>
  <c r="Y380" i="6"/>
  <c r="X380" i="6"/>
  <c r="V380" i="6"/>
  <c r="U380" i="6"/>
  <c r="W380" i="6" s="1"/>
  <c r="T380" i="6"/>
  <c r="S380" i="6"/>
  <c r="Q380" i="6"/>
  <c r="R380" i="6" s="1"/>
  <c r="O380" i="6"/>
  <c r="A380" i="6"/>
  <c r="Y379" i="6"/>
  <c r="Z379" i="6" s="1"/>
  <c r="X379" i="6"/>
  <c r="V379" i="6"/>
  <c r="U379" i="6"/>
  <c r="W379" i="6" s="1"/>
  <c r="T379" i="6"/>
  <c r="S379" i="6"/>
  <c r="Q379" i="6"/>
  <c r="R379" i="6" s="1"/>
  <c r="O379" i="6"/>
  <c r="A379" i="6"/>
  <c r="Y378" i="6"/>
  <c r="Z378" i="6" s="1"/>
  <c r="V378" i="6"/>
  <c r="U378" i="6"/>
  <c r="X378" i="6" s="1"/>
  <c r="T378" i="6"/>
  <c r="S378" i="6"/>
  <c r="Q378" i="6"/>
  <c r="R378" i="6" s="1"/>
  <c r="O378" i="6"/>
  <c r="A378" i="6"/>
  <c r="Y377" i="6"/>
  <c r="Z377" i="6" s="1"/>
  <c r="X377" i="6"/>
  <c r="W377" i="6"/>
  <c r="V377" i="6"/>
  <c r="U377" i="6"/>
  <c r="T377" i="6"/>
  <c r="S377" i="6"/>
  <c r="Q377" i="6"/>
  <c r="R377" i="6" s="1"/>
  <c r="O377" i="6"/>
  <c r="A377" i="6"/>
  <c r="Y376" i="6"/>
  <c r="Z376" i="6" s="1"/>
  <c r="V376" i="6"/>
  <c r="U376" i="6"/>
  <c r="T376" i="6"/>
  <c r="S376" i="6"/>
  <c r="Q376" i="6"/>
  <c r="R376" i="6" s="1"/>
  <c r="O376" i="6"/>
  <c r="A376" i="6"/>
  <c r="Z375" i="6"/>
  <c r="Y375" i="6"/>
  <c r="W375" i="6"/>
  <c r="V375" i="6"/>
  <c r="U375" i="6"/>
  <c r="X375" i="6" s="1"/>
  <c r="T375" i="6"/>
  <c r="S375" i="6"/>
  <c r="Q375" i="6"/>
  <c r="R375" i="6" s="1"/>
  <c r="O375" i="6"/>
  <c r="A375" i="6"/>
  <c r="Y374" i="6"/>
  <c r="Z374" i="6" s="1"/>
  <c r="X374" i="6"/>
  <c r="V374" i="6"/>
  <c r="U374" i="6"/>
  <c r="W374" i="6" s="1"/>
  <c r="T374" i="6"/>
  <c r="S374" i="6"/>
  <c r="R374" i="6"/>
  <c r="Q374" i="6"/>
  <c r="O374" i="6"/>
  <c r="A374" i="6"/>
  <c r="Y373" i="6"/>
  <c r="Z373" i="6" s="1"/>
  <c r="V373" i="6"/>
  <c r="U373" i="6"/>
  <c r="T373" i="6"/>
  <c r="S373" i="6"/>
  <c r="Q373" i="6"/>
  <c r="R373" i="6" s="1"/>
  <c r="O373" i="6"/>
  <c r="A373" i="6"/>
  <c r="Y372" i="6"/>
  <c r="Z372" i="6" s="1"/>
  <c r="X372" i="6"/>
  <c r="W372" i="6"/>
  <c r="V372" i="6"/>
  <c r="U372" i="6"/>
  <c r="T372" i="6"/>
  <c r="S372" i="6"/>
  <c r="Q372" i="6"/>
  <c r="R372" i="6" s="1"/>
  <c r="O372" i="6"/>
  <c r="A372" i="6"/>
  <c r="Y371" i="6"/>
  <c r="Z371" i="6" s="1"/>
  <c r="W371" i="6"/>
  <c r="V371" i="6"/>
  <c r="U371" i="6"/>
  <c r="X371" i="6" s="1"/>
  <c r="T371" i="6"/>
  <c r="S371" i="6"/>
  <c r="Q371" i="6"/>
  <c r="R371" i="6" s="1"/>
  <c r="O371" i="6"/>
  <c r="A371" i="6"/>
  <c r="Z370" i="6"/>
  <c r="Y370" i="6"/>
  <c r="X370" i="6"/>
  <c r="W370" i="6"/>
  <c r="V370" i="6"/>
  <c r="U370" i="6"/>
  <c r="T370" i="6"/>
  <c r="S370" i="6"/>
  <c r="Q370" i="6"/>
  <c r="R370" i="6" s="1"/>
  <c r="O370" i="6"/>
  <c r="A370" i="6"/>
  <c r="Y369" i="6"/>
  <c r="Z369" i="6" s="1"/>
  <c r="X369" i="6"/>
  <c r="V369" i="6"/>
  <c r="U369" i="6"/>
  <c r="W369" i="6" s="1"/>
  <c r="T369" i="6"/>
  <c r="S369" i="6"/>
  <c r="Q369" i="6"/>
  <c r="R369" i="6" s="1"/>
  <c r="O369" i="6"/>
  <c r="A369" i="6"/>
  <c r="Y368" i="6"/>
  <c r="Z368" i="6" s="1"/>
  <c r="V368" i="6"/>
  <c r="U368" i="6"/>
  <c r="T368" i="6"/>
  <c r="S368" i="6"/>
  <c r="Q368" i="6"/>
  <c r="R368" i="6" s="1"/>
  <c r="O368" i="6"/>
  <c r="A368" i="6"/>
  <c r="Y367" i="6"/>
  <c r="Z367" i="6" s="1"/>
  <c r="W367" i="6"/>
  <c r="V367" i="6"/>
  <c r="U367" i="6"/>
  <c r="X367" i="6" s="1"/>
  <c r="T367" i="6"/>
  <c r="S367" i="6"/>
  <c r="Q367" i="6"/>
  <c r="R367" i="6" s="1"/>
  <c r="O367" i="6"/>
  <c r="A367" i="6"/>
  <c r="Y366" i="6"/>
  <c r="Z366" i="6" s="1"/>
  <c r="W366" i="6"/>
  <c r="V366" i="6"/>
  <c r="U366" i="6"/>
  <c r="X366" i="6" s="1"/>
  <c r="T366" i="6"/>
  <c r="S366" i="6"/>
  <c r="Q366" i="6"/>
  <c r="R366" i="6" s="1"/>
  <c r="O366" i="6"/>
  <c r="A366" i="6"/>
  <c r="Y365" i="6"/>
  <c r="Z365" i="6" s="1"/>
  <c r="V365" i="6"/>
  <c r="U365" i="6"/>
  <c r="T365" i="6"/>
  <c r="S365" i="6"/>
  <c r="Q365" i="6"/>
  <c r="R365" i="6" s="1"/>
  <c r="O365" i="6"/>
  <c r="A365" i="6"/>
  <c r="Y364" i="6"/>
  <c r="Z364" i="6" s="1"/>
  <c r="X364" i="6"/>
  <c r="V364" i="6"/>
  <c r="U364" i="6"/>
  <c r="W364" i="6" s="1"/>
  <c r="T364" i="6"/>
  <c r="S364" i="6"/>
  <c r="Q364" i="6"/>
  <c r="R364" i="6" s="1"/>
  <c r="O364" i="6"/>
  <c r="A364" i="6"/>
  <c r="Y363" i="6"/>
  <c r="Z363" i="6" s="1"/>
  <c r="V363" i="6"/>
  <c r="U363" i="6"/>
  <c r="T363" i="6"/>
  <c r="S363" i="6"/>
  <c r="Q363" i="6"/>
  <c r="R363" i="6" s="1"/>
  <c r="O363" i="6"/>
  <c r="A363" i="6"/>
  <c r="Y362" i="6"/>
  <c r="Z362" i="6" s="1"/>
  <c r="X362" i="6"/>
  <c r="V362" i="6"/>
  <c r="U362" i="6"/>
  <c r="W362" i="6" s="1"/>
  <c r="T362" i="6"/>
  <c r="S362" i="6"/>
  <c r="R362" i="6"/>
  <c r="Q362" i="6"/>
  <c r="O362" i="6"/>
  <c r="A362" i="6"/>
  <c r="Y361" i="6"/>
  <c r="Z361" i="6" s="1"/>
  <c r="W361" i="6"/>
  <c r="V361" i="6"/>
  <c r="U361" i="6"/>
  <c r="X361" i="6" s="1"/>
  <c r="T361" i="6"/>
  <c r="S361" i="6"/>
  <c r="Q361" i="6"/>
  <c r="R361" i="6" s="1"/>
  <c r="O361" i="6"/>
  <c r="A361" i="6"/>
  <c r="Y360" i="6"/>
  <c r="Z360" i="6" s="1"/>
  <c r="X360" i="6"/>
  <c r="W360" i="6"/>
  <c r="V360" i="6"/>
  <c r="U360" i="6"/>
  <c r="T360" i="6"/>
  <c r="S360" i="6"/>
  <c r="Q360" i="6"/>
  <c r="R360" i="6" s="1"/>
  <c r="O360" i="6"/>
  <c r="A360" i="6"/>
  <c r="Y359" i="6"/>
  <c r="Z359" i="6" s="1"/>
  <c r="X359" i="6"/>
  <c r="V359" i="6"/>
  <c r="U359" i="6"/>
  <c r="W359" i="6" s="1"/>
  <c r="T359" i="6"/>
  <c r="S359" i="6"/>
  <c r="Q359" i="6"/>
  <c r="R359" i="6" s="1"/>
  <c r="O359" i="6"/>
  <c r="A359" i="6"/>
  <c r="Z358" i="6"/>
  <c r="Y358" i="6"/>
  <c r="V358" i="6"/>
  <c r="U358" i="6"/>
  <c r="T358" i="6"/>
  <c r="S358" i="6"/>
  <c r="Q358" i="6"/>
  <c r="R358" i="6" s="1"/>
  <c r="O358" i="6"/>
  <c r="A358" i="6"/>
  <c r="Y357" i="6"/>
  <c r="Z357" i="6" s="1"/>
  <c r="W357" i="6"/>
  <c r="V357" i="6"/>
  <c r="U357" i="6"/>
  <c r="X357" i="6" s="1"/>
  <c r="T357" i="6"/>
  <c r="S357" i="6"/>
  <c r="Q357" i="6"/>
  <c r="R357" i="6" s="1"/>
  <c r="O357" i="6"/>
  <c r="A357" i="6"/>
  <c r="Y356" i="6"/>
  <c r="Z356" i="6" s="1"/>
  <c r="W356" i="6"/>
  <c r="V356" i="6"/>
  <c r="U356" i="6"/>
  <c r="X356" i="6" s="1"/>
  <c r="T356" i="6"/>
  <c r="S356" i="6"/>
  <c r="Q356" i="6"/>
  <c r="R356" i="6" s="1"/>
  <c r="O356" i="6"/>
  <c r="A356" i="6"/>
  <c r="Y355" i="6"/>
  <c r="Z355" i="6" s="1"/>
  <c r="V355" i="6"/>
  <c r="U355" i="6"/>
  <c r="T355" i="6"/>
  <c r="S355" i="6"/>
  <c r="Q355" i="6"/>
  <c r="R355" i="6" s="1"/>
  <c r="O355" i="6"/>
  <c r="A355" i="6"/>
  <c r="Y354" i="6"/>
  <c r="Z354" i="6" s="1"/>
  <c r="V354" i="6"/>
  <c r="U354" i="6"/>
  <c r="W354" i="6" s="1"/>
  <c r="T354" i="6"/>
  <c r="S354" i="6"/>
  <c r="Q354" i="6"/>
  <c r="R354" i="6" s="1"/>
  <c r="O354" i="6"/>
  <c r="A354" i="6"/>
  <c r="Y353" i="6"/>
  <c r="Z353" i="6" s="1"/>
  <c r="V353" i="6"/>
  <c r="U353" i="6"/>
  <c r="T353" i="6"/>
  <c r="S353" i="6"/>
  <c r="Q353" i="6"/>
  <c r="R353" i="6" s="1"/>
  <c r="O353" i="6"/>
  <c r="A353" i="6"/>
  <c r="Y352" i="6"/>
  <c r="Z352" i="6" s="1"/>
  <c r="X352" i="6"/>
  <c r="W352" i="6"/>
  <c r="V352" i="6"/>
  <c r="U352" i="6"/>
  <c r="T352" i="6"/>
  <c r="S352" i="6"/>
  <c r="Q352" i="6"/>
  <c r="R352" i="6" s="1"/>
  <c r="O352" i="6"/>
  <c r="A352" i="6"/>
  <c r="Y351" i="6"/>
  <c r="Z351" i="6" s="1"/>
  <c r="V351" i="6"/>
  <c r="U351" i="6"/>
  <c r="T351" i="6"/>
  <c r="S351" i="6"/>
  <c r="Q351" i="6"/>
  <c r="R351" i="6" s="1"/>
  <c r="O351" i="6"/>
  <c r="A351" i="6"/>
  <c r="Z350" i="6"/>
  <c r="Y350" i="6"/>
  <c r="X350" i="6"/>
  <c r="W350" i="6"/>
  <c r="V350" i="6"/>
  <c r="U350" i="6"/>
  <c r="T350" i="6"/>
  <c r="S350" i="6"/>
  <c r="Q350" i="6"/>
  <c r="R350" i="6" s="1"/>
  <c r="O350" i="6"/>
  <c r="A350" i="6"/>
  <c r="Z349" i="6"/>
  <c r="Y349" i="6"/>
  <c r="V349" i="6"/>
  <c r="U349" i="6"/>
  <c r="T349" i="6"/>
  <c r="S349" i="6"/>
  <c r="Q349" i="6"/>
  <c r="R349" i="6" s="1"/>
  <c r="O349" i="6"/>
  <c r="A349" i="6"/>
  <c r="Y348" i="6"/>
  <c r="Z348" i="6" s="1"/>
  <c r="V348" i="6"/>
  <c r="U348" i="6"/>
  <c r="T348" i="6"/>
  <c r="S348" i="6"/>
  <c r="R348" i="6"/>
  <c r="Q348" i="6"/>
  <c r="O348" i="6"/>
  <c r="A348" i="6"/>
  <c r="Y347" i="6"/>
  <c r="Z347" i="6" s="1"/>
  <c r="W347" i="6"/>
  <c r="V347" i="6"/>
  <c r="U347" i="6"/>
  <c r="X347" i="6" s="1"/>
  <c r="T347" i="6"/>
  <c r="S347" i="6"/>
  <c r="Q347" i="6"/>
  <c r="R347" i="6" s="1"/>
  <c r="O347" i="6"/>
  <c r="A347" i="6"/>
  <c r="Y346" i="6"/>
  <c r="Z346" i="6" s="1"/>
  <c r="V346" i="6"/>
  <c r="U346" i="6"/>
  <c r="X346" i="6" s="1"/>
  <c r="T346" i="6"/>
  <c r="S346" i="6"/>
  <c r="Q346" i="6"/>
  <c r="R346" i="6" s="1"/>
  <c r="O346" i="6"/>
  <c r="A346" i="6"/>
  <c r="Y345" i="6"/>
  <c r="Z345" i="6" s="1"/>
  <c r="X345" i="6"/>
  <c r="W345" i="6"/>
  <c r="V345" i="6"/>
  <c r="U345" i="6"/>
  <c r="T345" i="6"/>
  <c r="S345" i="6"/>
  <c r="Q345" i="6"/>
  <c r="R345" i="6" s="1"/>
  <c r="O345" i="6"/>
  <c r="A345" i="6"/>
  <c r="Z344" i="6"/>
  <c r="Y344" i="6"/>
  <c r="V344" i="6"/>
  <c r="U344" i="6"/>
  <c r="W344" i="6" s="1"/>
  <c r="T344" i="6"/>
  <c r="S344" i="6"/>
  <c r="Q344" i="6"/>
  <c r="R344" i="6" s="1"/>
  <c r="O344" i="6"/>
  <c r="A344" i="6"/>
  <c r="Y343" i="6"/>
  <c r="Z343" i="6" s="1"/>
  <c r="V343" i="6"/>
  <c r="U343" i="6"/>
  <c r="T343" i="6"/>
  <c r="S343" i="6"/>
  <c r="R343" i="6"/>
  <c r="Q343" i="6"/>
  <c r="O343" i="6"/>
  <c r="A343" i="6"/>
  <c r="Y342" i="6"/>
  <c r="Z342" i="6" s="1"/>
  <c r="V342" i="6"/>
  <c r="U342" i="6"/>
  <c r="X342" i="6" s="1"/>
  <c r="T342" i="6"/>
  <c r="S342" i="6"/>
  <c r="Q342" i="6"/>
  <c r="R342" i="6" s="1"/>
  <c r="O342" i="6"/>
  <c r="A342" i="6"/>
  <c r="Y341" i="6"/>
  <c r="Z341" i="6" s="1"/>
  <c r="V341" i="6"/>
  <c r="U341" i="6"/>
  <c r="X341" i="6" s="1"/>
  <c r="T341" i="6"/>
  <c r="S341" i="6"/>
  <c r="Q341" i="6"/>
  <c r="R341" i="6" s="1"/>
  <c r="O341" i="6"/>
  <c r="A341" i="6"/>
  <c r="Y340" i="6"/>
  <c r="Z340" i="6" s="1"/>
  <c r="X340" i="6"/>
  <c r="V340" i="6"/>
  <c r="U340" i="6"/>
  <c r="W340" i="6" s="1"/>
  <c r="T340" i="6"/>
  <c r="S340" i="6"/>
  <c r="Q340" i="6"/>
  <c r="R340" i="6" s="1"/>
  <c r="O340" i="6"/>
  <c r="A340" i="6"/>
  <c r="Y339" i="6"/>
  <c r="Z339" i="6" s="1"/>
  <c r="X339" i="6"/>
  <c r="V339" i="6"/>
  <c r="U339" i="6"/>
  <c r="W339" i="6" s="1"/>
  <c r="T339" i="6"/>
  <c r="S339" i="6"/>
  <c r="Q339" i="6"/>
  <c r="R339" i="6" s="1"/>
  <c r="O339" i="6"/>
  <c r="A339" i="6"/>
  <c r="Z338" i="6"/>
  <c r="Y338" i="6"/>
  <c r="V338" i="6"/>
  <c r="U338" i="6"/>
  <c r="T338" i="6"/>
  <c r="S338" i="6"/>
  <c r="Q338" i="6"/>
  <c r="R338" i="6" s="1"/>
  <c r="O338" i="6"/>
  <c r="A338" i="6"/>
  <c r="Y337" i="6"/>
  <c r="Z337" i="6" s="1"/>
  <c r="W337" i="6"/>
  <c r="V337" i="6"/>
  <c r="U337" i="6"/>
  <c r="X337" i="6" s="1"/>
  <c r="T337" i="6"/>
  <c r="S337" i="6"/>
  <c r="R337" i="6"/>
  <c r="Q337" i="6"/>
  <c r="O337" i="6"/>
  <c r="A337" i="6"/>
  <c r="Y336" i="6"/>
  <c r="Z336" i="6" s="1"/>
  <c r="W336" i="6"/>
  <c r="V336" i="6"/>
  <c r="U336" i="6"/>
  <c r="X336" i="6" s="1"/>
  <c r="T336" i="6"/>
  <c r="S336" i="6"/>
  <c r="Q336" i="6"/>
  <c r="R336" i="6" s="1"/>
  <c r="O336" i="6"/>
  <c r="A336" i="6"/>
  <c r="Y335" i="6"/>
  <c r="Z335" i="6" s="1"/>
  <c r="X335" i="6"/>
  <c r="V335" i="6"/>
  <c r="U335" i="6"/>
  <c r="W335" i="6" s="1"/>
  <c r="T335" i="6"/>
  <c r="S335" i="6"/>
  <c r="Q335" i="6"/>
  <c r="R335" i="6" s="1"/>
  <c r="O335" i="6"/>
  <c r="A335" i="6"/>
  <c r="Y334" i="6"/>
  <c r="Z334" i="6" s="1"/>
  <c r="V334" i="6"/>
  <c r="U334" i="6"/>
  <c r="W334" i="6" s="1"/>
  <c r="T334" i="6"/>
  <c r="S334" i="6"/>
  <c r="Q334" i="6"/>
  <c r="R334" i="6" s="1"/>
  <c r="O334" i="6"/>
  <c r="A334" i="6"/>
  <c r="Y333" i="6"/>
  <c r="Z333" i="6" s="1"/>
  <c r="V333" i="6"/>
  <c r="U333" i="6"/>
  <c r="T333" i="6"/>
  <c r="S333" i="6"/>
  <c r="Q333" i="6"/>
  <c r="R333" i="6" s="1"/>
  <c r="O333" i="6"/>
  <c r="A333" i="6"/>
  <c r="Y332" i="6"/>
  <c r="Z332" i="6" s="1"/>
  <c r="V332" i="6"/>
  <c r="U332" i="6"/>
  <c r="X332" i="6" s="1"/>
  <c r="T332" i="6"/>
  <c r="S332" i="6"/>
  <c r="Q332" i="6"/>
  <c r="R332" i="6" s="1"/>
  <c r="O332" i="6"/>
  <c r="A332" i="6"/>
  <c r="Y331" i="6"/>
  <c r="Z331" i="6" s="1"/>
  <c r="V331" i="6"/>
  <c r="U331" i="6"/>
  <c r="T331" i="6"/>
  <c r="S331" i="6"/>
  <c r="Q331" i="6"/>
  <c r="R331" i="6" s="1"/>
  <c r="O331" i="6"/>
  <c r="A331" i="6"/>
  <c r="Z330" i="6"/>
  <c r="Y330" i="6"/>
  <c r="W330" i="6"/>
  <c r="V330" i="6"/>
  <c r="U330" i="6"/>
  <c r="X330" i="6" s="1"/>
  <c r="T330" i="6"/>
  <c r="S330" i="6"/>
  <c r="Q330" i="6"/>
  <c r="R330" i="6" s="1"/>
  <c r="O330" i="6"/>
  <c r="A330" i="6"/>
  <c r="Y329" i="6"/>
  <c r="Z329" i="6" s="1"/>
  <c r="X329" i="6"/>
  <c r="W329" i="6"/>
  <c r="V329" i="6"/>
  <c r="U329" i="6"/>
  <c r="T329" i="6"/>
  <c r="S329" i="6"/>
  <c r="Q329" i="6"/>
  <c r="R329" i="6" s="1"/>
  <c r="O329" i="6"/>
  <c r="A329" i="6"/>
  <c r="Z328" i="6"/>
  <c r="Y328" i="6"/>
  <c r="V328" i="6"/>
  <c r="U328" i="6"/>
  <c r="T328" i="6"/>
  <c r="S328" i="6"/>
  <c r="Q328" i="6"/>
  <c r="R328" i="6" s="1"/>
  <c r="O328" i="6"/>
  <c r="A328" i="6"/>
  <c r="Y327" i="6"/>
  <c r="Z327" i="6" s="1"/>
  <c r="X327" i="6"/>
  <c r="V327" i="6"/>
  <c r="U327" i="6"/>
  <c r="W327" i="6" s="1"/>
  <c r="T327" i="6"/>
  <c r="S327" i="6"/>
  <c r="Q327" i="6"/>
  <c r="R327" i="6" s="1"/>
  <c r="O327" i="6"/>
  <c r="A327" i="6"/>
  <c r="Y326" i="6"/>
  <c r="Z326" i="6" s="1"/>
  <c r="V326" i="6"/>
  <c r="U326" i="6"/>
  <c r="X326" i="6" s="1"/>
  <c r="T326" i="6"/>
  <c r="S326" i="6"/>
  <c r="Q326" i="6"/>
  <c r="R326" i="6" s="1"/>
  <c r="O326" i="6"/>
  <c r="A326" i="6"/>
  <c r="Y325" i="6"/>
  <c r="Z325" i="6" s="1"/>
  <c r="V325" i="6"/>
  <c r="U325" i="6"/>
  <c r="X325" i="6" s="1"/>
  <c r="T325" i="6"/>
  <c r="S325" i="6"/>
  <c r="Q325" i="6"/>
  <c r="R325" i="6" s="1"/>
  <c r="O325" i="6"/>
  <c r="A325" i="6"/>
  <c r="Y324" i="6"/>
  <c r="Z324" i="6" s="1"/>
  <c r="V324" i="6"/>
  <c r="U324" i="6"/>
  <c r="X324" i="6" s="1"/>
  <c r="T324" i="6"/>
  <c r="S324" i="6"/>
  <c r="Q324" i="6"/>
  <c r="R324" i="6" s="1"/>
  <c r="O324" i="6"/>
  <c r="A324" i="6"/>
  <c r="Y323" i="6"/>
  <c r="Z323" i="6" s="1"/>
  <c r="V323" i="6"/>
  <c r="U323" i="6"/>
  <c r="X323" i="6" s="1"/>
  <c r="T323" i="6"/>
  <c r="S323" i="6"/>
  <c r="Q323" i="6"/>
  <c r="R323" i="6" s="1"/>
  <c r="O323" i="6"/>
  <c r="A323" i="6"/>
  <c r="Y322" i="6"/>
  <c r="Z322" i="6" s="1"/>
  <c r="X322" i="6"/>
  <c r="V322" i="6"/>
  <c r="U322" i="6"/>
  <c r="W322" i="6" s="1"/>
  <c r="T322" i="6"/>
  <c r="S322" i="6"/>
  <c r="R322" i="6"/>
  <c r="Q322" i="6"/>
  <c r="O322" i="6"/>
  <c r="A322" i="6"/>
  <c r="Y321" i="6"/>
  <c r="Z321" i="6" s="1"/>
  <c r="W321" i="6"/>
  <c r="V321" i="6"/>
  <c r="U321" i="6"/>
  <c r="X321" i="6" s="1"/>
  <c r="T321" i="6"/>
  <c r="S321" i="6"/>
  <c r="Q321" i="6"/>
  <c r="R321" i="6" s="1"/>
  <c r="O321" i="6"/>
  <c r="A321" i="6"/>
  <c r="Y320" i="6"/>
  <c r="Z320" i="6" s="1"/>
  <c r="V320" i="6"/>
  <c r="U320" i="6"/>
  <c r="X320" i="6" s="1"/>
  <c r="T320" i="6"/>
  <c r="S320" i="6"/>
  <c r="Q320" i="6"/>
  <c r="R320" i="6" s="1"/>
  <c r="O320" i="6"/>
  <c r="A320" i="6"/>
  <c r="Y319" i="6"/>
  <c r="Z319" i="6" s="1"/>
  <c r="V319" i="6"/>
  <c r="U319" i="6"/>
  <c r="X319" i="6" s="1"/>
  <c r="T319" i="6"/>
  <c r="S319" i="6"/>
  <c r="Q319" i="6"/>
  <c r="R319" i="6" s="1"/>
  <c r="O319" i="6"/>
  <c r="A319" i="6"/>
  <c r="Y318" i="6"/>
  <c r="Z318" i="6" s="1"/>
  <c r="V318" i="6"/>
  <c r="U318" i="6"/>
  <c r="X318" i="6" s="1"/>
  <c r="T318" i="6"/>
  <c r="S318" i="6"/>
  <c r="R318" i="6"/>
  <c r="Q318" i="6"/>
  <c r="O318" i="6"/>
  <c r="A318" i="6"/>
  <c r="Y317" i="6"/>
  <c r="Z317" i="6" s="1"/>
  <c r="V317" i="6"/>
  <c r="U317" i="6"/>
  <c r="T317" i="6"/>
  <c r="S317" i="6"/>
  <c r="Q317" i="6"/>
  <c r="R317" i="6" s="1"/>
  <c r="O317" i="6"/>
  <c r="A317" i="6"/>
  <c r="Y316" i="6"/>
  <c r="Z316" i="6" s="1"/>
  <c r="W316" i="6"/>
  <c r="V316" i="6"/>
  <c r="U316" i="6"/>
  <c r="X316" i="6" s="1"/>
  <c r="T316" i="6"/>
  <c r="S316" i="6"/>
  <c r="Q316" i="6"/>
  <c r="R316" i="6" s="1"/>
  <c r="O316" i="6"/>
  <c r="A316" i="6"/>
  <c r="Y315" i="6"/>
  <c r="Z315" i="6" s="1"/>
  <c r="V315" i="6"/>
  <c r="U315" i="6"/>
  <c r="T315" i="6"/>
  <c r="S315" i="6"/>
  <c r="Q315" i="6"/>
  <c r="R315" i="6" s="1"/>
  <c r="O315" i="6"/>
  <c r="A315" i="6"/>
  <c r="Y314" i="6"/>
  <c r="Z314" i="6" s="1"/>
  <c r="X314" i="6"/>
  <c r="V314" i="6"/>
  <c r="U314" i="6"/>
  <c r="W314" i="6" s="1"/>
  <c r="T314" i="6"/>
  <c r="S314" i="6"/>
  <c r="Q314" i="6"/>
  <c r="R314" i="6" s="1"/>
  <c r="O314" i="6"/>
  <c r="A314" i="6"/>
  <c r="Y313" i="6"/>
  <c r="Z313" i="6" s="1"/>
  <c r="V313" i="6"/>
  <c r="U313" i="6"/>
  <c r="X313" i="6" s="1"/>
  <c r="T313" i="6"/>
  <c r="S313" i="6"/>
  <c r="Q313" i="6"/>
  <c r="R313" i="6" s="1"/>
  <c r="O313" i="6"/>
  <c r="A313" i="6"/>
  <c r="Y312" i="6"/>
  <c r="Z312" i="6" s="1"/>
  <c r="V312" i="6"/>
  <c r="U312" i="6"/>
  <c r="X312" i="6" s="1"/>
  <c r="T312" i="6"/>
  <c r="S312" i="6"/>
  <c r="Q312" i="6"/>
  <c r="R312" i="6" s="1"/>
  <c r="O312" i="6"/>
  <c r="A312" i="6"/>
  <c r="Y311" i="6"/>
  <c r="Z311" i="6" s="1"/>
  <c r="V311" i="6"/>
  <c r="U311" i="6"/>
  <c r="X311" i="6" s="1"/>
  <c r="T311" i="6"/>
  <c r="S311" i="6"/>
  <c r="Q311" i="6"/>
  <c r="R311" i="6" s="1"/>
  <c r="O311" i="6"/>
  <c r="A311" i="6"/>
  <c r="Z310" i="6"/>
  <c r="Y310" i="6"/>
  <c r="V310" i="6"/>
  <c r="U310" i="6"/>
  <c r="X310" i="6" s="1"/>
  <c r="T310" i="6"/>
  <c r="S310" i="6"/>
  <c r="Q310" i="6"/>
  <c r="R310" i="6" s="1"/>
  <c r="O310" i="6"/>
  <c r="A310" i="6"/>
  <c r="Z309" i="6"/>
  <c r="Y309" i="6"/>
  <c r="X309" i="6"/>
  <c r="V309" i="6"/>
  <c r="U309" i="6"/>
  <c r="W309" i="6" s="1"/>
  <c r="T309" i="6"/>
  <c r="S309" i="6"/>
  <c r="Q309" i="6"/>
  <c r="R309" i="6" s="1"/>
  <c r="O309" i="6"/>
  <c r="A309" i="6"/>
  <c r="Y308" i="6"/>
  <c r="Z308" i="6" s="1"/>
  <c r="V308" i="6"/>
  <c r="U308" i="6"/>
  <c r="X308" i="6" s="1"/>
  <c r="T308" i="6"/>
  <c r="S308" i="6"/>
  <c r="Q308" i="6"/>
  <c r="R308" i="6" s="1"/>
  <c r="O308" i="6"/>
  <c r="A308" i="6"/>
  <c r="Y307" i="6"/>
  <c r="Z307" i="6" s="1"/>
  <c r="X307" i="6"/>
  <c r="V307" i="6"/>
  <c r="U307" i="6"/>
  <c r="W307" i="6" s="1"/>
  <c r="T307" i="6"/>
  <c r="S307" i="6"/>
  <c r="Q307" i="6"/>
  <c r="R307" i="6" s="1"/>
  <c r="O307" i="6"/>
  <c r="A307" i="6"/>
  <c r="Y306" i="6"/>
  <c r="Z306" i="6" s="1"/>
  <c r="V306" i="6"/>
  <c r="U306" i="6"/>
  <c r="X306" i="6" s="1"/>
  <c r="T306" i="6"/>
  <c r="S306" i="6"/>
  <c r="Q306" i="6"/>
  <c r="R306" i="6" s="1"/>
  <c r="O306" i="6"/>
  <c r="A306" i="6"/>
  <c r="Y305" i="6"/>
  <c r="Z305" i="6" s="1"/>
  <c r="X305" i="6"/>
  <c r="W305" i="6"/>
  <c r="V305" i="6"/>
  <c r="U305" i="6"/>
  <c r="T305" i="6"/>
  <c r="S305" i="6"/>
  <c r="Q305" i="6"/>
  <c r="R305" i="6" s="1"/>
  <c r="O305" i="6"/>
  <c r="A305" i="6"/>
  <c r="Y304" i="6"/>
  <c r="Z304" i="6" s="1"/>
  <c r="V304" i="6"/>
  <c r="U304" i="6"/>
  <c r="T304" i="6"/>
  <c r="S304" i="6"/>
  <c r="Q304" i="6"/>
  <c r="R304" i="6" s="1"/>
  <c r="O304" i="6"/>
  <c r="A304" i="6"/>
  <c r="Y303" i="6"/>
  <c r="Z303" i="6" s="1"/>
  <c r="W303" i="6"/>
  <c r="V303" i="6"/>
  <c r="U303" i="6"/>
  <c r="X303" i="6" s="1"/>
  <c r="T303" i="6"/>
  <c r="S303" i="6"/>
  <c r="Q303" i="6"/>
  <c r="R303" i="6" s="1"/>
  <c r="O303" i="6"/>
  <c r="A303" i="6"/>
  <c r="Y302" i="6"/>
  <c r="Z302" i="6" s="1"/>
  <c r="W302" i="6"/>
  <c r="V302" i="6"/>
  <c r="U302" i="6"/>
  <c r="X302" i="6" s="1"/>
  <c r="T302" i="6"/>
  <c r="S302" i="6"/>
  <c r="Q302" i="6"/>
  <c r="R302" i="6" s="1"/>
  <c r="O302" i="6"/>
  <c r="A302" i="6"/>
  <c r="Z301" i="6"/>
  <c r="Y301" i="6"/>
  <c r="V301" i="6"/>
  <c r="U301" i="6"/>
  <c r="X301" i="6" s="1"/>
  <c r="T301" i="6"/>
  <c r="S301" i="6"/>
  <c r="Q301" i="6"/>
  <c r="R301" i="6" s="1"/>
  <c r="O301" i="6"/>
  <c r="A301" i="6"/>
  <c r="Y300" i="6"/>
  <c r="Z300" i="6" s="1"/>
  <c r="W300" i="6"/>
  <c r="V300" i="6"/>
  <c r="U300" i="6"/>
  <c r="X300" i="6" s="1"/>
  <c r="T300" i="6"/>
  <c r="S300" i="6"/>
  <c r="Q300" i="6"/>
  <c r="R300" i="6" s="1"/>
  <c r="O300" i="6"/>
  <c r="A300" i="6"/>
  <c r="Y299" i="6"/>
  <c r="Z299" i="6" s="1"/>
  <c r="W299" i="6"/>
  <c r="V299" i="6"/>
  <c r="U299" i="6"/>
  <c r="X299" i="6" s="1"/>
  <c r="T299" i="6"/>
  <c r="S299" i="6"/>
  <c r="Q299" i="6"/>
  <c r="R299" i="6" s="1"/>
  <c r="O299" i="6"/>
  <c r="A299" i="6"/>
  <c r="Y298" i="6"/>
  <c r="Z298" i="6" s="1"/>
  <c r="W298" i="6"/>
  <c r="V298" i="6"/>
  <c r="U298" i="6"/>
  <c r="X298" i="6" s="1"/>
  <c r="T298" i="6"/>
  <c r="S298" i="6"/>
  <c r="Q298" i="6"/>
  <c r="R298" i="6" s="1"/>
  <c r="O298" i="6"/>
  <c r="A298" i="6"/>
  <c r="Y297" i="6"/>
  <c r="Z297" i="6" s="1"/>
  <c r="V297" i="6"/>
  <c r="U297" i="6"/>
  <c r="X297" i="6" s="1"/>
  <c r="T297" i="6"/>
  <c r="S297" i="6"/>
  <c r="R297" i="6"/>
  <c r="Q297" i="6"/>
  <c r="O297" i="6"/>
  <c r="A297" i="6"/>
  <c r="Y296" i="6"/>
  <c r="Z296" i="6" s="1"/>
  <c r="W296" i="6"/>
  <c r="V296" i="6"/>
  <c r="U296" i="6"/>
  <c r="X296" i="6" s="1"/>
  <c r="T296" i="6"/>
  <c r="S296" i="6"/>
  <c r="Q296" i="6"/>
  <c r="R296" i="6" s="1"/>
  <c r="O296" i="6"/>
  <c r="A296" i="6"/>
  <c r="Y295" i="6"/>
  <c r="Z295" i="6" s="1"/>
  <c r="V295" i="6"/>
  <c r="U295" i="6"/>
  <c r="W295" i="6" s="1"/>
  <c r="T295" i="6"/>
  <c r="S295" i="6"/>
  <c r="Q295" i="6"/>
  <c r="R295" i="6" s="1"/>
  <c r="O295" i="6"/>
  <c r="A295" i="6"/>
  <c r="Y294" i="6"/>
  <c r="Z294" i="6" s="1"/>
  <c r="X294" i="6"/>
  <c r="V294" i="6"/>
  <c r="U294" i="6"/>
  <c r="W294" i="6" s="1"/>
  <c r="T294" i="6"/>
  <c r="S294" i="6"/>
  <c r="Q294" i="6"/>
  <c r="R294" i="6" s="1"/>
  <c r="O294" i="6"/>
  <c r="A294" i="6"/>
  <c r="Y293" i="6"/>
  <c r="Z293" i="6" s="1"/>
  <c r="V293" i="6"/>
  <c r="U293" i="6"/>
  <c r="X293" i="6" s="1"/>
  <c r="T293" i="6"/>
  <c r="S293" i="6"/>
  <c r="Q293" i="6"/>
  <c r="R293" i="6" s="1"/>
  <c r="O293" i="6"/>
  <c r="A293" i="6"/>
  <c r="Y292" i="6"/>
  <c r="Z292" i="6" s="1"/>
  <c r="V292" i="6"/>
  <c r="U292" i="6"/>
  <c r="X292" i="6" s="1"/>
  <c r="T292" i="6"/>
  <c r="S292" i="6"/>
  <c r="R292" i="6"/>
  <c r="Q292" i="6"/>
  <c r="O292" i="6"/>
  <c r="A292" i="6"/>
  <c r="Y291" i="6"/>
  <c r="Z291" i="6" s="1"/>
  <c r="V291" i="6"/>
  <c r="U291" i="6"/>
  <c r="X291" i="6" s="1"/>
  <c r="T291" i="6"/>
  <c r="S291" i="6"/>
  <c r="R291" i="6"/>
  <c r="Q291" i="6"/>
  <c r="O291" i="6"/>
  <c r="A291" i="6"/>
  <c r="Z290" i="6"/>
  <c r="Y290" i="6"/>
  <c r="V290" i="6"/>
  <c r="U290" i="6"/>
  <c r="T290" i="6"/>
  <c r="S290" i="6"/>
  <c r="Q290" i="6"/>
  <c r="R290" i="6" s="1"/>
  <c r="O290" i="6"/>
  <c r="A290" i="6"/>
  <c r="Y289" i="6"/>
  <c r="Z289" i="6" s="1"/>
  <c r="X289" i="6"/>
  <c r="W289" i="6"/>
  <c r="V289" i="6"/>
  <c r="U289" i="6"/>
  <c r="T289" i="6"/>
  <c r="S289" i="6"/>
  <c r="R289" i="6"/>
  <c r="Q289" i="6"/>
  <c r="O289" i="6"/>
  <c r="A289" i="6"/>
  <c r="Y288" i="6"/>
  <c r="Z288" i="6" s="1"/>
  <c r="V288" i="6"/>
  <c r="U288" i="6"/>
  <c r="T288" i="6"/>
  <c r="S288" i="6"/>
  <c r="Q288" i="6"/>
  <c r="R288" i="6" s="1"/>
  <c r="O288" i="6"/>
  <c r="A288" i="6"/>
  <c r="Z287" i="6"/>
  <c r="Y287" i="6"/>
  <c r="X287" i="6"/>
  <c r="V287" i="6"/>
  <c r="U287" i="6"/>
  <c r="W287" i="6" s="1"/>
  <c r="T287" i="6"/>
  <c r="S287" i="6"/>
  <c r="Q287" i="6"/>
  <c r="R287" i="6" s="1"/>
  <c r="O287" i="6"/>
  <c r="A287" i="6"/>
  <c r="Y286" i="6"/>
  <c r="Z286" i="6" s="1"/>
  <c r="W286" i="6"/>
  <c r="V286" i="6"/>
  <c r="U286" i="6"/>
  <c r="X286" i="6" s="1"/>
  <c r="T286" i="6"/>
  <c r="S286" i="6"/>
  <c r="Q286" i="6"/>
  <c r="R286" i="6" s="1"/>
  <c r="O286" i="6"/>
  <c r="A286" i="6"/>
  <c r="Z285" i="6"/>
  <c r="Y285" i="6"/>
  <c r="V285" i="6"/>
  <c r="U285" i="6"/>
  <c r="X285" i="6" s="1"/>
  <c r="T285" i="6"/>
  <c r="S285" i="6"/>
  <c r="Q285" i="6"/>
  <c r="R285" i="6" s="1"/>
  <c r="O285" i="6"/>
  <c r="A285" i="6"/>
  <c r="Y284" i="6"/>
  <c r="Z284" i="6" s="1"/>
  <c r="X284" i="6"/>
  <c r="V284" i="6"/>
  <c r="U284" i="6"/>
  <c r="W284" i="6" s="1"/>
  <c r="T284" i="6"/>
  <c r="S284" i="6"/>
  <c r="R284" i="6"/>
  <c r="Q284" i="6"/>
  <c r="O284" i="6"/>
  <c r="A284" i="6"/>
  <c r="Z283" i="6"/>
  <c r="Y283" i="6"/>
  <c r="W283" i="6"/>
  <c r="V283" i="6"/>
  <c r="U283" i="6"/>
  <c r="X283" i="6" s="1"/>
  <c r="T283" i="6"/>
  <c r="S283" i="6"/>
  <c r="Q283" i="6"/>
  <c r="R283" i="6" s="1"/>
  <c r="O283" i="6"/>
  <c r="A283" i="6"/>
  <c r="Y282" i="6"/>
  <c r="Z282" i="6" s="1"/>
  <c r="X282" i="6"/>
  <c r="W282" i="6"/>
  <c r="V282" i="6"/>
  <c r="U282" i="6"/>
  <c r="T282" i="6"/>
  <c r="S282" i="6"/>
  <c r="Q282" i="6"/>
  <c r="R282" i="6" s="1"/>
  <c r="O282" i="6"/>
  <c r="A282" i="6"/>
  <c r="Z281" i="6"/>
  <c r="Y281" i="6"/>
  <c r="V281" i="6"/>
  <c r="U281" i="6"/>
  <c r="T281" i="6"/>
  <c r="S281" i="6"/>
  <c r="Q281" i="6"/>
  <c r="R281" i="6" s="1"/>
  <c r="O281" i="6"/>
  <c r="A281" i="6"/>
  <c r="Z280" i="6"/>
  <c r="Y280" i="6"/>
  <c r="X280" i="6"/>
  <c r="V280" i="6"/>
  <c r="U280" i="6"/>
  <c r="W280" i="6" s="1"/>
  <c r="T280" i="6"/>
  <c r="S280" i="6"/>
  <c r="Q280" i="6"/>
  <c r="R280" i="6" s="1"/>
  <c r="O280" i="6"/>
  <c r="A280" i="6"/>
  <c r="Y279" i="6"/>
  <c r="Z279" i="6" s="1"/>
  <c r="V279" i="6"/>
  <c r="U279" i="6"/>
  <c r="X279" i="6" s="1"/>
  <c r="T279" i="6"/>
  <c r="S279" i="6"/>
  <c r="Q279" i="6"/>
  <c r="R279" i="6" s="1"/>
  <c r="O279" i="6"/>
  <c r="A279" i="6"/>
  <c r="Z278" i="6"/>
  <c r="Y278" i="6"/>
  <c r="V278" i="6"/>
  <c r="U278" i="6"/>
  <c r="T278" i="6"/>
  <c r="S278" i="6"/>
  <c r="Q278" i="6"/>
  <c r="R278" i="6" s="1"/>
  <c r="O278" i="6"/>
  <c r="A278" i="6"/>
  <c r="Z277" i="6"/>
  <c r="Y277" i="6"/>
  <c r="W277" i="6"/>
  <c r="V277" i="6"/>
  <c r="U277" i="6"/>
  <c r="X277" i="6" s="1"/>
  <c r="T277" i="6"/>
  <c r="S277" i="6"/>
  <c r="R277" i="6"/>
  <c r="Q277" i="6"/>
  <c r="O277" i="6"/>
  <c r="A277" i="6"/>
  <c r="Y276" i="6"/>
  <c r="Z276" i="6" s="1"/>
  <c r="V276" i="6"/>
  <c r="U276" i="6"/>
  <c r="T276" i="6"/>
  <c r="S276" i="6"/>
  <c r="R276" i="6"/>
  <c r="Q276" i="6"/>
  <c r="O276" i="6"/>
  <c r="A276" i="6"/>
  <c r="Z275" i="6"/>
  <c r="Y275" i="6"/>
  <c r="X275" i="6"/>
  <c r="V275" i="6"/>
  <c r="U275" i="6"/>
  <c r="W275" i="6" s="1"/>
  <c r="T275" i="6"/>
  <c r="S275" i="6"/>
  <c r="Q275" i="6"/>
  <c r="R275" i="6" s="1"/>
  <c r="O275" i="6"/>
  <c r="A275" i="6"/>
  <c r="Z274" i="6"/>
  <c r="Y274" i="6"/>
  <c r="X274" i="6"/>
  <c r="W274" i="6"/>
  <c r="V274" i="6"/>
  <c r="U274" i="6"/>
  <c r="T274" i="6"/>
  <c r="S274" i="6"/>
  <c r="Q274" i="6"/>
  <c r="R274" i="6" s="1"/>
  <c r="O274" i="6"/>
  <c r="A274" i="6"/>
  <c r="Z273" i="6"/>
  <c r="Y273" i="6"/>
  <c r="V273" i="6"/>
  <c r="U273" i="6"/>
  <c r="T273" i="6"/>
  <c r="S273" i="6"/>
  <c r="Q273" i="6"/>
  <c r="R273" i="6" s="1"/>
  <c r="O273" i="6"/>
  <c r="A273" i="6"/>
  <c r="Y272" i="6"/>
  <c r="Z272" i="6" s="1"/>
  <c r="X272" i="6"/>
  <c r="W272" i="6"/>
  <c r="V272" i="6"/>
  <c r="U272" i="6"/>
  <c r="T272" i="6"/>
  <c r="S272" i="6"/>
  <c r="Q272" i="6"/>
  <c r="R272" i="6" s="1"/>
  <c r="O272" i="6"/>
  <c r="A272" i="6"/>
  <c r="Y271" i="6"/>
  <c r="Z271" i="6" s="1"/>
  <c r="V271" i="6"/>
  <c r="U271" i="6"/>
  <c r="T271" i="6"/>
  <c r="S271" i="6"/>
  <c r="Q271" i="6"/>
  <c r="R271" i="6" s="1"/>
  <c r="O271" i="6"/>
  <c r="A271" i="6"/>
  <c r="Y270" i="6"/>
  <c r="Z270" i="6" s="1"/>
  <c r="X270" i="6"/>
  <c r="V270" i="6"/>
  <c r="U270" i="6"/>
  <c r="W270" i="6" s="1"/>
  <c r="T270" i="6"/>
  <c r="S270" i="6"/>
  <c r="Q270" i="6"/>
  <c r="R270" i="6" s="1"/>
  <c r="O270" i="6"/>
  <c r="A270" i="6"/>
  <c r="Y269" i="6"/>
  <c r="Z269" i="6" s="1"/>
  <c r="X269" i="6"/>
  <c r="V269" i="6"/>
  <c r="U269" i="6"/>
  <c r="W269" i="6" s="1"/>
  <c r="T269" i="6"/>
  <c r="S269" i="6"/>
  <c r="Q269" i="6"/>
  <c r="R269" i="6" s="1"/>
  <c r="O269" i="6"/>
  <c r="A269" i="6"/>
  <c r="Z268" i="6"/>
  <c r="Y268" i="6"/>
  <c r="V268" i="6"/>
  <c r="U268" i="6"/>
  <c r="T268" i="6"/>
  <c r="S268" i="6"/>
  <c r="Q268" i="6"/>
  <c r="R268" i="6" s="1"/>
  <c r="O268" i="6"/>
  <c r="A268" i="6"/>
  <c r="Z267" i="6"/>
  <c r="Y267" i="6"/>
  <c r="V267" i="6"/>
  <c r="U267" i="6"/>
  <c r="T267" i="6"/>
  <c r="S267" i="6"/>
  <c r="R267" i="6"/>
  <c r="Q267" i="6"/>
  <c r="O267" i="6"/>
  <c r="A267" i="6"/>
  <c r="Y266" i="6"/>
  <c r="Z266" i="6" s="1"/>
  <c r="V266" i="6"/>
  <c r="U266" i="6"/>
  <c r="T266" i="6"/>
  <c r="S266" i="6"/>
  <c r="R266" i="6"/>
  <c r="Q266" i="6"/>
  <c r="O266" i="6"/>
  <c r="A266" i="6"/>
  <c r="Y265" i="6"/>
  <c r="Z265" i="6" s="1"/>
  <c r="X265" i="6"/>
  <c r="V265" i="6"/>
  <c r="U265" i="6"/>
  <c r="W265" i="6" s="1"/>
  <c r="T265" i="6"/>
  <c r="S265" i="6"/>
  <c r="Q265" i="6"/>
  <c r="R265" i="6" s="1"/>
  <c r="O265" i="6"/>
  <c r="A265" i="6"/>
  <c r="Z264" i="6"/>
  <c r="Y264" i="6"/>
  <c r="W264" i="6"/>
  <c r="V264" i="6"/>
  <c r="U264" i="6"/>
  <c r="X264" i="6" s="1"/>
  <c r="T264" i="6"/>
  <c r="S264" i="6"/>
  <c r="Q264" i="6"/>
  <c r="R264" i="6" s="1"/>
  <c r="O264" i="6"/>
  <c r="A264" i="6"/>
  <c r="Z263" i="6"/>
  <c r="Y263" i="6"/>
  <c r="V263" i="6"/>
  <c r="U263" i="6"/>
  <c r="T263" i="6"/>
  <c r="S263" i="6"/>
  <c r="Q263" i="6"/>
  <c r="R263" i="6" s="1"/>
  <c r="O263" i="6"/>
  <c r="A263" i="6"/>
  <c r="Y262" i="6"/>
  <c r="Z262" i="6" s="1"/>
  <c r="V262" i="6"/>
  <c r="U262" i="6"/>
  <c r="X262" i="6" s="1"/>
  <c r="T262" i="6"/>
  <c r="S262" i="6"/>
  <c r="Q262" i="6"/>
  <c r="R262" i="6" s="1"/>
  <c r="O262" i="6"/>
  <c r="A262" i="6"/>
  <c r="Y261" i="6"/>
  <c r="Z261" i="6" s="1"/>
  <c r="V261" i="6"/>
  <c r="U261" i="6"/>
  <c r="T261" i="6"/>
  <c r="S261" i="6"/>
  <c r="Q261" i="6"/>
  <c r="R261" i="6" s="1"/>
  <c r="O261" i="6"/>
  <c r="A261" i="6"/>
  <c r="Z260" i="6"/>
  <c r="Y260" i="6"/>
  <c r="X260" i="6"/>
  <c r="V260" i="6"/>
  <c r="U260" i="6"/>
  <c r="W260" i="6" s="1"/>
  <c r="T260" i="6"/>
  <c r="S260" i="6"/>
  <c r="Q260" i="6"/>
  <c r="R260" i="6" s="1"/>
  <c r="O260" i="6"/>
  <c r="A260" i="6"/>
  <c r="Y259" i="6"/>
  <c r="Z259" i="6" s="1"/>
  <c r="V259" i="6"/>
  <c r="U259" i="6"/>
  <c r="X259" i="6" s="1"/>
  <c r="T259" i="6"/>
  <c r="S259" i="6"/>
  <c r="Q259" i="6"/>
  <c r="R259" i="6" s="1"/>
  <c r="O259" i="6"/>
  <c r="A259" i="6"/>
  <c r="Z258" i="6"/>
  <c r="Y258" i="6"/>
  <c r="V258" i="6"/>
  <c r="U258" i="6"/>
  <c r="T258" i="6"/>
  <c r="S258" i="6"/>
  <c r="Q258" i="6"/>
  <c r="R258" i="6" s="1"/>
  <c r="O258" i="6"/>
  <c r="A258" i="6"/>
  <c r="Y257" i="6"/>
  <c r="Z257" i="6" s="1"/>
  <c r="V257" i="6"/>
  <c r="U257" i="6"/>
  <c r="X257" i="6" s="1"/>
  <c r="T257" i="6"/>
  <c r="S257" i="6"/>
  <c r="R257" i="6"/>
  <c r="Q257" i="6"/>
  <c r="O257" i="6"/>
  <c r="A257" i="6"/>
  <c r="Y256" i="6"/>
  <c r="Z256" i="6" s="1"/>
  <c r="V256" i="6"/>
  <c r="U256" i="6"/>
  <c r="T256" i="6"/>
  <c r="S256" i="6"/>
  <c r="Q256" i="6"/>
  <c r="R256" i="6" s="1"/>
  <c r="O256" i="6"/>
  <c r="A256" i="6"/>
  <c r="Y255" i="6"/>
  <c r="Z255" i="6" s="1"/>
  <c r="X255" i="6"/>
  <c r="V255" i="6"/>
  <c r="U255" i="6"/>
  <c r="W255" i="6" s="1"/>
  <c r="T255" i="6"/>
  <c r="S255" i="6"/>
  <c r="Q255" i="6"/>
  <c r="R255" i="6" s="1"/>
  <c r="O255" i="6"/>
  <c r="A255" i="6"/>
  <c r="Z254" i="6"/>
  <c r="Y254" i="6"/>
  <c r="W254" i="6"/>
  <c r="V254" i="6"/>
  <c r="U254" i="6"/>
  <c r="X254" i="6" s="1"/>
  <c r="T254" i="6"/>
  <c r="S254" i="6"/>
  <c r="Q254" i="6"/>
  <c r="R254" i="6" s="1"/>
  <c r="O254" i="6"/>
  <c r="A254" i="6"/>
  <c r="Z253" i="6"/>
  <c r="Y253" i="6"/>
  <c r="X253" i="6"/>
  <c r="V253" i="6"/>
  <c r="U253" i="6"/>
  <c r="W253" i="6" s="1"/>
  <c r="T253" i="6"/>
  <c r="S253" i="6"/>
  <c r="Q253" i="6"/>
  <c r="R253" i="6" s="1"/>
  <c r="O253" i="6"/>
  <c r="A253" i="6"/>
  <c r="Z252" i="6"/>
  <c r="Y252" i="6"/>
  <c r="V252" i="6"/>
  <c r="U252" i="6"/>
  <c r="T252" i="6"/>
  <c r="S252" i="6"/>
  <c r="Q252" i="6"/>
  <c r="R252" i="6" s="1"/>
  <c r="O252" i="6"/>
  <c r="A252" i="6"/>
  <c r="Y251" i="6"/>
  <c r="Z251" i="6" s="1"/>
  <c r="V251" i="6"/>
  <c r="U251" i="6"/>
  <c r="T251" i="6"/>
  <c r="S251" i="6"/>
  <c r="R251" i="6"/>
  <c r="Q251" i="6"/>
  <c r="O251" i="6"/>
  <c r="A251" i="6"/>
  <c r="Y250" i="6"/>
  <c r="Z250" i="6" s="1"/>
  <c r="X250" i="6"/>
  <c r="V250" i="6"/>
  <c r="U250" i="6"/>
  <c r="W250" i="6" s="1"/>
  <c r="T250" i="6"/>
  <c r="S250" i="6"/>
  <c r="Q250" i="6"/>
  <c r="R250" i="6" s="1"/>
  <c r="O250" i="6"/>
  <c r="A250" i="6"/>
  <c r="Z249" i="6"/>
  <c r="Y249" i="6"/>
  <c r="X249" i="6"/>
  <c r="W249" i="6"/>
  <c r="V249" i="6"/>
  <c r="U249" i="6"/>
  <c r="T249" i="6"/>
  <c r="S249" i="6"/>
  <c r="Q249" i="6"/>
  <c r="R249" i="6" s="1"/>
  <c r="O249" i="6"/>
  <c r="A249" i="6"/>
  <c r="Z248" i="6"/>
  <c r="Y248" i="6"/>
  <c r="X248" i="6"/>
  <c r="V248" i="6"/>
  <c r="U248" i="6"/>
  <c r="W248" i="6" s="1"/>
  <c r="T248" i="6"/>
  <c r="S248" i="6"/>
  <c r="Q248" i="6"/>
  <c r="R248" i="6" s="1"/>
  <c r="O248" i="6"/>
  <c r="A248" i="6"/>
  <c r="Z247" i="6"/>
  <c r="Y247" i="6"/>
  <c r="W247" i="6"/>
  <c r="V247" i="6"/>
  <c r="U247" i="6"/>
  <c r="X247" i="6" s="1"/>
  <c r="T247" i="6"/>
  <c r="S247" i="6"/>
  <c r="Q247" i="6"/>
  <c r="R247" i="6" s="1"/>
  <c r="O247" i="6"/>
  <c r="A247" i="6"/>
  <c r="Y246" i="6"/>
  <c r="Z246" i="6" s="1"/>
  <c r="V246" i="6"/>
  <c r="U246" i="6"/>
  <c r="T246" i="6"/>
  <c r="S246" i="6"/>
  <c r="R246" i="6"/>
  <c r="Q246" i="6"/>
  <c r="O246" i="6"/>
  <c r="A246" i="6"/>
  <c r="Z245" i="6"/>
  <c r="Y245" i="6"/>
  <c r="X245" i="6"/>
  <c r="V245" i="6"/>
  <c r="U245" i="6"/>
  <c r="W245" i="6" s="1"/>
  <c r="T245" i="6"/>
  <c r="S245" i="6"/>
  <c r="Q245" i="6"/>
  <c r="R245" i="6" s="1"/>
  <c r="O245" i="6"/>
  <c r="A245" i="6"/>
  <c r="Z244" i="6"/>
  <c r="Y244" i="6"/>
  <c r="X244" i="6"/>
  <c r="W244" i="6"/>
  <c r="V244" i="6"/>
  <c r="U244" i="6"/>
  <c r="T244" i="6"/>
  <c r="S244" i="6"/>
  <c r="Q244" i="6"/>
  <c r="R244" i="6" s="1"/>
  <c r="O244" i="6"/>
  <c r="A244" i="6"/>
  <c r="Z243" i="6"/>
  <c r="Y243" i="6"/>
  <c r="V243" i="6"/>
  <c r="U243" i="6"/>
  <c r="W243" i="6" s="1"/>
  <c r="T243" i="6"/>
  <c r="S243" i="6"/>
  <c r="Q243" i="6"/>
  <c r="R243" i="6" s="1"/>
  <c r="O243" i="6"/>
  <c r="A243" i="6"/>
  <c r="Y242" i="6"/>
  <c r="Z242" i="6" s="1"/>
  <c r="X242" i="6"/>
  <c r="W242" i="6"/>
  <c r="V242" i="6"/>
  <c r="U242" i="6"/>
  <c r="T242" i="6"/>
  <c r="S242" i="6"/>
  <c r="Q242" i="6"/>
  <c r="R242" i="6" s="1"/>
  <c r="O242" i="6"/>
  <c r="A242" i="6"/>
  <c r="Y241" i="6"/>
  <c r="Z241" i="6" s="1"/>
  <c r="V241" i="6"/>
  <c r="U241" i="6"/>
  <c r="T241" i="6"/>
  <c r="S241" i="6"/>
  <c r="R241" i="6"/>
  <c r="Q241" i="6"/>
  <c r="O241" i="6"/>
  <c r="A241" i="6"/>
  <c r="Z240" i="6"/>
  <c r="Y240" i="6"/>
  <c r="X240" i="6"/>
  <c r="V240" i="6"/>
  <c r="U240" i="6"/>
  <c r="W240" i="6" s="1"/>
  <c r="T240" i="6"/>
  <c r="S240" i="6"/>
  <c r="Q240" i="6"/>
  <c r="R240" i="6" s="1"/>
  <c r="O240" i="6"/>
  <c r="A240" i="6"/>
  <c r="Y239" i="6"/>
  <c r="Z239" i="6" s="1"/>
  <c r="W239" i="6"/>
  <c r="V239" i="6"/>
  <c r="U239" i="6"/>
  <c r="X239" i="6" s="1"/>
  <c r="T239" i="6"/>
  <c r="S239" i="6"/>
  <c r="Q239" i="6"/>
  <c r="R239" i="6" s="1"/>
  <c r="O239" i="6"/>
  <c r="A239" i="6"/>
  <c r="Z238" i="6"/>
  <c r="Y238" i="6"/>
  <c r="V238" i="6"/>
  <c r="U238" i="6"/>
  <c r="W238" i="6" s="1"/>
  <c r="T238" i="6"/>
  <c r="S238" i="6"/>
  <c r="Q238" i="6"/>
  <c r="R238" i="6" s="1"/>
  <c r="O238" i="6"/>
  <c r="A238" i="6"/>
  <c r="Z237" i="6"/>
  <c r="Y237" i="6"/>
  <c r="X237" i="6"/>
  <c r="W237" i="6"/>
  <c r="V237" i="6"/>
  <c r="U237" i="6"/>
  <c r="T237" i="6"/>
  <c r="S237" i="6"/>
  <c r="R237" i="6"/>
  <c r="Q237" i="6"/>
  <c r="O237" i="6"/>
  <c r="A237" i="6"/>
  <c r="Y236" i="6"/>
  <c r="Z236" i="6" s="1"/>
  <c r="V236" i="6"/>
  <c r="U236" i="6"/>
  <c r="T236" i="6"/>
  <c r="S236" i="6"/>
  <c r="Q236" i="6"/>
  <c r="R236" i="6" s="1"/>
  <c r="O236" i="6"/>
  <c r="A236" i="6"/>
  <c r="Y235" i="6"/>
  <c r="Z235" i="6" s="1"/>
  <c r="X235" i="6"/>
  <c r="V235" i="6"/>
  <c r="U235" i="6"/>
  <c r="W235" i="6" s="1"/>
  <c r="T235" i="6"/>
  <c r="S235" i="6"/>
  <c r="Q235" i="6"/>
  <c r="R235" i="6" s="1"/>
  <c r="O235" i="6"/>
  <c r="A235" i="6"/>
  <c r="Y234" i="6"/>
  <c r="Z234" i="6" s="1"/>
  <c r="V234" i="6"/>
  <c r="U234" i="6"/>
  <c r="X234" i="6" s="1"/>
  <c r="T234" i="6"/>
  <c r="S234" i="6"/>
  <c r="Q234" i="6"/>
  <c r="R234" i="6" s="1"/>
  <c r="O234" i="6"/>
  <c r="A234" i="6"/>
  <c r="Z233" i="6"/>
  <c r="Y233" i="6"/>
  <c r="V233" i="6"/>
  <c r="U233" i="6"/>
  <c r="W233" i="6" s="1"/>
  <c r="T233" i="6"/>
  <c r="S233" i="6"/>
  <c r="Q233" i="6"/>
  <c r="R233" i="6" s="1"/>
  <c r="O233" i="6"/>
  <c r="A233" i="6"/>
  <c r="Y232" i="6"/>
  <c r="Z232" i="6" s="1"/>
  <c r="V232" i="6"/>
  <c r="U232" i="6"/>
  <c r="X232" i="6" s="1"/>
  <c r="T232" i="6"/>
  <c r="S232" i="6"/>
  <c r="R232" i="6"/>
  <c r="Q232" i="6"/>
  <c r="O232" i="6"/>
  <c r="A232" i="6"/>
  <c r="Y231" i="6"/>
  <c r="Z231" i="6" s="1"/>
  <c r="V231" i="6"/>
  <c r="U231" i="6"/>
  <c r="T231" i="6"/>
  <c r="S231" i="6"/>
  <c r="Q231" i="6"/>
  <c r="R231" i="6" s="1"/>
  <c r="O231" i="6"/>
  <c r="A231" i="6"/>
  <c r="Z230" i="6"/>
  <c r="Y230" i="6"/>
  <c r="X230" i="6"/>
  <c r="V230" i="6"/>
  <c r="U230" i="6"/>
  <c r="W230" i="6" s="1"/>
  <c r="T230" i="6"/>
  <c r="S230" i="6"/>
  <c r="Q230" i="6"/>
  <c r="R230" i="6" s="1"/>
  <c r="O230" i="6"/>
  <c r="A230" i="6"/>
  <c r="Y229" i="6"/>
  <c r="Z229" i="6" s="1"/>
  <c r="X229" i="6"/>
  <c r="W229" i="6"/>
  <c r="V229" i="6"/>
  <c r="U229" i="6"/>
  <c r="T229" i="6"/>
  <c r="S229" i="6"/>
  <c r="Q229" i="6"/>
  <c r="R229" i="6" s="1"/>
  <c r="O229" i="6"/>
  <c r="A229" i="6"/>
  <c r="Z228" i="6"/>
  <c r="Y228" i="6"/>
  <c r="X228" i="6"/>
  <c r="V228" i="6"/>
  <c r="U228" i="6"/>
  <c r="W228" i="6" s="1"/>
  <c r="T228" i="6"/>
  <c r="S228" i="6"/>
  <c r="Q228" i="6"/>
  <c r="R228" i="6" s="1"/>
  <c r="O228" i="6"/>
  <c r="A228" i="6"/>
  <c r="Y227" i="6"/>
  <c r="Z227" i="6" s="1"/>
  <c r="V227" i="6"/>
  <c r="U227" i="6"/>
  <c r="X227" i="6" s="1"/>
  <c r="T227" i="6"/>
  <c r="S227" i="6"/>
  <c r="Q227" i="6"/>
  <c r="R227" i="6" s="1"/>
  <c r="O227" i="6"/>
  <c r="A227" i="6"/>
  <c r="Y226" i="6"/>
  <c r="Z226" i="6" s="1"/>
  <c r="V226" i="6"/>
  <c r="U226" i="6"/>
  <c r="T226" i="6"/>
  <c r="S226" i="6"/>
  <c r="Q226" i="6"/>
  <c r="R226" i="6" s="1"/>
  <c r="O226" i="6"/>
  <c r="A226" i="6"/>
  <c r="Z225" i="6"/>
  <c r="Y225" i="6"/>
  <c r="X225" i="6"/>
  <c r="V225" i="6"/>
  <c r="U225" i="6"/>
  <c r="W225" i="6" s="1"/>
  <c r="T225" i="6"/>
  <c r="S225" i="6"/>
  <c r="Q225" i="6"/>
  <c r="R225" i="6" s="1"/>
  <c r="O225" i="6"/>
  <c r="A225" i="6"/>
  <c r="Y224" i="6"/>
  <c r="Z224" i="6" s="1"/>
  <c r="X224" i="6"/>
  <c r="W224" i="6"/>
  <c r="V224" i="6"/>
  <c r="U224" i="6"/>
  <c r="T224" i="6"/>
  <c r="S224" i="6"/>
  <c r="R224" i="6"/>
  <c r="Q224" i="6"/>
  <c r="O224" i="6"/>
  <c r="A224" i="6"/>
  <c r="Z223" i="6"/>
  <c r="Y223" i="6"/>
  <c r="V223" i="6"/>
  <c r="U223" i="6"/>
  <c r="W223" i="6" s="1"/>
  <c r="T223" i="6"/>
  <c r="S223" i="6"/>
  <c r="R223" i="6"/>
  <c r="Q223" i="6"/>
  <c r="O223" i="6"/>
  <c r="A223" i="6"/>
  <c r="Y222" i="6"/>
  <c r="Z222" i="6" s="1"/>
  <c r="V222" i="6"/>
  <c r="U222" i="6"/>
  <c r="X222" i="6" s="1"/>
  <c r="T222" i="6"/>
  <c r="S222" i="6"/>
  <c r="Q222" i="6"/>
  <c r="R222" i="6" s="1"/>
  <c r="O222" i="6"/>
  <c r="A222" i="6"/>
  <c r="Y221" i="6"/>
  <c r="Z221" i="6" s="1"/>
  <c r="V221" i="6"/>
  <c r="U221" i="6"/>
  <c r="T221" i="6"/>
  <c r="S221" i="6"/>
  <c r="Q221" i="6"/>
  <c r="R221" i="6" s="1"/>
  <c r="O221" i="6"/>
  <c r="A221" i="6"/>
  <c r="Z220" i="6"/>
  <c r="Y220" i="6"/>
  <c r="X220" i="6"/>
  <c r="V220" i="6"/>
  <c r="U220" i="6"/>
  <c r="W220" i="6" s="1"/>
  <c r="T220" i="6"/>
  <c r="S220" i="6"/>
  <c r="Q220" i="6"/>
  <c r="R220" i="6" s="1"/>
  <c r="O220" i="6"/>
  <c r="A220" i="6"/>
  <c r="Z219" i="6"/>
  <c r="Y219" i="6"/>
  <c r="V219" i="6"/>
  <c r="U219" i="6"/>
  <c r="T219" i="6"/>
  <c r="S219" i="6"/>
  <c r="Q219" i="6"/>
  <c r="R219" i="6" s="1"/>
  <c r="O219" i="6"/>
  <c r="A219" i="6"/>
  <c r="Z218" i="6"/>
  <c r="Y218" i="6"/>
  <c r="V218" i="6"/>
  <c r="U218" i="6"/>
  <c r="W218" i="6" s="1"/>
  <c r="T218" i="6"/>
  <c r="S218" i="6"/>
  <c r="R218" i="6"/>
  <c r="Q218" i="6"/>
  <c r="O218" i="6"/>
  <c r="A218" i="6"/>
  <c r="Y217" i="6"/>
  <c r="Z217" i="6" s="1"/>
  <c r="X217" i="6"/>
  <c r="V217" i="6"/>
  <c r="U217" i="6"/>
  <c r="W217" i="6" s="1"/>
  <c r="T217" i="6"/>
  <c r="S217" i="6"/>
  <c r="Q217" i="6"/>
  <c r="R217" i="6" s="1"/>
  <c r="O217" i="6"/>
  <c r="A217" i="6"/>
  <c r="Y216" i="6"/>
  <c r="Z216" i="6" s="1"/>
  <c r="V216" i="6"/>
  <c r="U216" i="6"/>
  <c r="T216" i="6"/>
  <c r="S216" i="6"/>
  <c r="R216" i="6"/>
  <c r="Q216" i="6"/>
  <c r="O216" i="6"/>
  <c r="A216" i="6"/>
  <c r="Y215" i="6"/>
  <c r="Z215" i="6" s="1"/>
  <c r="X215" i="6"/>
  <c r="V215" i="6"/>
  <c r="U215" i="6"/>
  <c r="W215" i="6" s="1"/>
  <c r="T215" i="6"/>
  <c r="S215" i="6"/>
  <c r="Q215" i="6"/>
  <c r="R215" i="6" s="1"/>
  <c r="O215" i="6"/>
  <c r="A215" i="6"/>
  <c r="Z214" i="6"/>
  <c r="Y214" i="6"/>
  <c r="X214" i="6"/>
  <c r="V214" i="6"/>
  <c r="U214" i="6"/>
  <c r="W214" i="6" s="1"/>
  <c r="T214" i="6"/>
  <c r="S214" i="6"/>
  <c r="R214" i="6"/>
  <c r="Q214" i="6"/>
  <c r="O214" i="6"/>
  <c r="A214" i="6"/>
  <c r="Z213" i="6"/>
  <c r="Y213" i="6"/>
  <c r="V213" i="6"/>
  <c r="U213" i="6"/>
  <c r="T213" i="6"/>
  <c r="S213" i="6"/>
  <c r="Q213" i="6"/>
  <c r="R213" i="6" s="1"/>
  <c r="O213" i="6"/>
  <c r="A213" i="6"/>
  <c r="Y212" i="6"/>
  <c r="Z212" i="6" s="1"/>
  <c r="V212" i="6"/>
  <c r="U212" i="6"/>
  <c r="X212" i="6" s="1"/>
  <c r="T212" i="6"/>
  <c r="S212" i="6"/>
  <c r="R212" i="6"/>
  <c r="Q212" i="6"/>
  <c r="O212" i="6"/>
  <c r="A212" i="6"/>
  <c r="Y211" i="6"/>
  <c r="Z211" i="6" s="1"/>
  <c r="V211" i="6"/>
  <c r="U211" i="6"/>
  <c r="T211" i="6"/>
  <c r="S211" i="6"/>
  <c r="R211" i="6"/>
  <c r="Q211" i="6"/>
  <c r="O211" i="6"/>
  <c r="A211" i="6"/>
  <c r="Y210" i="6"/>
  <c r="Z210" i="6" s="1"/>
  <c r="X210" i="6"/>
  <c r="V210" i="6"/>
  <c r="U210" i="6"/>
  <c r="W210" i="6" s="1"/>
  <c r="T210" i="6"/>
  <c r="S210" i="6"/>
  <c r="Q210" i="6"/>
  <c r="R210" i="6" s="1"/>
  <c r="O210" i="6"/>
  <c r="A210" i="6"/>
  <c r="Y209" i="6"/>
  <c r="Z209" i="6" s="1"/>
  <c r="X209" i="6"/>
  <c r="V209" i="6"/>
  <c r="U209" i="6"/>
  <c r="W209" i="6" s="1"/>
  <c r="T209" i="6"/>
  <c r="S209" i="6"/>
  <c r="R209" i="6"/>
  <c r="Q209" i="6"/>
  <c r="O209" i="6"/>
  <c r="A209" i="6"/>
  <c r="Z208" i="6"/>
  <c r="Y208" i="6"/>
  <c r="X208" i="6"/>
  <c r="V208" i="6"/>
  <c r="U208" i="6"/>
  <c r="W208" i="6" s="1"/>
  <c r="T208" i="6"/>
  <c r="S208" i="6"/>
  <c r="Q208" i="6"/>
  <c r="R208" i="6" s="1"/>
  <c r="O208" i="6"/>
  <c r="A208" i="6"/>
  <c r="Y207" i="6"/>
  <c r="Z207" i="6" s="1"/>
  <c r="V207" i="6"/>
  <c r="U207" i="6"/>
  <c r="X207" i="6" s="1"/>
  <c r="T207" i="6"/>
  <c r="S207" i="6"/>
  <c r="R207" i="6"/>
  <c r="Q207" i="6"/>
  <c r="O207" i="6"/>
  <c r="A207" i="6"/>
  <c r="Y206" i="6"/>
  <c r="Z206" i="6" s="1"/>
  <c r="V206" i="6"/>
  <c r="U206" i="6"/>
  <c r="T206" i="6"/>
  <c r="S206" i="6"/>
  <c r="Q206" i="6"/>
  <c r="R206" i="6" s="1"/>
  <c r="O206" i="6"/>
  <c r="A206" i="6"/>
  <c r="Y205" i="6"/>
  <c r="Z205" i="6" s="1"/>
  <c r="X205" i="6"/>
  <c r="V205" i="6"/>
  <c r="U205" i="6"/>
  <c r="W205" i="6" s="1"/>
  <c r="T205" i="6"/>
  <c r="S205" i="6"/>
  <c r="Q205" i="6"/>
  <c r="R205" i="6" s="1"/>
  <c r="O205" i="6"/>
  <c r="A205" i="6"/>
  <c r="Z204" i="6"/>
  <c r="Y204" i="6"/>
  <c r="W204" i="6"/>
  <c r="V204" i="6"/>
  <c r="U204" i="6"/>
  <c r="X204" i="6" s="1"/>
  <c r="T204" i="6"/>
  <c r="S204" i="6"/>
  <c r="Q204" i="6"/>
  <c r="R204" i="6" s="1"/>
  <c r="O204" i="6"/>
  <c r="A204" i="6"/>
  <c r="Z203" i="6"/>
  <c r="Y203" i="6"/>
  <c r="X203" i="6"/>
  <c r="V203" i="6"/>
  <c r="U203" i="6"/>
  <c r="W203" i="6" s="1"/>
  <c r="T203" i="6"/>
  <c r="S203" i="6"/>
  <c r="Q203" i="6"/>
  <c r="R203" i="6" s="1"/>
  <c r="O203" i="6"/>
  <c r="A203" i="6"/>
  <c r="Z202" i="6"/>
  <c r="Y202" i="6"/>
  <c r="V202" i="6"/>
  <c r="U202" i="6"/>
  <c r="T202" i="6"/>
  <c r="S202" i="6"/>
  <c r="Q202" i="6"/>
  <c r="R202" i="6" s="1"/>
  <c r="O202" i="6"/>
  <c r="A202" i="6"/>
  <c r="Y201" i="6"/>
  <c r="Z201" i="6" s="1"/>
  <c r="V201" i="6"/>
  <c r="U201" i="6"/>
  <c r="T201" i="6"/>
  <c r="S201" i="6"/>
  <c r="Q201" i="6"/>
  <c r="R201" i="6" s="1"/>
  <c r="O201" i="6"/>
  <c r="A201" i="6"/>
  <c r="Y200" i="6"/>
  <c r="Z200" i="6" s="1"/>
  <c r="V200" i="6"/>
  <c r="U200" i="6"/>
  <c r="X200" i="6" s="1"/>
  <c r="T200" i="6"/>
  <c r="S200" i="6"/>
  <c r="Q200" i="6"/>
  <c r="R200" i="6" s="1"/>
  <c r="O200" i="6"/>
  <c r="A200" i="6"/>
  <c r="Y199" i="6"/>
  <c r="Z199" i="6" s="1"/>
  <c r="V199" i="6"/>
  <c r="U199" i="6"/>
  <c r="X199" i="6" s="1"/>
  <c r="T199" i="6"/>
  <c r="S199" i="6"/>
  <c r="Q199" i="6"/>
  <c r="R199" i="6" s="1"/>
  <c r="O199" i="6"/>
  <c r="A199" i="6"/>
  <c r="Z198" i="6"/>
  <c r="Y198" i="6"/>
  <c r="X198" i="6"/>
  <c r="V198" i="6"/>
  <c r="U198" i="6"/>
  <c r="W198" i="6" s="1"/>
  <c r="T198" i="6"/>
  <c r="S198" i="6"/>
  <c r="R198" i="6"/>
  <c r="Q198" i="6"/>
  <c r="O198" i="6"/>
  <c r="A198" i="6"/>
  <c r="Y197" i="6"/>
  <c r="Z197" i="6" s="1"/>
  <c r="V197" i="6"/>
  <c r="U197" i="6"/>
  <c r="X197" i="6" s="1"/>
  <c r="T197" i="6"/>
  <c r="S197" i="6"/>
  <c r="Q197" i="6"/>
  <c r="R197" i="6" s="1"/>
  <c r="O197" i="6"/>
  <c r="A197" i="6"/>
  <c r="Y196" i="6"/>
  <c r="Z196" i="6" s="1"/>
  <c r="V196" i="6"/>
  <c r="U196" i="6"/>
  <c r="T196" i="6"/>
  <c r="S196" i="6"/>
  <c r="Q196" i="6"/>
  <c r="R196" i="6" s="1"/>
  <c r="O196" i="6"/>
  <c r="A196" i="6"/>
  <c r="Z195" i="6"/>
  <c r="Y195" i="6"/>
  <c r="V195" i="6"/>
  <c r="U195" i="6"/>
  <c r="X195" i="6" s="1"/>
  <c r="T195" i="6"/>
  <c r="S195" i="6"/>
  <c r="Q195" i="6"/>
  <c r="R195" i="6" s="1"/>
  <c r="O195" i="6"/>
  <c r="A195" i="6"/>
  <c r="Y194" i="6"/>
  <c r="Z194" i="6" s="1"/>
  <c r="X194" i="6"/>
  <c r="V194" i="6"/>
  <c r="U194" i="6"/>
  <c r="W194" i="6" s="1"/>
  <c r="T194" i="6"/>
  <c r="S194" i="6"/>
  <c r="R194" i="6"/>
  <c r="Q194" i="6"/>
  <c r="O194" i="6"/>
  <c r="A194" i="6"/>
  <c r="Z193" i="6"/>
  <c r="Y193" i="6"/>
  <c r="X193" i="6"/>
  <c r="V193" i="6"/>
  <c r="U193" i="6"/>
  <c r="W193" i="6" s="1"/>
  <c r="T193" i="6"/>
  <c r="S193" i="6"/>
  <c r="Q193" i="6"/>
  <c r="R193" i="6" s="1"/>
  <c r="O193" i="6"/>
  <c r="A193" i="6"/>
  <c r="Y192" i="6"/>
  <c r="Z192" i="6" s="1"/>
  <c r="V192" i="6"/>
  <c r="U192" i="6"/>
  <c r="X192" i="6" s="1"/>
  <c r="T192" i="6"/>
  <c r="S192" i="6"/>
  <c r="R192" i="6"/>
  <c r="Q192" i="6"/>
  <c r="O192" i="6"/>
  <c r="A192" i="6"/>
  <c r="Y191" i="6"/>
  <c r="Z191" i="6" s="1"/>
  <c r="V191" i="6"/>
  <c r="U191" i="6"/>
  <c r="T191" i="6"/>
  <c r="S191" i="6"/>
  <c r="Q191" i="6"/>
  <c r="R191" i="6" s="1"/>
  <c r="O191" i="6"/>
  <c r="A191" i="6"/>
  <c r="Y190" i="6"/>
  <c r="Z190" i="6" s="1"/>
  <c r="V190" i="6"/>
  <c r="U190" i="6"/>
  <c r="X190" i="6" s="1"/>
  <c r="T190" i="6"/>
  <c r="S190" i="6"/>
  <c r="Q190" i="6"/>
  <c r="R190" i="6" s="1"/>
  <c r="O190" i="6"/>
  <c r="A190" i="6"/>
  <c r="Y189" i="6"/>
  <c r="Z189" i="6" s="1"/>
  <c r="V189" i="6"/>
  <c r="U189" i="6"/>
  <c r="X189" i="6" s="1"/>
  <c r="T189" i="6"/>
  <c r="S189" i="6"/>
  <c r="Q189" i="6"/>
  <c r="R189" i="6" s="1"/>
  <c r="O189" i="6"/>
  <c r="A189" i="6"/>
  <c r="Z188" i="6"/>
  <c r="Y188" i="6"/>
  <c r="X188" i="6"/>
  <c r="V188" i="6"/>
  <c r="U188" i="6"/>
  <c r="W188" i="6" s="1"/>
  <c r="T188" i="6"/>
  <c r="S188" i="6"/>
  <c r="R188" i="6"/>
  <c r="Q188" i="6"/>
  <c r="O188" i="6"/>
  <c r="A188" i="6"/>
  <c r="Y187" i="6"/>
  <c r="Z187" i="6" s="1"/>
  <c r="V187" i="6"/>
  <c r="U187" i="6"/>
  <c r="X187" i="6" s="1"/>
  <c r="T187" i="6"/>
  <c r="S187" i="6"/>
  <c r="R187" i="6"/>
  <c r="Q187" i="6"/>
  <c r="O187" i="6"/>
  <c r="A187" i="6"/>
  <c r="Y186" i="6"/>
  <c r="Z186" i="6" s="1"/>
  <c r="V186" i="6"/>
  <c r="U186" i="6"/>
  <c r="T186" i="6"/>
  <c r="S186" i="6"/>
  <c r="Q186" i="6"/>
  <c r="R186" i="6" s="1"/>
  <c r="O186" i="6"/>
  <c r="A186" i="6"/>
  <c r="Z185" i="6"/>
  <c r="Y185" i="6"/>
  <c r="V185" i="6"/>
  <c r="U185" i="6"/>
  <c r="X185" i="6" s="1"/>
  <c r="T185" i="6"/>
  <c r="S185" i="6"/>
  <c r="Q185" i="6"/>
  <c r="R185" i="6" s="1"/>
  <c r="O185" i="6"/>
  <c r="A185" i="6"/>
  <c r="Z184" i="6"/>
  <c r="Y184" i="6"/>
  <c r="X184" i="6"/>
  <c r="V184" i="6"/>
  <c r="U184" i="6"/>
  <c r="W184" i="6" s="1"/>
  <c r="T184" i="6"/>
  <c r="S184" i="6"/>
  <c r="R184" i="6"/>
  <c r="Q184" i="6"/>
  <c r="O184" i="6"/>
  <c r="A184" i="6"/>
  <c r="Z183" i="6"/>
  <c r="Y183" i="6"/>
  <c r="V183" i="6"/>
  <c r="U183" i="6"/>
  <c r="T183" i="6"/>
  <c r="S183" i="6"/>
  <c r="Q183" i="6"/>
  <c r="R183" i="6" s="1"/>
  <c r="O183" i="6"/>
  <c r="A183" i="6"/>
  <c r="Y182" i="6"/>
  <c r="Z182" i="6" s="1"/>
  <c r="V182" i="6"/>
  <c r="U182" i="6"/>
  <c r="X182" i="6" s="1"/>
  <c r="T182" i="6"/>
  <c r="S182" i="6"/>
  <c r="Q182" i="6"/>
  <c r="R182" i="6" s="1"/>
  <c r="O182" i="6"/>
  <c r="A182" i="6"/>
  <c r="Y181" i="6"/>
  <c r="Z181" i="6" s="1"/>
  <c r="W181" i="6"/>
  <c r="V181" i="6"/>
  <c r="U181" i="6"/>
  <c r="X181" i="6" s="1"/>
  <c r="T181" i="6"/>
  <c r="S181" i="6"/>
  <c r="Q181" i="6"/>
  <c r="R181" i="6" s="1"/>
  <c r="O181" i="6"/>
  <c r="A181" i="6"/>
  <c r="Z180" i="6"/>
  <c r="Y180" i="6"/>
  <c r="V180" i="6"/>
  <c r="U180" i="6"/>
  <c r="X180" i="6" s="1"/>
  <c r="T180" i="6"/>
  <c r="S180" i="6"/>
  <c r="Q180" i="6"/>
  <c r="R180" i="6" s="1"/>
  <c r="O180" i="6"/>
  <c r="A180" i="6"/>
  <c r="Y179" i="6"/>
  <c r="Z179" i="6" s="1"/>
  <c r="X179" i="6"/>
  <c r="V179" i="6"/>
  <c r="U179" i="6"/>
  <c r="W179" i="6" s="1"/>
  <c r="T179" i="6"/>
  <c r="S179" i="6"/>
  <c r="R179" i="6"/>
  <c r="Q179" i="6"/>
  <c r="O179" i="6"/>
  <c r="A179" i="6"/>
  <c r="Z178" i="6"/>
  <c r="Y178" i="6"/>
  <c r="X178" i="6"/>
  <c r="V178" i="6"/>
  <c r="U178" i="6"/>
  <c r="W178" i="6" s="1"/>
  <c r="T178" i="6"/>
  <c r="S178" i="6"/>
  <c r="Q178" i="6"/>
  <c r="R178" i="6" s="1"/>
  <c r="O178" i="6"/>
  <c r="A178" i="6"/>
  <c r="Y177" i="6"/>
  <c r="Z177" i="6" s="1"/>
  <c r="V177" i="6"/>
  <c r="U177" i="6"/>
  <c r="X177" i="6" s="1"/>
  <c r="T177" i="6"/>
  <c r="S177" i="6"/>
  <c r="R177" i="6"/>
  <c r="Q177" i="6"/>
  <c r="O177" i="6"/>
  <c r="A177" i="6"/>
  <c r="Y176" i="6"/>
  <c r="Z176" i="6" s="1"/>
  <c r="V176" i="6"/>
  <c r="U176" i="6"/>
  <c r="X176" i="6" s="1"/>
  <c r="T176" i="6"/>
  <c r="S176" i="6"/>
  <c r="Q176" i="6"/>
  <c r="R176" i="6" s="1"/>
  <c r="O176" i="6"/>
  <c r="A176" i="6"/>
  <c r="Y175" i="6"/>
  <c r="Z175" i="6" s="1"/>
  <c r="V175" i="6"/>
  <c r="U175" i="6"/>
  <c r="X175" i="6" s="1"/>
  <c r="T175" i="6"/>
  <c r="S175" i="6"/>
  <c r="Q175" i="6"/>
  <c r="R175" i="6" s="1"/>
  <c r="O175" i="6"/>
  <c r="A175" i="6"/>
  <c r="Z174" i="6"/>
  <c r="Y174" i="6"/>
  <c r="W174" i="6"/>
  <c r="V174" i="6"/>
  <c r="U174" i="6"/>
  <c r="X174" i="6" s="1"/>
  <c r="T174" i="6"/>
  <c r="S174" i="6"/>
  <c r="Q174" i="6"/>
  <c r="R174" i="6" s="1"/>
  <c r="O174" i="6"/>
  <c r="A174" i="6"/>
  <c r="Z173" i="6"/>
  <c r="Y173" i="6"/>
  <c r="X173" i="6"/>
  <c r="V173" i="6"/>
  <c r="U173" i="6"/>
  <c r="W173" i="6" s="1"/>
  <c r="T173" i="6"/>
  <c r="S173" i="6"/>
  <c r="Q173" i="6"/>
  <c r="R173" i="6" s="1"/>
  <c r="O173" i="6"/>
  <c r="A173" i="6"/>
  <c r="Z172" i="6"/>
  <c r="Y172" i="6"/>
  <c r="V172" i="6"/>
  <c r="U172" i="6"/>
  <c r="T172" i="6"/>
  <c r="S172" i="6"/>
  <c r="Q172" i="6"/>
  <c r="R172" i="6" s="1"/>
  <c r="O172" i="6"/>
  <c r="A172" i="6"/>
  <c r="Y171" i="6"/>
  <c r="Z171" i="6" s="1"/>
  <c r="V171" i="6"/>
  <c r="U171" i="6"/>
  <c r="X171" i="6" s="1"/>
  <c r="T171" i="6"/>
  <c r="S171" i="6"/>
  <c r="Q171" i="6"/>
  <c r="R171" i="6" s="1"/>
  <c r="O171" i="6"/>
  <c r="A171" i="6"/>
  <c r="Z170" i="6"/>
  <c r="Y170" i="6"/>
  <c r="V170" i="6"/>
  <c r="U170" i="6"/>
  <c r="X170" i="6" s="1"/>
  <c r="T170" i="6"/>
  <c r="S170" i="6"/>
  <c r="Q170" i="6"/>
  <c r="R170" i="6" s="1"/>
  <c r="O170" i="6"/>
  <c r="A170" i="6"/>
  <c r="Z169" i="6"/>
  <c r="Y169" i="6"/>
  <c r="W169" i="6"/>
  <c r="V169" i="6"/>
  <c r="U169" i="6"/>
  <c r="X169" i="6" s="1"/>
  <c r="T169" i="6"/>
  <c r="S169" i="6"/>
  <c r="Q169" i="6"/>
  <c r="R169" i="6" s="1"/>
  <c r="O169" i="6"/>
  <c r="A169" i="6"/>
  <c r="Z168" i="6"/>
  <c r="Y168" i="6"/>
  <c r="X168" i="6"/>
  <c r="V168" i="6"/>
  <c r="U168" i="6"/>
  <c r="W168" i="6" s="1"/>
  <c r="T168" i="6"/>
  <c r="S168" i="6"/>
  <c r="Q168" i="6"/>
  <c r="R168" i="6" s="1"/>
  <c r="O168" i="6"/>
  <c r="A168" i="6"/>
  <c r="Z167" i="6"/>
  <c r="Y167" i="6"/>
  <c r="W167" i="6"/>
  <c r="V167" i="6"/>
  <c r="U167" i="6"/>
  <c r="X167" i="6" s="1"/>
  <c r="T167" i="6"/>
  <c r="S167" i="6"/>
  <c r="R167" i="6"/>
  <c r="Q167" i="6"/>
  <c r="O167" i="6"/>
  <c r="A167" i="6"/>
  <c r="Y166" i="6"/>
  <c r="Z166" i="6" s="1"/>
  <c r="V166" i="6"/>
  <c r="U166" i="6"/>
  <c r="X166" i="6" s="1"/>
  <c r="T166" i="6"/>
  <c r="S166" i="6"/>
  <c r="Q166" i="6"/>
  <c r="R166" i="6" s="1"/>
  <c r="O166" i="6"/>
  <c r="A166" i="6"/>
  <c r="Y165" i="6"/>
  <c r="Z165" i="6" s="1"/>
  <c r="V165" i="6"/>
  <c r="U165" i="6"/>
  <c r="X165" i="6" s="1"/>
  <c r="T165" i="6"/>
  <c r="S165" i="6"/>
  <c r="Q165" i="6"/>
  <c r="R165" i="6" s="1"/>
  <c r="O165" i="6"/>
  <c r="A165" i="6"/>
  <c r="Z164" i="6"/>
  <c r="Y164" i="6"/>
  <c r="X164" i="6"/>
  <c r="W164" i="6"/>
  <c r="V164" i="6"/>
  <c r="U164" i="6"/>
  <c r="T164" i="6"/>
  <c r="S164" i="6"/>
  <c r="Q164" i="6"/>
  <c r="R164" i="6" s="1"/>
  <c r="O164" i="6"/>
  <c r="A164" i="6"/>
  <c r="Z163" i="6"/>
  <c r="Y163" i="6"/>
  <c r="V163" i="6"/>
  <c r="U163" i="6"/>
  <c r="W163" i="6" s="1"/>
  <c r="T163" i="6"/>
  <c r="S163" i="6"/>
  <c r="Q163" i="6"/>
  <c r="R163" i="6" s="1"/>
  <c r="O163" i="6"/>
  <c r="A163" i="6"/>
  <c r="Y162" i="6"/>
  <c r="Z162" i="6" s="1"/>
  <c r="X162" i="6"/>
  <c r="W162" i="6"/>
  <c r="V162" i="6"/>
  <c r="U162" i="6"/>
  <c r="T162" i="6"/>
  <c r="S162" i="6"/>
  <c r="R162" i="6"/>
  <c r="Q162" i="6"/>
  <c r="O162" i="6"/>
  <c r="A162" i="6"/>
  <c r="Y161" i="6"/>
  <c r="Z161" i="6" s="1"/>
  <c r="V161" i="6"/>
  <c r="U161" i="6"/>
  <c r="X161" i="6" s="1"/>
  <c r="T161" i="6"/>
  <c r="S161" i="6"/>
  <c r="Q161" i="6"/>
  <c r="R161" i="6" s="1"/>
  <c r="O161" i="6"/>
  <c r="A161" i="6"/>
  <c r="Y160" i="6"/>
  <c r="Z160" i="6" s="1"/>
  <c r="V160" i="6"/>
  <c r="U160" i="6"/>
  <c r="X160" i="6" s="1"/>
  <c r="T160" i="6"/>
  <c r="S160" i="6"/>
  <c r="Q160" i="6"/>
  <c r="R160" i="6" s="1"/>
  <c r="O160" i="6"/>
  <c r="A160" i="6"/>
  <c r="Y159" i="6"/>
  <c r="Z159" i="6" s="1"/>
  <c r="V159" i="6"/>
  <c r="U159" i="6"/>
  <c r="X159" i="6" s="1"/>
  <c r="T159" i="6"/>
  <c r="S159" i="6"/>
  <c r="Q159" i="6"/>
  <c r="R159" i="6" s="1"/>
  <c r="O159" i="6"/>
  <c r="A159" i="6"/>
  <c r="Z158" i="6"/>
  <c r="Y158" i="6"/>
  <c r="V158" i="6"/>
  <c r="U158" i="6"/>
  <c r="W158" i="6" s="1"/>
  <c r="T158" i="6"/>
  <c r="S158" i="6"/>
  <c r="Q158" i="6"/>
  <c r="R158" i="6" s="1"/>
  <c r="O158" i="6"/>
  <c r="A158" i="6"/>
  <c r="Z157" i="6"/>
  <c r="Y157" i="6"/>
  <c r="X157" i="6"/>
  <c r="W157" i="6"/>
  <c r="V157" i="6"/>
  <c r="U157" i="6"/>
  <c r="T157" i="6"/>
  <c r="S157" i="6"/>
  <c r="Q157" i="6"/>
  <c r="R157" i="6" s="1"/>
  <c r="O157" i="6"/>
  <c r="A157" i="6"/>
  <c r="Y156" i="6"/>
  <c r="Z156" i="6" s="1"/>
  <c r="V156" i="6"/>
  <c r="U156" i="6"/>
  <c r="X156" i="6" s="1"/>
  <c r="T156" i="6"/>
  <c r="S156" i="6"/>
  <c r="R156" i="6"/>
  <c r="Q156" i="6"/>
  <c r="O156" i="6"/>
  <c r="A156" i="6"/>
  <c r="Y155" i="6"/>
  <c r="Z155" i="6" s="1"/>
  <c r="V155" i="6"/>
  <c r="U155" i="6"/>
  <c r="X155" i="6" s="1"/>
  <c r="T155" i="6"/>
  <c r="S155" i="6"/>
  <c r="Q155" i="6"/>
  <c r="R155" i="6" s="1"/>
  <c r="O155" i="6"/>
  <c r="A155" i="6"/>
  <c r="Y154" i="6"/>
  <c r="Z154" i="6" s="1"/>
  <c r="V154" i="6"/>
  <c r="U154" i="6"/>
  <c r="X154" i="6" s="1"/>
  <c r="T154" i="6"/>
  <c r="S154" i="6"/>
  <c r="Q154" i="6"/>
  <c r="R154" i="6" s="1"/>
  <c r="O154" i="6"/>
  <c r="A154" i="6"/>
  <c r="Z153" i="6"/>
  <c r="Y153" i="6"/>
  <c r="V153" i="6"/>
  <c r="U153" i="6"/>
  <c r="W153" i="6" s="1"/>
  <c r="T153" i="6"/>
  <c r="S153" i="6"/>
  <c r="Q153" i="6"/>
  <c r="R153" i="6" s="1"/>
  <c r="O153" i="6"/>
  <c r="A153" i="6"/>
  <c r="Y152" i="6"/>
  <c r="Z152" i="6" s="1"/>
  <c r="V152" i="6"/>
  <c r="U152" i="6"/>
  <c r="X152" i="6" s="1"/>
  <c r="T152" i="6"/>
  <c r="S152" i="6"/>
  <c r="R152" i="6"/>
  <c r="Q152" i="6"/>
  <c r="O152" i="6"/>
  <c r="A152" i="6"/>
  <c r="Y151" i="6"/>
  <c r="Z151" i="6" s="1"/>
  <c r="V151" i="6"/>
  <c r="U151" i="6"/>
  <c r="X151" i="6" s="1"/>
  <c r="T151" i="6"/>
  <c r="S151" i="6"/>
  <c r="R151" i="6"/>
  <c r="Q151" i="6"/>
  <c r="O151" i="6"/>
  <c r="A151" i="6"/>
  <c r="Y150" i="6"/>
  <c r="Z150" i="6" s="1"/>
  <c r="V150" i="6"/>
  <c r="U150" i="6"/>
  <c r="X150" i="6" s="1"/>
  <c r="T150" i="6"/>
  <c r="S150" i="6"/>
  <c r="Q150" i="6"/>
  <c r="R150" i="6" s="1"/>
  <c r="O150" i="6"/>
  <c r="A150" i="6"/>
  <c r="Y149" i="6"/>
  <c r="Z149" i="6" s="1"/>
  <c r="X149" i="6"/>
  <c r="W149" i="6"/>
  <c r="V149" i="6"/>
  <c r="U149" i="6"/>
  <c r="T149" i="6"/>
  <c r="S149" i="6"/>
  <c r="R149" i="6"/>
  <c r="Q149" i="6"/>
  <c r="O149" i="6"/>
  <c r="A149" i="6"/>
  <c r="Z148" i="6"/>
  <c r="Y148" i="6"/>
  <c r="V148" i="6"/>
  <c r="U148" i="6"/>
  <c r="W148" i="6" s="1"/>
  <c r="T148" i="6"/>
  <c r="S148" i="6"/>
  <c r="Q148" i="6"/>
  <c r="R148" i="6" s="1"/>
  <c r="O148" i="6"/>
  <c r="A148" i="6"/>
  <c r="Y147" i="6"/>
  <c r="Z147" i="6" s="1"/>
  <c r="V147" i="6"/>
  <c r="U147" i="6"/>
  <c r="X147" i="6" s="1"/>
  <c r="T147" i="6"/>
  <c r="S147" i="6"/>
  <c r="R147" i="6"/>
  <c r="Q147" i="6"/>
  <c r="O147" i="6"/>
  <c r="A147" i="6"/>
  <c r="Y146" i="6"/>
  <c r="Z146" i="6" s="1"/>
  <c r="V146" i="6"/>
  <c r="U146" i="6"/>
  <c r="T146" i="6"/>
  <c r="S146" i="6"/>
  <c r="Q146" i="6"/>
  <c r="R146" i="6" s="1"/>
  <c r="O146" i="6"/>
  <c r="A146" i="6"/>
  <c r="Y145" i="6"/>
  <c r="Z145" i="6" s="1"/>
  <c r="V145" i="6"/>
  <c r="U145" i="6"/>
  <c r="X145" i="6" s="1"/>
  <c r="T145" i="6"/>
  <c r="S145" i="6"/>
  <c r="Q145" i="6"/>
  <c r="R145" i="6" s="1"/>
  <c r="O145" i="6"/>
  <c r="A145" i="6"/>
  <c r="Y144" i="6"/>
  <c r="Z144" i="6" s="1"/>
  <c r="X144" i="6"/>
  <c r="W144" i="6"/>
  <c r="V144" i="6"/>
  <c r="U144" i="6"/>
  <c r="T144" i="6"/>
  <c r="S144" i="6"/>
  <c r="R144" i="6"/>
  <c r="Q144" i="6"/>
  <c r="O144" i="6"/>
  <c r="A144" i="6"/>
  <c r="Z143" i="6"/>
  <c r="Y143" i="6"/>
  <c r="V143" i="6"/>
  <c r="U143" i="6"/>
  <c r="W143" i="6" s="1"/>
  <c r="T143" i="6"/>
  <c r="S143" i="6"/>
  <c r="R143" i="6"/>
  <c r="Q143" i="6"/>
  <c r="O143" i="6"/>
  <c r="A143" i="6"/>
  <c r="Y142" i="6"/>
  <c r="Z142" i="6" s="1"/>
  <c r="V142" i="6"/>
  <c r="U142" i="6"/>
  <c r="X142" i="6" s="1"/>
  <c r="T142" i="6"/>
  <c r="S142" i="6"/>
  <c r="R142" i="6"/>
  <c r="Q142" i="6"/>
  <c r="O142" i="6"/>
  <c r="A142" i="6"/>
  <c r="Y141" i="6"/>
  <c r="Z141" i="6" s="1"/>
  <c r="W141" i="6"/>
  <c r="V141" i="6"/>
  <c r="U141" i="6"/>
  <c r="X141" i="6" s="1"/>
  <c r="T141" i="6"/>
  <c r="S141" i="6"/>
  <c r="Q141" i="6"/>
  <c r="R141" i="6" s="1"/>
  <c r="O141" i="6"/>
  <c r="A141" i="6"/>
  <c r="Y140" i="6"/>
  <c r="Z140" i="6" s="1"/>
  <c r="V140" i="6"/>
  <c r="U140" i="6"/>
  <c r="X140" i="6" s="1"/>
  <c r="T140" i="6"/>
  <c r="S140" i="6"/>
  <c r="Q140" i="6"/>
  <c r="R140" i="6" s="1"/>
  <c r="O140" i="6"/>
  <c r="A140" i="6"/>
  <c r="Z139" i="6"/>
  <c r="Y139" i="6"/>
  <c r="V139" i="6"/>
  <c r="U139" i="6"/>
  <c r="T139" i="6"/>
  <c r="S139" i="6"/>
  <c r="Q139" i="6"/>
  <c r="R139" i="6" s="1"/>
  <c r="O139" i="6"/>
  <c r="A139" i="6"/>
  <c r="Z138" i="6"/>
  <c r="Y138" i="6"/>
  <c r="V138" i="6"/>
  <c r="U138" i="6"/>
  <c r="W138" i="6" s="1"/>
  <c r="T138" i="6"/>
  <c r="S138" i="6"/>
  <c r="R138" i="6"/>
  <c r="Q138" i="6"/>
  <c r="O138" i="6"/>
  <c r="A138" i="6"/>
  <c r="Y137" i="6"/>
  <c r="Z137" i="6" s="1"/>
  <c r="X137" i="6"/>
  <c r="V137" i="6"/>
  <c r="U137" i="6"/>
  <c r="W137" i="6" s="1"/>
  <c r="T137" i="6"/>
  <c r="S137" i="6"/>
  <c r="R137" i="6"/>
  <c r="Q137" i="6"/>
  <c r="O137" i="6"/>
  <c r="A137" i="6"/>
  <c r="Y136" i="6"/>
  <c r="Z136" i="6" s="1"/>
  <c r="W136" i="6"/>
  <c r="V136" i="6"/>
  <c r="U136" i="6"/>
  <c r="X136" i="6" s="1"/>
  <c r="T136" i="6"/>
  <c r="S136" i="6"/>
  <c r="Q136" i="6"/>
  <c r="R136" i="6" s="1"/>
  <c r="O136" i="6"/>
  <c r="A136" i="6"/>
  <c r="Z135" i="6"/>
  <c r="Y135" i="6"/>
  <c r="V135" i="6"/>
  <c r="U135" i="6"/>
  <c r="X135" i="6" s="1"/>
  <c r="T135" i="6"/>
  <c r="S135" i="6"/>
  <c r="Q135" i="6"/>
  <c r="R135" i="6" s="1"/>
  <c r="O135" i="6"/>
  <c r="A135" i="6"/>
  <c r="Z134" i="6"/>
  <c r="Y134" i="6"/>
  <c r="X134" i="6"/>
  <c r="V134" i="6"/>
  <c r="U134" i="6"/>
  <c r="W134" i="6" s="1"/>
  <c r="T134" i="6"/>
  <c r="S134" i="6"/>
  <c r="Q134" i="6"/>
  <c r="R134" i="6" s="1"/>
  <c r="O134" i="6"/>
  <c r="A134" i="6"/>
  <c r="Y133" i="6"/>
  <c r="Z133" i="6" s="1"/>
  <c r="V133" i="6"/>
  <c r="U133" i="6"/>
  <c r="T133" i="6"/>
  <c r="S133" i="6"/>
  <c r="Q133" i="6"/>
  <c r="R133" i="6" s="1"/>
  <c r="O133" i="6"/>
  <c r="A133" i="6"/>
  <c r="Y132" i="6"/>
  <c r="Z132" i="6" s="1"/>
  <c r="V132" i="6"/>
  <c r="U132" i="6"/>
  <c r="X132" i="6" s="1"/>
  <c r="T132" i="6"/>
  <c r="S132" i="6"/>
  <c r="R132" i="6"/>
  <c r="Q132" i="6"/>
  <c r="O132" i="6"/>
  <c r="A132" i="6"/>
  <c r="Y131" i="6"/>
  <c r="Z131" i="6" s="1"/>
  <c r="X131" i="6"/>
  <c r="V131" i="6"/>
  <c r="U131" i="6"/>
  <c r="W131" i="6" s="1"/>
  <c r="T131" i="6"/>
  <c r="S131" i="6"/>
  <c r="R131" i="6"/>
  <c r="Q131" i="6"/>
  <c r="O131" i="6"/>
  <c r="A131" i="6"/>
  <c r="Z130" i="6"/>
  <c r="Y130" i="6"/>
  <c r="V130" i="6"/>
  <c r="U130" i="6"/>
  <c r="T130" i="6"/>
  <c r="S130" i="6"/>
  <c r="Q130" i="6"/>
  <c r="R130" i="6" s="1"/>
  <c r="O130" i="6"/>
  <c r="A130" i="6"/>
  <c r="Y129" i="6"/>
  <c r="Z129" i="6" s="1"/>
  <c r="V129" i="6"/>
  <c r="U129" i="6"/>
  <c r="X129" i="6" s="1"/>
  <c r="T129" i="6"/>
  <c r="S129" i="6"/>
  <c r="Q129" i="6"/>
  <c r="R129" i="6" s="1"/>
  <c r="O129" i="6"/>
  <c r="A129" i="6"/>
  <c r="Y128" i="6"/>
  <c r="Z128" i="6" s="1"/>
  <c r="V128" i="6"/>
  <c r="U128" i="6"/>
  <c r="T128" i="6"/>
  <c r="S128" i="6"/>
  <c r="Q128" i="6"/>
  <c r="R128" i="6" s="1"/>
  <c r="O128" i="6"/>
  <c r="A128" i="6"/>
  <c r="Y127" i="6"/>
  <c r="Z127" i="6" s="1"/>
  <c r="X127" i="6"/>
  <c r="W127" i="6"/>
  <c r="V127" i="6"/>
  <c r="U127" i="6"/>
  <c r="T127" i="6"/>
  <c r="S127" i="6"/>
  <c r="Q127" i="6"/>
  <c r="R127" i="6" s="1"/>
  <c r="O127" i="6"/>
  <c r="A127" i="6"/>
  <c r="Y126" i="6"/>
  <c r="Z126" i="6" s="1"/>
  <c r="X126" i="6"/>
  <c r="V126" i="6"/>
  <c r="U126" i="6"/>
  <c r="W126" i="6" s="1"/>
  <c r="T126" i="6"/>
  <c r="S126" i="6"/>
  <c r="Q126" i="6"/>
  <c r="R126" i="6" s="1"/>
  <c r="O126" i="6"/>
  <c r="A126" i="6"/>
  <c r="Y125" i="6"/>
  <c r="Z125" i="6" s="1"/>
  <c r="V125" i="6"/>
  <c r="U125" i="6"/>
  <c r="T125" i="6"/>
  <c r="S125" i="6"/>
  <c r="Q125" i="6"/>
  <c r="R125" i="6" s="1"/>
  <c r="O125" i="6"/>
  <c r="A125" i="6"/>
  <c r="Y124" i="6"/>
  <c r="Z124" i="6" s="1"/>
  <c r="V124" i="6"/>
  <c r="U124" i="6"/>
  <c r="X124" i="6" s="1"/>
  <c r="T124" i="6"/>
  <c r="S124" i="6"/>
  <c r="Q124" i="6"/>
  <c r="R124" i="6" s="1"/>
  <c r="O124" i="6"/>
  <c r="A124" i="6"/>
  <c r="Z123" i="6"/>
  <c r="Y123" i="6"/>
  <c r="V123" i="6"/>
  <c r="U123" i="6"/>
  <c r="W123" i="6" s="1"/>
  <c r="T123" i="6"/>
  <c r="S123" i="6"/>
  <c r="Q123" i="6"/>
  <c r="R123" i="6" s="1"/>
  <c r="O123" i="6"/>
  <c r="A123" i="6"/>
  <c r="Z122" i="6"/>
  <c r="Y122" i="6"/>
  <c r="X122" i="6"/>
  <c r="W122" i="6"/>
  <c r="V122" i="6"/>
  <c r="U122" i="6"/>
  <c r="T122" i="6"/>
  <c r="S122" i="6"/>
  <c r="Q122" i="6"/>
  <c r="R122" i="6" s="1"/>
  <c r="O122" i="6"/>
  <c r="A122" i="6"/>
  <c r="Y121" i="6"/>
  <c r="Z121" i="6" s="1"/>
  <c r="V121" i="6"/>
  <c r="U121" i="6"/>
  <c r="X121" i="6" s="1"/>
  <c r="T121" i="6"/>
  <c r="S121" i="6"/>
  <c r="Q121" i="6"/>
  <c r="R121" i="6" s="1"/>
  <c r="O121" i="6"/>
  <c r="A121" i="6"/>
  <c r="Z120" i="6"/>
  <c r="Y120" i="6"/>
  <c r="V120" i="6"/>
  <c r="U120" i="6"/>
  <c r="T120" i="6"/>
  <c r="S120" i="6"/>
  <c r="Q120" i="6"/>
  <c r="R120" i="6" s="1"/>
  <c r="O120" i="6"/>
  <c r="A120" i="6"/>
  <c r="Z119" i="6"/>
  <c r="Y119" i="6"/>
  <c r="W119" i="6"/>
  <c r="V119" i="6"/>
  <c r="U119" i="6"/>
  <c r="X119" i="6" s="1"/>
  <c r="T119" i="6"/>
  <c r="S119" i="6"/>
  <c r="R119" i="6"/>
  <c r="Q119" i="6"/>
  <c r="O119" i="6"/>
  <c r="A119" i="6"/>
  <c r="Y118" i="6"/>
  <c r="Z118" i="6" s="1"/>
  <c r="V118" i="6"/>
  <c r="U118" i="6"/>
  <c r="X118" i="6" s="1"/>
  <c r="T118" i="6"/>
  <c r="S118" i="6"/>
  <c r="R118" i="6"/>
  <c r="Q118" i="6"/>
  <c r="O118" i="6"/>
  <c r="A118" i="6"/>
  <c r="Y117" i="6"/>
  <c r="Z117" i="6" s="1"/>
  <c r="X117" i="6"/>
  <c r="V117" i="6"/>
  <c r="U117" i="6"/>
  <c r="W117" i="6" s="1"/>
  <c r="T117" i="6"/>
  <c r="S117" i="6"/>
  <c r="Q117" i="6"/>
  <c r="R117" i="6" s="1"/>
  <c r="O117" i="6"/>
  <c r="A117" i="6"/>
  <c r="Y116" i="6"/>
  <c r="Z116" i="6" s="1"/>
  <c r="X116" i="6"/>
  <c r="V116" i="6"/>
  <c r="U116" i="6"/>
  <c r="W116" i="6" s="1"/>
  <c r="T116" i="6"/>
  <c r="S116" i="6"/>
  <c r="R116" i="6"/>
  <c r="Q116" i="6"/>
  <c r="O116" i="6"/>
  <c r="A116" i="6"/>
  <c r="Y115" i="6"/>
  <c r="Z115" i="6" s="1"/>
  <c r="V115" i="6"/>
  <c r="U115" i="6"/>
  <c r="T115" i="6"/>
  <c r="S115" i="6"/>
  <c r="Q115" i="6"/>
  <c r="R115" i="6" s="1"/>
  <c r="O115" i="6"/>
  <c r="A115" i="6"/>
  <c r="Z114" i="6"/>
  <c r="Y114" i="6"/>
  <c r="W114" i="6"/>
  <c r="V114" i="6"/>
  <c r="U114" i="6"/>
  <c r="X114" i="6" s="1"/>
  <c r="T114" i="6"/>
  <c r="S114" i="6"/>
  <c r="Q114" i="6"/>
  <c r="R114" i="6" s="1"/>
  <c r="O114" i="6"/>
  <c r="A114" i="6"/>
  <c r="Y113" i="6"/>
  <c r="Z113" i="6" s="1"/>
  <c r="X113" i="6"/>
  <c r="V113" i="6"/>
  <c r="U113" i="6"/>
  <c r="W113" i="6" s="1"/>
  <c r="T113" i="6"/>
  <c r="S113" i="6"/>
  <c r="R113" i="6"/>
  <c r="Q113" i="6"/>
  <c r="O113" i="6"/>
  <c r="A113" i="6"/>
  <c r="Z112" i="6"/>
  <c r="Y112" i="6"/>
  <c r="V112" i="6"/>
  <c r="U112" i="6"/>
  <c r="T112" i="6"/>
  <c r="S112" i="6"/>
  <c r="Q112" i="6"/>
  <c r="R112" i="6" s="1"/>
  <c r="O112" i="6"/>
  <c r="A112" i="6"/>
  <c r="Y111" i="6"/>
  <c r="Z111" i="6" s="1"/>
  <c r="X111" i="6"/>
  <c r="W111" i="6"/>
  <c r="V111" i="6"/>
  <c r="U111" i="6"/>
  <c r="T111" i="6"/>
  <c r="S111" i="6"/>
  <c r="R111" i="6"/>
  <c r="Q111" i="6"/>
  <c r="O111" i="6"/>
  <c r="A111" i="6"/>
  <c r="Y110" i="6"/>
  <c r="Z110" i="6" s="1"/>
  <c r="V110" i="6"/>
  <c r="U110" i="6"/>
  <c r="T110" i="6"/>
  <c r="S110" i="6"/>
  <c r="R110" i="6"/>
  <c r="Q110" i="6"/>
  <c r="O110" i="6"/>
  <c r="A110" i="6"/>
  <c r="Z109" i="6"/>
  <c r="Y109" i="6"/>
  <c r="X109" i="6"/>
  <c r="V109" i="6"/>
  <c r="U109" i="6"/>
  <c r="W109" i="6" s="1"/>
  <c r="T109" i="6"/>
  <c r="S109" i="6"/>
  <c r="R109" i="6"/>
  <c r="Q109" i="6"/>
  <c r="O109" i="6"/>
  <c r="A109" i="6"/>
  <c r="Y108" i="6"/>
  <c r="Z108" i="6" s="1"/>
  <c r="X108" i="6"/>
  <c r="W108" i="6"/>
  <c r="V108" i="6"/>
  <c r="U108" i="6"/>
  <c r="T108" i="6"/>
  <c r="S108" i="6"/>
  <c r="Q108" i="6"/>
  <c r="R108" i="6" s="1"/>
  <c r="O108" i="6"/>
  <c r="A108" i="6"/>
  <c r="Y107" i="6"/>
  <c r="Z107" i="6" s="1"/>
  <c r="V107" i="6"/>
  <c r="U107" i="6"/>
  <c r="X107" i="6" s="1"/>
  <c r="T107" i="6"/>
  <c r="S107" i="6"/>
  <c r="Q107" i="6"/>
  <c r="R107" i="6" s="1"/>
  <c r="O107" i="6"/>
  <c r="A107" i="6"/>
  <c r="Z106" i="6"/>
  <c r="Y106" i="6"/>
  <c r="X106" i="6"/>
  <c r="W106" i="6"/>
  <c r="V106" i="6"/>
  <c r="U106" i="6"/>
  <c r="T106" i="6"/>
  <c r="S106" i="6"/>
  <c r="Q106" i="6"/>
  <c r="R106" i="6" s="1"/>
  <c r="O106" i="6"/>
  <c r="A106" i="6"/>
  <c r="Z105" i="6"/>
  <c r="Y105" i="6"/>
  <c r="V105" i="6"/>
  <c r="U105" i="6"/>
  <c r="T105" i="6"/>
  <c r="S105" i="6"/>
  <c r="Q105" i="6"/>
  <c r="R105" i="6" s="1"/>
  <c r="O105" i="6"/>
  <c r="A105" i="6"/>
  <c r="Y104" i="6"/>
  <c r="Z104" i="6" s="1"/>
  <c r="X104" i="6"/>
  <c r="W104" i="6"/>
  <c r="V104" i="6"/>
  <c r="U104" i="6"/>
  <c r="T104" i="6"/>
  <c r="S104" i="6"/>
  <c r="Q104" i="6"/>
  <c r="R104" i="6" s="1"/>
  <c r="O104" i="6"/>
  <c r="A104" i="6"/>
  <c r="Y103" i="6"/>
  <c r="Z103" i="6" s="1"/>
  <c r="V103" i="6"/>
  <c r="U103" i="6"/>
  <c r="X103" i="6" s="1"/>
  <c r="T103" i="6"/>
  <c r="S103" i="6"/>
  <c r="Q103" i="6"/>
  <c r="R103" i="6" s="1"/>
  <c r="O103" i="6"/>
  <c r="A103" i="6"/>
  <c r="Z102" i="6"/>
  <c r="Y102" i="6"/>
  <c r="W102" i="6"/>
  <c r="V102" i="6"/>
  <c r="U102" i="6"/>
  <c r="X102" i="6" s="1"/>
  <c r="T102" i="6"/>
  <c r="S102" i="6"/>
  <c r="Q102" i="6"/>
  <c r="R102" i="6" s="1"/>
  <c r="O102" i="6"/>
  <c r="A102" i="6"/>
  <c r="Y101" i="6"/>
  <c r="Z101" i="6" s="1"/>
  <c r="X101" i="6"/>
  <c r="V101" i="6"/>
  <c r="U101" i="6"/>
  <c r="W101" i="6" s="1"/>
  <c r="T101" i="6"/>
  <c r="S101" i="6"/>
  <c r="Q101" i="6"/>
  <c r="R101" i="6" s="1"/>
  <c r="O101" i="6"/>
  <c r="A101" i="6"/>
  <c r="Z100" i="6"/>
  <c r="Y100" i="6"/>
  <c r="V100" i="6"/>
  <c r="U100" i="6"/>
  <c r="T100" i="6"/>
  <c r="S100" i="6"/>
  <c r="Q100" i="6"/>
  <c r="R100" i="6" s="1"/>
  <c r="O100" i="6"/>
  <c r="A100" i="6"/>
  <c r="Z99" i="6"/>
  <c r="Y99" i="6"/>
  <c r="X99" i="6"/>
  <c r="W99" i="6"/>
  <c r="V99" i="6"/>
  <c r="U99" i="6"/>
  <c r="T99" i="6"/>
  <c r="S99" i="6"/>
  <c r="Q99" i="6"/>
  <c r="R99" i="6" s="1"/>
  <c r="O99" i="6"/>
  <c r="A99" i="6"/>
  <c r="Z98" i="6"/>
  <c r="Y98" i="6"/>
  <c r="W98" i="6"/>
  <c r="V98" i="6"/>
  <c r="U98" i="6"/>
  <c r="X98" i="6" s="1"/>
  <c r="T98" i="6"/>
  <c r="S98" i="6"/>
  <c r="R98" i="6"/>
  <c r="Q98" i="6"/>
  <c r="O98" i="6"/>
  <c r="A98" i="6"/>
  <c r="Z97" i="6"/>
  <c r="Y97" i="6"/>
  <c r="X97" i="6"/>
  <c r="V97" i="6"/>
  <c r="U97" i="6"/>
  <c r="W97" i="6" s="1"/>
  <c r="T97" i="6"/>
  <c r="S97" i="6"/>
  <c r="R97" i="6"/>
  <c r="Q97" i="6"/>
  <c r="O97" i="6"/>
  <c r="A97" i="6"/>
  <c r="Y96" i="6"/>
  <c r="Z96" i="6" s="1"/>
  <c r="X96" i="6"/>
  <c r="W96" i="6"/>
  <c r="V96" i="6"/>
  <c r="U96" i="6"/>
  <c r="T96" i="6"/>
  <c r="S96" i="6"/>
  <c r="Q96" i="6"/>
  <c r="R96" i="6" s="1"/>
  <c r="O96" i="6"/>
  <c r="A96" i="6"/>
  <c r="Y95" i="6"/>
  <c r="Z95" i="6" s="1"/>
  <c r="V95" i="6"/>
  <c r="U95" i="6"/>
  <c r="W95" i="6" s="1"/>
  <c r="T95" i="6"/>
  <c r="S95" i="6"/>
  <c r="R95" i="6"/>
  <c r="Q95" i="6"/>
  <c r="O95" i="6"/>
  <c r="A95" i="6"/>
  <c r="Y94" i="6"/>
  <c r="Z94" i="6" s="1"/>
  <c r="V94" i="6"/>
  <c r="U94" i="6"/>
  <c r="X94" i="6" s="1"/>
  <c r="T94" i="6"/>
  <c r="S94" i="6"/>
  <c r="Q94" i="6"/>
  <c r="R94" i="6" s="1"/>
  <c r="O94" i="6"/>
  <c r="A94" i="6"/>
  <c r="Y93" i="6"/>
  <c r="Z93" i="6" s="1"/>
  <c r="V93" i="6"/>
  <c r="U93" i="6"/>
  <c r="X93" i="6" s="1"/>
  <c r="T93" i="6"/>
  <c r="S93" i="6"/>
  <c r="Q93" i="6"/>
  <c r="R93" i="6" s="1"/>
  <c r="O93" i="6"/>
  <c r="A93" i="6"/>
  <c r="Y92" i="6"/>
  <c r="Z92" i="6" s="1"/>
  <c r="X92" i="6"/>
  <c r="W92" i="6"/>
  <c r="V92" i="6"/>
  <c r="U92" i="6"/>
  <c r="T92" i="6"/>
  <c r="S92" i="6"/>
  <c r="Q92" i="6"/>
  <c r="R92" i="6" s="1"/>
  <c r="O92" i="6"/>
  <c r="A92" i="6"/>
  <c r="Z91" i="6"/>
  <c r="Y91" i="6"/>
  <c r="V91" i="6"/>
  <c r="U91" i="6"/>
  <c r="W91" i="6" s="1"/>
  <c r="T91" i="6"/>
  <c r="S91" i="6"/>
  <c r="Q91" i="6"/>
  <c r="R91" i="6" s="1"/>
  <c r="O91" i="6"/>
  <c r="A91" i="6"/>
  <c r="Y90" i="6"/>
  <c r="Z90" i="6" s="1"/>
  <c r="X90" i="6"/>
  <c r="V90" i="6"/>
  <c r="U90" i="6"/>
  <c r="W90" i="6" s="1"/>
  <c r="T90" i="6"/>
  <c r="S90" i="6"/>
  <c r="Q90" i="6"/>
  <c r="R90" i="6" s="1"/>
  <c r="O90" i="6"/>
  <c r="A90" i="6"/>
  <c r="Y89" i="6"/>
  <c r="Z89" i="6" s="1"/>
  <c r="X89" i="6"/>
  <c r="V89" i="6"/>
  <c r="U89" i="6"/>
  <c r="W89" i="6" s="1"/>
  <c r="T89" i="6"/>
  <c r="S89" i="6"/>
  <c r="R89" i="6"/>
  <c r="Q89" i="6"/>
  <c r="O89" i="6"/>
  <c r="A89" i="6"/>
  <c r="Z88" i="6"/>
  <c r="Y88" i="6"/>
  <c r="V88" i="6"/>
  <c r="U88" i="6"/>
  <c r="T88" i="6"/>
  <c r="S88" i="6"/>
  <c r="R88" i="6"/>
  <c r="Q88" i="6"/>
  <c r="O88" i="6"/>
  <c r="A88" i="6"/>
  <c r="Y87" i="6"/>
  <c r="Z87" i="6" s="1"/>
  <c r="X87" i="6"/>
  <c r="W87" i="6"/>
  <c r="V87" i="6"/>
  <c r="U87" i="6"/>
  <c r="T87" i="6"/>
  <c r="S87" i="6"/>
  <c r="R87" i="6"/>
  <c r="Q87" i="6"/>
  <c r="O87" i="6"/>
  <c r="A87" i="6"/>
  <c r="Y86" i="6"/>
  <c r="Z86" i="6" s="1"/>
  <c r="W86" i="6"/>
  <c r="V86" i="6"/>
  <c r="U86" i="6"/>
  <c r="X86" i="6" s="1"/>
  <c r="T86" i="6"/>
  <c r="S86" i="6"/>
  <c r="Q86" i="6"/>
  <c r="R86" i="6" s="1"/>
  <c r="O86" i="6"/>
  <c r="A86" i="6"/>
  <c r="Z85" i="6"/>
  <c r="Y85" i="6"/>
  <c r="V85" i="6"/>
  <c r="U85" i="6"/>
  <c r="W85" i="6" s="1"/>
  <c r="T85" i="6"/>
  <c r="S85" i="6"/>
  <c r="Q85" i="6"/>
  <c r="R85" i="6" s="1"/>
  <c r="O85" i="6"/>
  <c r="A85" i="6"/>
  <c r="Y84" i="6"/>
  <c r="Z84" i="6" s="1"/>
  <c r="X84" i="6"/>
  <c r="W84" i="6"/>
  <c r="V84" i="6"/>
  <c r="U84" i="6"/>
  <c r="T84" i="6"/>
  <c r="S84" i="6"/>
  <c r="Q84" i="6"/>
  <c r="R84" i="6" s="1"/>
  <c r="O84" i="6"/>
  <c r="A84" i="6"/>
  <c r="Z83" i="6"/>
  <c r="Y83" i="6"/>
  <c r="W83" i="6"/>
  <c r="V83" i="6"/>
  <c r="U83" i="6"/>
  <c r="X83" i="6" s="1"/>
  <c r="T83" i="6"/>
  <c r="S83" i="6"/>
  <c r="Q83" i="6"/>
  <c r="R83" i="6" s="1"/>
  <c r="O83" i="6"/>
  <c r="A83" i="6"/>
  <c r="Y82" i="6"/>
  <c r="Z82" i="6" s="1"/>
  <c r="V82" i="6"/>
  <c r="U82" i="6"/>
  <c r="T82" i="6"/>
  <c r="S82" i="6"/>
  <c r="R82" i="6"/>
  <c r="Q82" i="6"/>
  <c r="O82" i="6"/>
  <c r="A82" i="6"/>
  <c r="Y81" i="6"/>
  <c r="Z81" i="6" s="1"/>
  <c r="V81" i="6"/>
  <c r="U81" i="6"/>
  <c r="W81" i="6" s="1"/>
  <c r="T81" i="6"/>
  <c r="S81" i="6"/>
  <c r="Q81" i="6"/>
  <c r="R81" i="6" s="1"/>
  <c r="O81" i="6"/>
  <c r="A81" i="6"/>
  <c r="Y80" i="6"/>
  <c r="Z80" i="6" s="1"/>
  <c r="V80" i="6"/>
  <c r="U80" i="6"/>
  <c r="W80" i="6" s="1"/>
  <c r="T80" i="6"/>
  <c r="S80" i="6"/>
  <c r="R80" i="6"/>
  <c r="Q80" i="6"/>
  <c r="O80" i="6"/>
  <c r="A80" i="6"/>
  <c r="Y79" i="6"/>
  <c r="Z79" i="6" s="1"/>
  <c r="X79" i="6"/>
  <c r="W79" i="6"/>
  <c r="V79" i="6"/>
  <c r="U79" i="6"/>
  <c r="T79" i="6"/>
  <c r="S79" i="6"/>
  <c r="Q79" i="6"/>
  <c r="R79" i="6" s="1"/>
  <c r="O79" i="6"/>
  <c r="A79" i="6"/>
  <c r="Y78" i="6"/>
  <c r="Z78" i="6" s="1"/>
  <c r="V78" i="6"/>
  <c r="U78" i="6"/>
  <c r="X78" i="6" s="1"/>
  <c r="T78" i="6"/>
  <c r="S78" i="6"/>
  <c r="Q78" i="6"/>
  <c r="R78" i="6" s="1"/>
  <c r="O78" i="6"/>
  <c r="A78" i="6"/>
  <c r="Z77" i="6"/>
  <c r="Y77" i="6"/>
  <c r="X77" i="6"/>
  <c r="W77" i="6"/>
  <c r="V77" i="6"/>
  <c r="U77" i="6"/>
  <c r="T77" i="6"/>
  <c r="S77" i="6"/>
  <c r="Q77" i="6"/>
  <c r="R77" i="6" s="1"/>
  <c r="O77" i="6"/>
  <c r="A77" i="6"/>
  <c r="Z76" i="6"/>
  <c r="Y76" i="6"/>
  <c r="V76" i="6"/>
  <c r="U76" i="6"/>
  <c r="X76" i="6" s="1"/>
  <c r="T76" i="6"/>
  <c r="S76" i="6"/>
  <c r="R76" i="6"/>
  <c r="Q76" i="6"/>
  <c r="O76" i="6"/>
  <c r="A76" i="6"/>
  <c r="Z75" i="6"/>
  <c r="Y75" i="6"/>
  <c r="X75" i="6"/>
  <c r="V75" i="6"/>
  <c r="U75" i="6"/>
  <c r="W75" i="6" s="1"/>
  <c r="T75" i="6"/>
  <c r="S75" i="6"/>
  <c r="Q75" i="6"/>
  <c r="R75" i="6" s="1"/>
  <c r="O75" i="6"/>
  <c r="A75" i="6"/>
  <c r="Z74" i="6"/>
  <c r="Y74" i="6"/>
  <c r="X74" i="6"/>
  <c r="W74" i="6"/>
  <c r="V74" i="6"/>
  <c r="U74" i="6"/>
  <c r="T74" i="6"/>
  <c r="S74" i="6"/>
  <c r="Q74" i="6"/>
  <c r="R74" i="6" s="1"/>
  <c r="O74" i="6"/>
  <c r="A74" i="6"/>
  <c r="Y73" i="6"/>
  <c r="Z73" i="6" s="1"/>
  <c r="V73" i="6"/>
  <c r="U73" i="6"/>
  <c r="X73" i="6" s="1"/>
  <c r="T73" i="6"/>
  <c r="S73" i="6"/>
  <c r="Q73" i="6"/>
  <c r="R73" i="6" s="1"/>
  <c r="O73" i="6"/>
  <c r="A73" i="6"/>
  <c r="Y72" i="6"/>
  <c r="Z72" i="6" s="1"/>
  <c r="V72" i="6"/>
  <c r="U72" i="6"/>
  <c r="X72" i="6" s="1"/>
  <c r="T72" i="6"/>
  <c r="S72" i="6"/>
  <c r="Q72" i="6"/>
  <c r="R72" i="6" s="1"/>
  <c r="O72" i="6"/>
  <c r="A72" i="6"/>
  <c r="Y71" i="6"/>
  <c r="Z71" i="6" s="1"/>
  <c r="V71" i="6"/>
  <c r="U71" i="6"/>
  <c r="X71" i="6" s="1"/>
  <c r="T71" i="6"/>
  <c r="S71" i="6"/>
  <c r="Q71" i="6"/>
  <c r="R71" i="6" s="1"/>
  <c r="O71" i="6"/>
  <c r="A71" i="6"/>
  <c r="Y70" i="6"/>
  <c r="Z70" i="6" s="1"/>
  <c r="X70" i="6"/>
  <c r="V70" i="6"/>
  <c r="U70" i="6"/>
  <c r="W70" i="6" s="1"/>
  <c r="T70" i="6"/>
  <c r="S70" i="6"/>
  <c r="R70" i="6"/>
  <c r="Q70" i="6"/>
  <c r="O70" i="6"/>
  <c r="A70" i="6"/>
  <c r="Y69" i="6"/>
  <c r="Z69" i="6" s="1"/>
  <c r="V69" i="6"/>
  <c r="U69" i="6"/>
  <c r="X69" i="6" s="1"/>
  <c r="T69" i="6"/>
  <c r="S69" i="6"/>
  <c r="Q69" i="6"/>
  <c r="R69" i="6" s="1"/>
  <c r="O69" i="6"/>
  <c r="A69" i="6"/>
  <c r="Z68" i="6"/>
  <c r="Y68" i="6"/>
  <c r="W68" i="6"/>
  <c r="V68" i="6"/>
  <c r="U68" i="6"/>
  <c r="X68" i="6" s="1"/>
  <c r="T68" i="6"/>
  <c r="S68" i="6"/>
  <c r="Q68" i="6"/>
  <c r="R68" i="6" s="1"/>
  <c r="O68" i="6"/>
  <c r="A68" i="6"/>
  <c r="Z67" i="6"/>
  <c r="Y67" i="6"/>
  <c r="X67" i="6"/>
  <c r="V67" i="6"/>
  <c r="U67" i="6"/>
  <c r="W67" i="6" s="1"/>
  <c r="T67" i="6"/>
  <c r="S67" i="6"/>
  <c r="R67" i="6"/>
  <c r="Q67" i="6"/>
  <c r="O67" i="6"/>
  <c r="A67" i="6"/>
  <c r="Z66" i="6"/>
  <c r="Y66" i="6"/>
  <c r="V66" i="6"/>
  <c r="U66" i="6"/>
  <c r="T66" i="6"/>
  <c r="S66" i="6"/>
  <c r="Q66" i="6"/>
  <c r="R66" i="6" s="1"/>
  <c r="O66" i="6"/>
  <c r="A66" i="6"/>
  <c r="Y65" i="6"/>
  <c r="Z65" i="6" s="1"/>
  <c r="V65" i="6"/>
  <c r="U65" i="6"/>
  <c r="T65" i="6"/>
  <c r="S65" i="6"/>
  <c r="Q65" i="6"/>
  <c r="R65" i="6" s="1"/>
  <c r="O65" i="6"/>
  <c r="A65" i="6"/>
  <c r="Y64" i="6"/>
  <c r="Z64" i="6" s="1"/>
  <c r="X64" i="6"/>
  <c r="V64" i="6"/>
  <c r="U64" i="6"/>
  <c r="W64" i="6" s="1"/>
  <c r="T64" i="6"/>
  <c r="S64" i="6"/>
  <c r="Q64" i="6"/>
  <c r="R64" i="6" s="1"/>
  <c r="O64" i="6"/>
  <c r="A64" i="6"/>
  <c r="Y63" i="6"/>
  <c r="Z63" i="6" s="1"/>
  <c r="V63" i="6"/>
  <c r="U63" i="6"/>
  <c r="X63" i="6" s="1"/>
  <c r="T63" i="6"/>
  <c r="S63" i="6"/>
  <c r="Q63" i="6"/>
  <c r="R63" i="6" s="1"/>
  <c r="O63" i="6"/>
  <c r="A63" i="6"/>
  <c r="Y62" i="6"/>
  <c r="Z62" i="6" s="1"/>
  <c r="X62" i="6"/>
  <c r="W62" i="6"/>
  <c r="V62" i="6"/>
  <c r="U62" i="6"/>
  <c r="T62" i="6"/>
  <c r="S62" i="6"/>
  <c r="Q62" i="6"/>
  <c r="R62" i="6" s="1"/>
  <c r="O62" i="6"/>
  <c r="A62" i="6"/>
  <c r="Z61" i="6"/>
  <c r="Y61" i="6"/>
  <c r="W61" i="6"/>
  <c r="V61" i="6"/>
  <c r="U61" i="6"/>
  <c r="X61" i="6" s="1"/>
  <c r="T61" i="6"/>
  <c r="S61" i="6"/>
  <c r="Q61" i="6"/>
  <c r="R61" i="6" s="1"/>
  <c r="O61" i="6"/>
  <c r="A61" i="6"/>
  <c r="Y60" i="6"/>
  <c r="Z60" i="6" s="1"/>
  <c r="V60" i="6"/>
  <c r="U60" i="6"/>
  <c r="T60" i="6"/>
  <c r="S60" i="6"/>
  <c r="Q60" i="6"/>
  <c r="R60" i="6" s="1"/>
  <c r="O60" i="6"/>
  <c r="A60" i="6"/>
  <c r="Y59" i="6"/>
  <c r="Z59" i="6" s="1"/>
  <c r="X59" i="6"/>
  <c r="W59" i="6"/>
  <c r="V59" i="6"/>
  <c r="U59" i="6"/>
  <c r="T59" i="6"/>
  <c r="S59" i="6"/>
  <c r="Q59" i="6"/>
  <c r="R59" i="6" s="1"/>
  <c r="O59" i="6"/>
  <c r="A59" i="6"/>
  <c r="Y58" i="6"/>
  <c r="Z58" i="6" s="1"/>
  <c r="V58" i="6"/>
  <c r="U58" i="6"/>
  <c r="X58" i="6" s="1"/>
  <c r="T58" i="6"/>
  <c r="S58" i="6"/>
  <c r="Q58" i="6"/>
  <c r="R58" i="6" s="1"/>
  <c r="O58" i="6"/>
  <c r="A58" i="6"/>
  <c r="Y57" i="6"/>
  <c r="Z57" i="6" s="1"/>
  <c r="X57" i="6"/>
  <c r="W57" i="6"/>
  <c r="V57" i="6"/>
  <c r="U57" i="6"/>
  <c r="T57" i="6"/>
  <c r="S57" i="6"/>
  <c r="Q57" i="6"/>
  <c r="R57" i="6" s="1"/>
  <c r="O57" i="6"/>
  <c r="A57" i="6"/>
  <c r="Z56" i="6"/>
  <c r="Y56" i="6"/>
  <c r="W56" i="6"/>
  <c r="V56" i="6"/>
  <c r="U56" i="6"/>
  <c r="X56" i="6" s="1"/>
  <c r="T56" i="6"/>
  <c r="S56" i="6"/>
  <c r="Q56" i="6"/>
  <c r="R56" i="6" s="1"/>
  <c r="O56" i="6"/>
  <c r="A56" i="6"/>
  <c r="Y55" i="6"/>
  <c r="Z55" i="6" s="1"/>
  <c r="W55" i="6"/>
  <c r="V55" i="6"/>
  <c r="U55" i="6"/>
  <c r="X55" i="6" s="1"/>
  <c r="T55" i="6"/>
  <c r="S55" i="6"/>
  <c r="Q55" i="6"/>
  <c r="R55" i="6" s="1"/>
  <c r="O55" i="6"/>
  <c r="A55" i="6"/>
  <c r="Y54" i="6"/>
  <c r="Z54" i="6" s="1"/>
  <c r="V54" i="6"/>
  <c r="U54" i="6"/>
  <c r="X54" i="6" s="1"/>
  <c r="T54" i="6"/>
  <c r="S54" i="6"/>
  <c r="Q54" i="6"/>
  <c r="R54" i="6" s="1"/>
  <c r="O54" i="6"/>
  <c r="A54" i="6"/>
  <c r="Y53" i="6"/>
  <c r="Z53" i="6" s="1"/>
  <c r="V53" i="6"/>
  <c r="U53" i="6"/>
  <c r="X53" i="6" s="1"/>
  <c r="T53" i="6"/>
  <c r="S53" i="6"/>
  <c r="Q53" i="6"/>
  <c r="R53" i="6" s="1"/>
  <c r="O53" i="6"/>
  <c r="A53" i="6"/>
  <c r="Y52" i="6"/>
  <c r="Z52" i="6" s="1"/>
  <c r="X52" i="6"/>
  <c r="W52" i="6"/>
  <c r="V52" i="6"/>
  <c r="U52" i="6"/>
  <c r="T52" i="6"/>
  <c r="S52" i="6"/>
  <c r="Q52" i="6"/>
  <c r="R52" i="6" s="1"/>
  <c r="O52" i="6"/>
  <c r="A52" i="6"/>
  <c r="Z51" i="6"/>
  <c r="Y51" i="6"/>
  <c r="W51" i="6"/>
  <c r="V51" i="6"/>
  <c r="U51" i="6"/>
  <c r="X51" i="6" s="1"/>
  <c r="T51" i="6"/>
  <c r="S51" i="6"/>
  <c r="Q51" i="6"/>
  <c r="R51" i="6" s="1"/>
  <c r="O51" i="6"/>
  <c r="A51" i="6"/>
  <c r="Y50" i="6"/>
  <c r="Z50" i="6" s="1"/>
  <c r="V50" i="6"/>
  <c r="U50" i="6"/>
  <c r="X50" i="6" s="1"/>
  <c r="T50" i="6"/>
  <c r="S50" i="6"/>
  <c r="R50" i="6"/>
  <c r="Q50" i="6"/>
  <c r="O50" i="6"/>
  <c r="A50" i="6"/>
  <c r="Y49" i="6"/>
  <c r="Z49" i="6" s="1"/>
  <c r="X49" i="6"/>
  <c r="W49" i="6"/>
  <c r="V49" i="6"/>
  <c r="U49" i="6"/>
  <c r="T49" i="6"/>
  <c r="S49" i="6"/>
  <c r="Q49" i="6"/>
  <c r="R49" i="6" s="1"/>
  <c r="O49" i="6"/>
  <c r="A49" i="6"/>
  <c r="Y48" i="6"/>
  <c r="Z48" i="6" s="1"/>
  <c r="V48" i="6"/>
  <c r="U48" i="6"/>
  <c r="X48" i="6" s="1"/>
  <c r="T48" i="6"/>
  <c r="S48" i="6"/>
  <c r="Q48" i="6"/>
  <c r="R48" i="6" s="1"/>
  <c r="O48" i="6"/>
  <c r="A48" i="6"/>
  <c r="Y47" i="6"/>
  <c r="Z47" i="6" s="1"/>
  <c r="X47" i="6"/>
  <c r="W47" i="6"/>
  <c r="V47" i="6"/>
  <c r="U47" i="6"/>
  <c r="T47" i="6"/>
  <c r="S47" i="6"/>
  <c r="Q47" i="6"/>
  <c r="R47" i="6" s="1"/>
  <c r="O47" i="6"/>
  <c r="A47" i="6"/>
  <c r="Z46" i="6"/>
  <c r="Y46" i="6"/>
  <c r="W46" i="6"/>
  <c r="V46" i="6"/>
  <c r="U46" i="6"/>
  <c r="X46" i="6" s="1"/>
  <c r="T46" i="6"/>
  <c r="S46" i="6"/>
  <c r="Q46" i="6"/>
  <c r="R46" i="6" s="1"/>
  <c r="O46" i="6"/>
  <c r="A46" i="6"/>
  <c r="Y45" i="6"/>
  <c r="Z45" i="6" s="1"/>
  <c r="W45" i="6"/>
  <c r="V45" i="6"/>
  <c r="U45" i="6"/>
  <c r="X45" i="6" s="1"/>
  <c r="T45" i="6"/>
  <c r="S45" i="6"/>
  <c r="R45" i="6"/>
  <c r="Q45" i="6"/>
  <c r="O45" i="6"/>
  <c r="A45" i="6"/>
  <c r="Y44" i="6"/>
  <c r="Z44" i="6" s="1"/>
  <c r="V44" i="6"/>
  <c r="U44" i="6"/>
  <c r="X44" i="6" s="1"/>
  <c r="T44" i="6"/>
  <c r="S44" i="6"/>
  <c r="Q44" i="6"/>
  <c r="R44" i="6" s="1"/>
  <c r="O44" i="6"/>
  <c r="A44" i="6"/>
  <c r="Y43" i="6"/>
  <c r="Z43" i="6" s="1"/>
  <c r="V43" i="6"/>
  <c r="U43" i="6"/>
  <c r="X43" i="6" s="1"/>
  <c r="T43" i="6"/>
  <c r="S43" i="6"/>
  <c r="Q43" i="6"/>
  <c r="R43" i="6" s="1"/>
  <c r="O43" i="6"/>
  <c r="A43" i="6"/>
  <c r="Y42" i="6"/>
  <c r="Z42" i="6" s="1"/>
  <c r="X42" i="6"/>
  <c r="W42" i="6"/>
  <c r="V42" i="6"/>
  <c r="U42" i="6"/>
  <c r="T42" i="6"/>
  <c r="S42" i="6"/>
  <c r="Q42" i="6"/>
  <c r="R42" i="6" s="1"/>
  <c r="O42" i="6"/>
  <c r="A42" i="6"/>
  <c r="Z41" i="6"/>
  <c r="Y41" i="6"/>
  <c r="W41" i="6"/>
  <c r="V41" i="6"/>
  <c r="U41" i="6"/>
  <c r="X41" i="6" s="1"/>
  <c r="T41" i="6"/>
  <c r="S41" i="6"/>
  <c r="Q41" i="6"/>
  <c r="R41" i="6" s="1"/>
  <c r="O41" i="6"/>
  <c r="A41" i="6"/>
  <c r="Y40" i="6"/>
  <c r="Z40" i="6" s="1"/>
  <c r="V40" i="6"/>
  <c r="U40" i="6"/>
  <c r="X40" i="6" s="1"/>
  <c r="T40" i="6"/>
  <c r="S40" i="6"/>
  <c r="Q40" i="6"/>
  <c r="R40" i="6" s="1"/>
  <c r="O40" i="6"/>
  <c r="A40" i="6"/>
  <c r="Y39" i="6"/>
  <c r="Z39" i="6" s="1"/>
  <c r="X39" i="6"/>
  <c r="W39" i="6"/>
  <c r="V39" i="6"/>
  <c r="U39" i="6"/>
  <c r="T39" i="6"/>
  <c r="S39" i="6"/>
  <c r="Q39" i="6"/>
  <c r="R39" i="6" s="1"/>
  <c r="O39" i="6"/>
  <c r="A39" i="6"/>
  <c r="Y38" i="6"/>
  <c r="Z38" i="6" s="1"/>
  <c r="V38" i="6"/>
  <c r="U38" i="6"/>
  <c r="X38" i="6" s="1"/>
  <c r="T38" i="6"/>
  <c r="S38" i="6"/>
  <c r="Q38" i="6"/>
  <c r="R38" i="6" s="1"/>
  <c r="O38" i="6"/>
  <c r="A38" i="6"/>
  <c r="Y37" i="6"/>
  <c r="Z37" i="6" s="1"/>
  <c r="X37" i="6"/>
  <c r="W37" i="6"/>
  <c r="V37" i="6"/>
  <c r="U37" i="6"/>
  <c r="T37" i="6"/>
  <c r="S37" i="6"/>
  <c r="Q37" i="6"/>
  <c r="R37" i="6" s="1"/>
  <c r="O37" i="6"/>
  <c r="A37" i="6"/>
  <c r="Z36" i="6"/>
  <c r="Y36" i="6"/>
  <c r="W36" i="6"/>
  <c r="V36" i="6"/>
  <c r="U36" i="6"/>
  <c r="X36" i="6" s="1"/>
  <c r="T36" i="6"/>
  <c r="S36" i="6"/>
  <c r="Q36" i="6"/>
  <c r="R36" i="6" s="1"/>
  <c r="O36" i="6"/>
  <c r="A36" i="6"/>
  <c r="Y35" i="6"/>
  <c r="Z35" i="6" s="1"/>
  <c r="W35" i="6"/>
  <c r="V35" i="6"/>
  <c r="U35" i="6"/>
  <c r="X35" i="6" s="1"/>
  <c r="T35" i="6"/>
  <c r="S35" i="6"/>
  <c r="Q35" i="6"/>
  <c r="R35" i="6" s="1"/>
  <c r="O35" i="6"/>
  <c r="A35" i="6"/>
  <c r="Y34" i="6"/>
  <c r="Z34" i="6" s="1"/>
  <c r="V34" i="6"/>
  <c r="U34" i="6"/>
  <c r="X34" i="6" s="1"/>
  <c r="T34" i="6"/>
  <c r="S34" i="6"/>
  <c r="Q34" i="6"/>
  <c r="R34" i="6" s="1"/>
  <c r="O34" i="6"/>
  <c r="A34" i="6"/>
  <c r="Y33" i="6"/>
  <c r="Z33" i="6" s="1"/>
  <c r="V33" i="6"/>
  <c r="U33" i="6"/>
  <c r="X33" i="6" s="1"/>
  <c r="T33" i="6"/>
  <c r="S33" i="6"/>
  <c r="Q33" i="6"/>
  <c r="R33" i="6" s="1"/>
  <c r="O33" i="6"/>
  <c r="A33" i="6"/>
  <c r="Y32" i="6"/>
  <c r="Z32" i="6" s="1"/>
  <c r="X32" i="6"/>
  <c r="W32" i="6"/>
  <c r="V32" i="6"/>
  <c r="U32" i="6"/>
  <c r="T32" i="6"/>
  <c r="S32" i="6"/>
  <c r="Q32" i="6"/>
  <c r="R32" i="6" s="1"/>
  <c r="O32" i="6"/>
  <c r="A32" i="6"/>
  <c r="Z31" i="6"/>
  <c r="Y31" i="6"/>
  <c r="W31" i="6"/>
  <c r="V31" i="6"/>
  <c r="U31" i="6"/>
  <c r="X31" i="6" s="1"/>
  <c r="T31" i="6"/>
  <c r="S31" i="6"/>
  <c r="Q31" i="6"/>
  <c r="R31" i="6" s="1"/>
  <c r="O31" i="6"/>
  <c r="A31" i="6"/>
  <c r="Y30" i="6"/>
  <c r="Z30" i="6" s="1"/>
  <c r="V30" i="6"/>
  <c r="U30" i="6"/>
  <c r="X30" i="6" s="1"/>
  <c r="T30" i="6"/>
  <c r="S30" i="6"/>
  <c r="R30" i="6"/>
  <c r="Q30" i="6"/>
  <c r="O30" i="6"/>
  <c r="A30" i="6"/>
  <c r="Y29" i="6"/>
  <c r="Z29" i="6" s="1"/>
  <c r="X29" i="6"/>
  <c r="W29" i="6"/>
  <c r="V29" i="6"/>
  <c r="U29" i="6"/>
  <c r="T29" i="6"/>
  <c r="S29" i="6"/>
  <c r="Q29" i="6"/>
  <c r="R29" i="6" s="1"/>
  <c r="O29" i="6"/>
  <c r="A29" i="6"/>
  <c r="Y28" i="6"/>
  <c r="Z28" i="6" s="1"/>
  <c r="V28" i="6"/>
  <c r="U28" i="6"/>
  <c r="X28" i="6" s="1"/>
  <c r="T28" i="6"/>
  <c r="S28" i="6"/>
  <c r="Q28" i="6"/>
  <c r="R28" i="6" s="1"/>
  <c r="O28" i="6"/>
  <c r="A28" i="6"/>
  <c r="Y27" i="6"/>
  <c r="Z27" i="6" s="1"/>
  <c r="X27" i="6"/>
  <c r="W27" i="6"/>
  <c r="V27" i="6"/>
  <c r="U27" i="6"/>
  <c r="T27" i="6"/>
  <c r="S27" i="6"/>
  <c r="Q27" i="6"/>
  <c r="R27" i="6" s="1"/>
  <c r="O27" i="6"/>
  <c r="A27" i="6"/>
  <c r="Z26" i="6"/>
  <c r="Y26" i="6"/>
  <c r="W26" i="6"/>
  <c r="V26" i="6"/>
  <c r="U26" i="6"/>
  <c r="X26" i="6" s="1"/>
  <c r="T26" i="6"/>
  <c r="S26" i="6"/>
  <c r="Q26" i="6"/>
  <c r="R26" i="6" s="1"/>
  <c r="O26" i="6"/>
  <c r="A26" i="6"/>
  <c r="Y25" i="6"/>
  <c r="Z25" i="6" s="1"/>
  <c r="W25" i="6"/>
  <c r="V25" i="6"/>
  <c r="U25" i="6"/>
  <c r="X25" i="6" s="1"/>
  <c r="T25" i="6"/>
  <c r="S25" i="6"/>
  <c r="R25" i="6"/>
  <c r="Q25" i="6"/>
  <c r="O25" i="6"/>
  <c r="A25" i="6"/>
  <c r="Y24" i="6"/>
  <c r="Z24" i="6" s="1"/>
  <c r="V24" i="6"/>
  <c r="U24" i="6"/>
  <c r="X24" i="6" s="1"/>
  <c r="T24" i="6"/>
  <c r="S24" i="6"/>
  <c r="Q24" i="6"/>
  <c r="R24" i="6" s="1"/>
  <c r="O24" i="6"/>
  <c r="A24" i="6"/>
  <c r="Y23" i="6"/>
  <c r="Z23" i="6" s="1"/>
  <c r="V23" i="6"/>
  <c r="U23" i="6"/>
  <c r="X23" i="6" s="1"/>
  <c r="T23" i="6"/>
  <c r="S23" i="6"/>
  <c r="Q23" i="6"/>
  <c r="R23" i="6" s="1"/>
  <c r="O23" i="6"/>
  <c r="A23" i="6"/>
  <c r="Y22" i="6"/>
  <c r="Z22" i="6" s="1"/>
  <c r="X22" i="6"/>
  <c r="W22" i="6"/>
  <c r="V22" i="6"/>
  <c r="U22" i="6"/>
  <c r="T22" i="6"/>
  <c r="S22" i="6"/>
  <c r="Q22" i="6"/>
  <c r="R22" i="6" s="1"/>
  <c r="O22" i="6"/>
  <c r="A22" i="6"/>
  <c r="Z21" i="6"/>
  <c r="Y21" i="6"/>
  <c r="W21" i="6"/>
  <c r="V21" i="6"/>
  <c r="U21" i="6"/>
  <c r="X21" i="6" s="1"/>
  <c r="T21" i="6"/>
  <c r="S21" i="6"/>
  <c r="R21" i="6"/>
  <c r="Q21" i="6"/>
  <c r="O21" i="6"/>
  <c r="A21" i="6"/>
  <c r="Y20" i="6"/>
  <c r="Z20" i="6" s="1"/>
  <c r="V20" i="6"/>
  <c r="U20" i="6"/>
  <c r="X20" i="6" s="1"/>
  <c r="T20" i="6"/>
  <c r="S20" i="6"/>
  <c r="R20" i="6"/>
  <c r="Q20" i="6"/>
  <c r="O20" i="6"/>
  <c r="A20" i="6"/>
  <c r="Y19" i="6"/>
  <c r="Z19" i="6" s="1"/>
  <c r="X19" i="6"/>
  <c r="W19" i="6"/>
  <c r="V19" i="6"/>
  <c r="U19" i="6"/>
  <c r="T19" i="6"/>
  <c r="S19" i="6"/>
  <c r="Q19" i="6"/>
  <c r="R19" i="6" s="1"/>
  <c r="O19" i="6"/>
  <c r="A19" i="6"/>
  <c r="Y18" i="6"/>
  <c r="Z18" i="6" s="1"/>
  <c r="V18" i="6"/>
  <c r="U18" i="6"/>
  <c r="X18" i="6" s="1"/>
  <c r="T18" i="6"/>
  <c r="S18" i="6"/>
  <c r="Q18" i="6"/>
  <c r="R18" i="6" s="1"/>
  <c r="O18" i="6"/>
  <c r="A18" i="6"/>
  <c r="Z17" i="6"/>
  <c r="Y17" i="6"/>
  <c r="X17" i="6"/>
  <c r="W17" i="6"/>
  <c r="V17" i="6"/>
  <c r="U17" i="6"/>
  <c r="T17" i="6"/>
  <c r="S17" i="6"/>
  <c r="Q17" i="6"/>
  <c r="R17" i="6" s="1"/>
  <c r="O17" i="6"/>
  <c r="A17" i="6"/>
  <c r="Z16" i="6"/>
  <c r="Y16" i="6"/>
  <c r="W16" i="6"/>
  <c r="V16" i="6"/>
  <c r="U16" i="6"/>
  <c r="X16" i="6" s="1"/>
  <c r="T16" i="6"/>
  <c r="S16" i="6"/>
  <c r="R16" i="6"/>
  <c r="Q16" i="6"/>
  <c r="O16" i="6"/>
  <c r="A16" i="6"/>
  <c r="Y15" i="6"/>
  <c r="Z15" i="6" s="1"/>
  <c r="X15" i="6"/>
  <c r="W15" i="6"/>
  <c r="V15" i="6"/>
  <c r="U15" i="6"/>
  <c r="T15" i="6"/>
  <c r="S15" i="6"/>
  <c r="R15" i="6"/>
  <c r="Q15" i="6"/>
  <c r="O15" i="6"/>
  <c r="A15" i="6"/>
  <c r="Y14" i="6"/>
  <c r="Z14" i="6" s="1"/>
  <c r="X14" i="6"/>
  <c r="W14" i="6"/>
  <c r="V14" i="6"/>
  <c r="U14" i="6"/>
  <c r="T14" i="6"/>
  <c r="S14" i="6"/>
  <c r="Q14" i="6"/>
  <c r="R14" i="6" s="1"/>
  <c r="O14" i="6"/>
  <c r="A14" i="6"/>
  <c r="Y13" i="6"/>
  <c r="Z13" i="6" s="1"/>
  <c r="V13" i="6"/>
  <c r="U13" i="6"/>
  <c r="X13" i="6" s="1"/>
  <c r="T13" i="6"/>
  <c r="S13" i="6"/>
  <c r="Q13" i="6"/>
  <c r="R13" i="6" s="1"/>
  <c r="O13" i="6"/>
  <c r="A13" i="6"/>
  <c r="Z12" i="6"/>
  <c r="Y12" i="6"/>
  <c r="X12" i="6"/>
  <c r="W12" i="6"/>
  <c r="V12" i="6"/>
  <c r="U12" i="6"/>
  <c r="T12" i="6"/>
  <c r="S12" i="6"/>
  <c r="Q12" i="6"/>
  <c r="R12" i="6" s="1"/>
  <c r="O12" i="6"/>
  <c r="A12" i="6"/>
  <c r="Z11" i="6"/>
  <c r="Y11" i="6"/>
  <c r="W11" i="6"/>
  <c r="V11" i="6"/>
  <c r="U11" i="6"/>
  <c r="X11" i="6" s="1"/>
  <c r="T11" i="6"/>
  <c r="S11" i="6"/>
  <c r="Q11" i="6"/>
  <c r="R11" i="6" s="1"/>
  <c r="O11" i="6"/>
  <c r="A11" i="6"/>
  <c r="Y10" i="6"/>
  <c r="Z10" i="6" s="1"/>
  <c r="X10" i="6"/>
  <c r="W10" i="6"/>
  <c r="V10" i="6"/>
  <c r="U10" i="6"/>
  <c r="T10" i="6"/>
  <c r="S10" i="6"/>
  <c r="R10" i="6"/>
  <c r="Q10" i="6"/>
  <c r="O10" i="6"/>
  <c r="A10" i="6"/>
  <c r="Y9" i="6"/>
  <c r="Z9" i="6" s="1"/>
  <c r="V9" i="6"/>
  <c r="U9" i="6"/>
  <c r="X9" i="6" s="1"/>
  <c r="T9" i="6"/>
  <c r="S9" i="6"/>
  <c r="Q9" i="6"/>
  <c r="R9" i="6" s="1"/>
  <c r="O9" i="6"/>
  <c r="A9" i="6"/>
  <c r="Y8" i="6"/>
  <c r="T8" i="6"/>
  <c r="S8" i="6"/>
  <c r="Q8" i="6"/>
  <c r="V8" i="6" s="1"/>
  <c r="O8" i="6"/>
  <c r="A8" i="6"/>
  <c r="Y7" i="6"/>
  <c r="T7" i="6"/>
  <c r="S7" i="6"/>
  <c r="Q7" i="6"/>
  <c r="O7" i="6"/>
  <c r="A7" i="6"/>
  <c r="Z6" i="6"/>
  <c r="Y6" i="6"/>
  <c r="T6" i="6"/>
  <c r="S6" i="6"/>
  <c r="Q6" i="6"/>
  <c r="V6" i="6" s="1"/>
  <c r="O6" i="6"/>
  <c r="A6" i="6"/>
  <c r="Y5" i="6"/>
  <c r="U5" i="6"/>
  <c r="T5" i="6"/>
  <c r="S5" i="6"/>
  <c r="R5" i="6"/>
  <c r="Q5" i="6"/>
  <c r="V5" i="6" s="1"/>
  <c r="O5" i="6"/>
  <c r="A5" i="6"/>
  <c r="Y4" i="6"/>
  <c r="Z4" i="6" s="1"/>
  <c r="V4" i="6"/>
  <c r="U4" i="6"/>
  <c r="T4" i="6"/>
  <c r="S4" i="6"/>
  <c r="Q4" i="6"/>
  <c r="R4" i="6" s="1"/>
  <c r="O4" i="6"/>
  <c r="A4" i="6"/>
  <c r="Y3" i="6"/>
  <c r="Z3" i="6" s="1"/>
  <c r="T3" i="6"/>
  <c r="S3" i="6"/>
  <c r="Q3" i="6"/>
  <c r="V3" i="6" s="1"/>
  <c r="O3" i="6"/>
  <c r="V1000" i="5"/>
  <c r="W1000" i="5" s="1"/>
  <c r="O1000" i="5"/>
  <c r="V999" i="5"/>
  <c r="W999" i="5" s="1"/>
  <c r="O999" i="5"/>
  <c r="W998" i="5"/>
  <c r="V998" i="5"/>
  <c r="O998" i="5"/>
  <c r="V997" i="5"/>
  <c r="W997" i="5" s="1"/>
  <c r="O997" i="5"/>
  <c r="W996" i="5"/>
  <c r="V996" i="5"/>
  <c r="O996" i="5"/>
  <c r="V995" i="5"/>
  <c r="W995" i="5" s="1"/>
  <c r="O995" i="5"/>
  <c r="V994" i="5"/>
  <c r="W994" i="5" s="1"/>
  <c r="O994" i="5"/>
  <c r="W993" i="5"/>
  <c r="V993" i="5"/>
  <c r="O993" i="5"/>
  <c r="W992" i="5"/>
  <c r="V992" i="5"/>
  <c r="O992" i="5"/>
  <c r="V991" i="5"/>
  <c r="W991" i="5" s="1"/>
  <c r="O991" i="5"/>
  <c r="W990" i="5"/>
  <c r="V990" i="5"/>
  <c r="O990" i="5"/>
  <c r="W989" i="5"/>
  <c r="V989" i="5"/>
  <c r="O989" i="5"/>
  <c r="W988" i="5"/>
  <c r="V988" i="5"/>
  <c r="O988" i="5"/>
  <c r="V987" i="5"/>
  <c r="W987" i="5" s="1"/>
  <c r="O987" i="5"/>
  <c r="V986" i="5"/>
  <c r="W986" i="5" s="1"/>
  <c r="O986" i="5"/>
  <c r="V985" i="5"/>
  <c r="W985" i="5" s="1"/>
  <c r="O985" i="5"/>
  <c r="W984" i="5"/>
  <c r="V984" i="5"/>
  <c r="O984" i="5"/>
  <c r="V983" i="5"/>
  <c r="W983" i="5" s="1"/>
  <c r="O983" i="5"/>
  <c r="W982" i="5"/>
  <c r="V982" i="5"/>
  <c r="O982" i="5"/>
  <c r="V981" i="5"/>
  <c r="W981" i="5" s="1"/>
  <c r="O981" i="5"/>
  <c r="W980" i="5"/>
  <c r="V980" i="5"/>
  <c r="O980" i="5"/>
  <c r="W979" i="5"/>
  <c r="V979" i="5"/>
  <c r="O979" i="5"/>
  <c r="V978" i="5"/>
  <c r="W978" i="5" s="1"/>
  <c r="O978" i="5"/>
  <c r="V977" i="5"/>
  <c r="W977" i="5" s="1"/>
  <c r="O977" i="5"/>
  <c r="W976" i="5"/>
  <c r="V976" i="5"/>
  <c r="O976" i="5"/>
  <c r="V975" i="5"/>
  <c r="W975" i="5" s="1"/>
  <c r="O975" i="5"/>
  <c r="V974" i="5"/>
  <c r="W974" i="5" s="1"/>
  <c r="O974" i="5"/>
  <c r="W973" i="5"/>
  <c r="V973" i="5"/>
  <c r="O973" i="5"/>
  <c r="W972" i="5"/>
  <c r="V972" i="5"/>
  <c r="O972" i="5"/>
  <c r="W971" i="5"/>
  <c r="V971" i="5"/>
  <c r="O971" i="5"/>
  <c r="W970" i="5"/>
  <c r="V970" i="5"/>
  <c r="O970" i="5"/>
  <c r="W969" i="5"/>
  <c r="V969" i="5"/>
  <c r="O969" i="5"/>
  <c r="W968" i="5"/>
  <c r="V968" i="5"/>
  <c r="O968" i="5"/>
  <c r="V967" i="5"/>
  <c r="W967" i="5" s="1"/>
  <c r="O967" i="5"/>
  <c r="W966" i="5"/>
  <c r="V966" i="5"/>
  <c r="O966" i="5"/>
  <c r="V965" i="5"/>
  <c r="W965" i="5" s="1"/>
  <c r="O965" i="5"/>
  <c r="W964" i="5"/>
  <c r="V964" i="5"/>
  <c r="O964" i="5"/>
  <c r="V963" i="5"/>
  <c r="W963" i="5" s="1"/>
  <c r="O963" i="5"/>
  <c r="W962" i="5"/>
  <c r="V962" i="5"/>
  <c r="O962" i="5"/>
  <c r="V961" i="5"/>
  <c r="W961" i="5" s="1"/>
  <c r="O961" i="5"/>
  <c r="V960" i="5"/>
  <c r="W960" i="5" s="1"/>
  <c r="O960" i="5"/>
  <c r="V959" i="5"/>
  <c r="W959" i="5" s="1"/>
  <c r="O959" i="5"/>
  <c r="W958" i="5"/>
  <c r="V958" i="5"/>
  <c r="O958" i="5"/>
  <c r="V957" i="5"/>
  <c r="W957" i="5" s="1"/>
  <c r="O957" i="5"/>
  <c r="W956" i="5"/>
  <c r="V956" i="5"/>
  <c r="O956" i="5"/>
  <c r="V955" i="5"/>
  <c r="W955" i="5" s="1"/>
  <c r="O955" i="5"/>
  <c r="V954" i="5"/>
  <c r="W954" i="5" s="1"/>
  <c r="O954" i="5"/>
  <c r="W953" i="5"/>
  <c r="V953" i="5"/>
  <c r="O953" i="5"/>
  <c r="W952" i="5"/>
  <c r="V952" i="5"/>
  <c r="O952" i="5"/>
  <c r="W951" i="5"/>
  <c r="V951" i="5"/>
  <c r="O951" i="5"/>
  <c r="W950" i="5"/>
  <c r="V950" i="5"/>
  <c r="O950" i="5"/>
  <c r="W949" i="5"/>
  <c r="V949" i="5"/>
  <c r="O949" i="5"/>
  <c r="W948" i="5"/>
  <c r="V948" i="5"/>
  <c r="O948" i="5"/>
  <c r="V947" i="5"/>
  <c r="W947" i="5" s="1"/>
  <c r="O947" i="5"/>
  <c r="V946" i="5"/>
  <c r="W946" i="5" s="1"/>
  <c r="O946" i="5"/>
  <c r="V945" i="5"/>
  <c r="W945" i="5" s="1"/>
  <c r="O945" i="5"/>
  <c r="W944" i="5"/>
  <c r="V944" i="5"/>
  <c r="O944" i="5"/>
  <c r="V943" i="5"/>
  <c r="W943" i="5" s="1"/>
  <c r="O943" i="5"/>
  <c r="W942" i="5"/>
  <c r="V942" i="5"/>
  <c r="O942" i="5"/>
  <c r="V941" i="5"/>
  <c r="W941" i="5" s="1"/>
  <c r="O941" i="5"/>
  <c r="W940" i="5"/>
  <c r="V940" i="5"/>
  <c r="O940" i="5"/>
  <c r="V939" i="5"/>
  <c r="W939" i="5" s="1"/>
  <c r="O939" i="5"/>
  <c r="V938" i="5"/>
  <c r="W938" i="5" s="1"/>
  <c r="O938" i="5"/>
  <c r="V937" i="5"/>
  <c r="W937" i="5" s="1"/>
  <c r="O937" i="5"/>
  <c r="W936" i="5"/>
  <c r="V936" i="5"/>
  <c r="O936" i="5"/>
  <c r="V935" i="5"/>
  <c r="W935" i="5" s="1"/>
  <c r="O935" i="5"/>
  <c r="V934" i="5"/>
  <c r="W934" i="5" s="1"/>
  <c r="O934" i="5"/>
  <c r="V933" i="5"/>
  <c r="W933" i="5" s="1"/>
  <c r="O933" i="5"/>
  <c r="W932" i="5"/>
  <c r="V932" i="5"/>
  <c r="O932" i="5"/>
  <c r="W931" i="5"/>
  <c r="V931" i="5"/>
  <c r="O931" i="5"/>
  <c r="W930" i="5"/>
  <c r="V930" i="5"/>
  <c r="O930" i="5"/>
  <c r="W929" i="5"/>
  <c r="V929" i="5"/>
  <c r="O929" i="5"/>
  <c r="W928" i="5"/>
  <c r="V928" i="5"/>
  <c r="O928" i="5"/>
  <c r="W927" i="5"/>
  <c r="V927" i="5"/>
  <c r="O927" i="5"/>
  <c r="W926" i="5"/>
  <c r="V926" i="5"/>
  <c r="O926" i="5"/>
  <c r="V925" i="5"/>
  <c r="W925" i="5" s="1"/>
  <c r="O925" i="5"/>
  <c r="W924" i="5"/>
  <c r="V924" i="5"/>
  <c r="O924" i="5"/>
  <c r="V923" i="5"/>
  <c r="W923" i="5" s="1"/>
  <c r="O923" i="5"/>
  <c r="W922" i="5"/>
  <c r="V922" i="5"/>
  <c r="O922" i="5"/>
  <c r="V921" i="5"/>
  <c r="W921" i="5" s="1"/>
  <c r="O921" i="5"/>
  <c r="V920" i="5"/>
  <c r="W920" i="5" s="1"/>
  <c r="O920" i="5"/>
  <c r="V919" i="5"/>
  <c r="W919" i="5" s="1"/>
  <c r="O919" i="5"/>
  <c r="W918" i="5"/>
  <c r="V918" i="5"/>
  <c r="O918" i="5"/>
  <c r="V917" i="5"/>
  <c r="W917" i="5" s="1"/>
  <c r="O917" i="5"/>
  <c r="W916" i="5"/>
  <c r="V916" i="5"/>
  <c r="O916" i="5"/>
  <c r="V915" i="5"/>
  <c r="W915" i="5" s="1"/>
  <c r="O915" i="5"/>
  <c r="V914" i="5"/>
  <c r="W914" i="5" s="1"/>
  <c r="O914" i="5"/>
  <c r="W913" i="5"/>
  <c r="V913" i="5"/>
  <c r="O913" i="5"/>
  <c r="W912" i="5"/>
  <c r="V912" i="5"/>
  <c r="O912" i="5"/>
  <c r="V911" i="5"/>
  <c r="W911" i="5" s="1"/>
  <c r="O911" i="5"/>
  <c r="W910" i="5"/>
  <c r="V910" i="5"/>
  <c r="O910" i="5"/>
  <c r="W909" i="5"/>
  <c r="V909" i="5"/>
  <c r="O909" i="5"/>
  <c r="W908" i="5"/>
  <c r="V908" i="5"/>
  <c r="O908" i="5"/>
  <c r="W907" i="5"/>
  <c r="V907" i="5"/>
  <c r="O907" i="5"/>
  <c r="W906" i="5"/>
  <c r="V906" i="5"/>
  <c r="O906" i="5"/>
  <c r="V905" i="5"/>
  <c r="W905" i="5" s="1"/>
  <c r="O905" i="5"/>
  <c r="W904" i="5"/>
  <c r="V904" i="5"/>
  <c r="O904" i="5"/>
  <c r="V903" i="5"/>
  <c r="W903" i="5" s="1"/>
  <c r="O903" i="5"/>
  <c r="W902" i="5"/>
  <c r="V902" i="5"/>
  <c r="O902" i="5"/>
  <c r="V901" i="5"/>
  <c r="W901" i="5" s="1"/>
  <c r="O901" i="5"/>
  <c r="V900" i="5"/>
  <c r="W900" i="5" s="1"/>
  <c r="O900" i="5"/>
  <c r="W899" i="5"/>
  <c r="V899" i="5"/>
  <c r="O899" i="5"/>
  <c r="V898" i="5"/>
  <c r="W898" i="5" s="1"/>
  <c r="O898" i="5"/>
  <c r="V897" i="5"/>
  <c r="W897" i="5" s="1"/>
  <c r="O897" i="5"/>
  <c r="W896" i="5"/>
  <c r="V896" i="5"/>
  <c r="O896" i="5"/>
  <c r="V895" i="5"/>
  <c r="W895" i="5" s="1"/>
  <c r="O895" i="5"/>
  <c r="V894" i="5"/>
  <c r="W894" i="5" s="1"/>
  <c r="O894" i="5"/>
  <c r="V893" i="5"/>
  <c r="W893" i="5" s="1"/>
  <c r="O893" i="5"/>
  <c r="W892" i="5"/>
  <c r="V892" i="5"/>
  <c r="O892" i="5"/>
  <c r="W891" i="5"/>
  <c r="V891" i="5"/>
  <c r="O891" i="5"/>
  <c r="W890" i="5"/>
  <c r="V890" i="5"/>
  <c r="O890" i="5"/>
  <c r="W889" i="5"/>
  <c r="V889" i="5"/>
  <c r="O889" i="5"/>
  <c r="W888" i="5"/>
  <c r="V888" i="5"/>
  <c r="O888" i="5"/>
  <c r="W887" i="5"/>
  <c r="V887" i="5"/>
  <c r="O887" i="5"/>
  <c r="W886" i="5"/>
  <c r="V886" i="5"/>
  <c r="O886" i="5"/>
  <c r="V885" i="5"/>
  <c r="W885" i="5" s="1"/>
  <c r="O885" i="5"/>
  <c r="W884" i="5"/>
  <c r="V884" i="5"/>
  <c r="O884" i="5"/>
  <c r="V883" i="5"/>
  <c r="W883" i="5" s="1"/>
  <c r="O883" i="5"/>
  <c r="W882" i="5"/>
  <c r="V882" i="5"/>
  <c r="O882" i="5"/>
  <c r="V881" i="5"/>
  <c r="W881" i="5" s="1"/>
  <c r="O881" i="5"/>
  <c r="V880" i="5"/>
  <c r="W880" i="5" s="1"/>
  <c r="O880" i="5"/>
  <c r="V879" i="5"/>
  <c r="W879" i="5" s="1"/>
  <c r="O879" i="5"/>
  <c r="V878" i="5"/>
  <c r="W878" i="5" s="1"/>
  <c r="O878" i="5"/>
  <c r="V877" i="5"/>
  <c r="W877" i="5" s="1"/>
  <c r="O877" i="5"/>
  <c r="W876" i="5"/>
  <c r="V876" i="5"/>
  <c r="O876" i="5"/>
  <c r="V875" i="5"/>
  <c r="W875" i="5" s="1"/>
  <c r="O875" i="5"/>
  <c r="V874" i="5"/>
  <c r="W874" i="5" s="1"/>
  <c r="O874" i="5"/>
  <c r="W873" i="5"/>
  <c r="V873" i="5"/>
  <c r="O873" i="5"/>
  <c r="W872" i="5"/>
  <c r="V872" i="5"/>
  <c r="O872" i="5"/>
  <c r="V871" i="5"/>
  <c r="W871" i="5" s="1"/>
  <c r="O871" i="5"/>
  <c r="W870" i="5"/>
  <c r="V870" i="5"/>
  <c r="O870" i="5"/>
  <c r="W869" i="5"/>
  <c r="V869" i="5"/>
  <c r="O869" i="5"/>
  <c r="W868" i="5"/>
  <c r="V868" i="5"/>
  <c r="O868" i="5"/>
  <c r="V867" i="5"/>
  <c r="W867" i="5" s="1"/>
  <c r="O867" i="5"/>
  <c r="V866" i="5"/>
  <c r="W866" i="5" s="1"/>
  <c r="O866" i="5"/>
  <c r="V865" i="5"/>
  <c r="W865" i="5" s="1"/>
  <c r="O865" i="5"/>
  <c r="W864" i="5"/>
  <c r="V864" i="5"/>
  <c r="O864" i="5"/>
  <c r="V863" i="5"/>
  <c r="W863" i="5" s="1"/>
  <c r="O863" i="5"/>
  <c r="W862" i="5"/>
  <c r="V862" i="5"/>
  <c r="O862" i="5"/>
  <c r="V861" i="5"/>
  <c r="W861" i="5" s="1"/>
  <c r="O861" i="5"/>
  <c r="W860" i="5"/>
  <c r="V860" i="5"/>
  <c r="O860" i="5"/>
  <c r="W859" i="5"/>
  <c r="V859" i="5"/>
  <c r="O859" i="5"/>
  <c r="V858" i="5"/>
  <c r="W858" i="5" s="1"/>
  <c r="O858" i="5"/>
  <c r="V857" i="5"/>
  <c r="W857" i="5" s="1"/>
  <c r="O857" i="5"/>
  <c r="W856" i="5"/>
  <c r="V856" i="5"/>
  <c r="O856" i="5"/>
  <c r="V855" i="5"/>
  <c r="W855" i="5" s="1"/>
  <c r="O855" i="5"/>
  <c r="V854" i="5"/>
  <c r="W854" i="5" s="1"/>
  <c r="O854" i="5"/>
  <c r="V853" i="5"/>
  <c r="W853" i="5" s="1"/>
  <c r="O853" i="5"/>
  <c r="W852" i="5"/>
  <c r="V852" i="5"/>
  <c r="O852" i="5"/>
  <c r="W851" i="5"/>
  <c r="V851" i="5"/>
  <c r="O851" i="5"/>
  <c r="W850" i="5"/>
  <c r="V850" i="5"/>
  <c r="O850" i="5"/>
  <c r="W849" i="5"/>
  <c r="V849" i="5"/>
  <c r="O849" i="5"/>
  <c r="W848" i="5"/>
  <c r="V848" i="5"/>
  <c r="O848" i="5"/>
  <c r="W847" i="5"/>
  <c r="V847" i="5"/>
  <c r="O847" i="5"/>
  <c r="W846" i="5"/>
  <c r="V846" i="5"/>
  <c r="O846" i="5"/>
  <c r="V845" i="5"/>
  <c r="W845" i="5" s="1"/>
  <c r="O845" i="5"/>
  <c r="W844" i="5"/>
  <c r="V844" i="5"/>
  <c r="O844" i="5"/>
  <c r="V843" i="5"/>
  <c r="W843" i="5" s="1"/>
  <c r="O843" i="5"/>
  <c r="W842" i="5"/>
  <c r="V842" i="5"/>
  <c r="O842" i="5"/>
  <c r="V841" i="5"/>
  <c r="W841" i="5" s="1"/>
  <c r="O841" i="5"/>
  <c r="W840" i="5"/>
  <c r="V840" i="5"/>
  <c r="O840" i="5"/>
  <c r="W839" i="5"/>
  <c r="V839" i="5"/>
  <c r="O839" i="5"/>
  <c r="W838" i="5"/>
  <c r="V838" i="5"/>
  <c r="O838" i="5"/>
  <c r="V837" i="5"/>
  <c r="W837" i="5" s="1"/>
  <c r="O837" i="5"/>
  <c r="W836" i="5"/>
  <c r="V836" i="5"/>
  <c r="O836" i="5"/>
  <c r="V835" i="5"/>
  <c r="W835" i="5" s="1"/>
  <c r="O835" i="5"/>
  <c r="V834" i="5"/>
  <c r="W834" i="5" s="1"/>
  <c r="O834" i="5"/>
  <c r="V833" i="5"/>
  <c r="W833" i="5" s="1"/>
  <c r="O833" i="5"/>
  <c r="W832" i="5"/>
  <c r="V832" i="5"/>
  <c r="O832" i="5"/>
  <c r="V831" i="5"/>
  <c r="W831" i="5" s="1"/>
  <c r="O831" i="5"/>
  <c r="W830" i="5"/>
  <c r="V830" i="5"/>
  <c r="O830" i="5"/>
  <c r="W829" i="5"/>
  <c r="V829" i="5"/>
  <c r="O829" i="5"/>
  <c r="W828" i="5"/>
  <c r="V828" i="5"/>
  <c r="O828" i="5"/>
  <c r="V827" i="5"/>
  <c r="W827" i="5" s="1"/>
  <c r="O827" i="5"/>
  <c r="V826" i="5"/>
  <c r="W826" i="5" s="1"/>
  <c r="O826" i="5"/>
  <c r="V825" i="5"/>
  <c r="W825" i="5" s="1"/>
  <c r="O825" i="5"/>
  <c r="W824" i="5"/>
  <c r="V824" i="5"/>
  <c r="O824" i="5"/>
  <c r="V823" i="5"/>
  <c r="W823" i="5" s="1"/>
  <c r="O823" i="5"/>
  <c r="W822" i="5"/>
  <c r="V822" i="5"/>
  <c r="O822" i="5"/>
  <c r="V821" i="5"/>
  <c r="W821" i="5" s="1"/>
  <c r="O821" i="5"/>
  <c r="W820" i="5"/>
  <c r="V820" i="5"/>
  <c r="O820" i="5"/>
  <c r="W819" i="5"/>
  <c r="V819" i="5"/>
  <c r="O819" i="5"/>
  <c r="W818" i="5"/>
  <c r="V818" i="5"/>
  <c r="O818" i="5"/>
  <c r="V817" i="5"/>
  <c r="W817" i="5" s="1"/>
  <c r="O817" i="5"/>
  <c r="W816" i="5"/>
  <c r="V816" i="5"/>
  <c r="O816" i="5"/>
  <c r="V815" i="5"/>
  <c r="W815" i="5" s="1"/>
  <c r="O815" i="5"/>
  <c r="W814" i="5"/>
  <c r="V814" i="5"/>
  <c r="O814" i="5"/>
  <c r="V813" i="5"/>
  <c r="W813" i="5" s="1"/>
  <c r="O813" i="5"/>
  <c r="W812" i="5"/>
  <c r="V812" i="5"/>
  <c r="O812" i="5"/>
  <c r="V811" i="5"/>
  <c r="W811" i="5" s="1"/>
  <c r="O811" i="5"/>
  <c r="W810" i="5"/>
  <c r="V810" i="5"/>
  <c r="O810" i="5"/>
  <c r="W809" i="5"/>
  <c r="V809" i="5"/>
  <c r="O809" i="5"/>
  <c r="W808" i="5"/>
  <c r="V808" i="5"/>
  <c r="O808" i="5"/>
  <c r="V807" i="5"/>
  <c r="W807" i="5" s="1"/>
  <c r="O807" i="5"/>
  <c r="W806" i="5"/>
  <c r="V806" i="5"/>
  <c r="O806" i="5"/>
  <c r="V805" i="5"/>
  <c r="W805" i="5" s="1"/>
  <c r="O805" i="5"/>
  <c r="W804" i="5"/>
  <c r="V804" i="5"/>
  <c r="O804" i="5"/>
  <c r="V803" i="5"/>
  <c r="W803" i="5" s="1"/>
  <c r="O803" i="5"/>
  <c r="W802" i="5"/>
  <c r="V802" i="5"/>
  <c r="O802" i="5"/>
  <c r="V801" i="5"/>
  <c r="W801" i="5" s="1"/>
  <c r="O801" i="5"/>
  <c r="W800" i="5"/>
  <c r="V800" i="5"/>
  <c r="O800" i="5"/>
  <c r="V799" i="5"/>
  <c r="W799" i="5" s="1"/>
  <c r="O799" i="5"/>
  <c r="V798" i="5"/>
  <c r="W798" i="5" s="1"/>
  <c r="O798" i="5"/>
  <c r="V797" i="5"/>
  <c r="W797" i="5" s="1"/>
  <c r="O797" i="5"/>
  <c r="W796" i="5"/>
  <c r="V796" i="5"/>
  <c r="O796" i="5"/>
  <c r="V795" i="5"/>
  <c r="W795" i="5" s="1"/>
  <c r="O795" i="5"/>
  <c r="W794" i="5"/>
  <c r="V794" i="5"/>
  <c r="O794" i="5"/>
  <c r="V793" i="5"/>
  <c r="W793" i="5" s="1"/>
  <c r="O793" i="5"/>
  <c r="W792" i="5"/>
  <c r="V792" i="5"/>
  <c r="O792" i="5"/>
  <c r="W791" i="5"/>
  <c r="V791" i="5"/>
  <c r="O791" i="5"/>
  <c r="W790" i="5"/>
  <c r="V790" i="5"/>
  <c r="O790" i="5"/>
  <c r="W789" i="5"/>
  <c r="V789" i="5"/>
  <c r="O789" i="5"/>
  <c r="W788" i="5"/>
  <c r="V788" i="5"/>
  <c r="O788" i="5"/>
  <c r="W787" i="5"/>
  <c r="V787" i="5"/>
  <c r="O787" i="5"/>
  <c r="W786" i="5"/>
  <c r="V786" i="5"/>
  <c r="O786" i="5"/>
  <c r="V785" i="5"/>
  <c r="W785" i="5" s="1"/>
  <c r="O785" i="5"/>
  <c r="W784" i="5"/>
  <c r="V784" i="5"/>
  <c r="O784" i="5"/>
  <c r="V783" i="5"/>
  <c r="W783" i="5" s="1"/>
  <c r="O783" i="5"/>
  <c r="W782" i="5"/>
  <c r="V782" i="5"/>
  <c r="O782" i="5"/>
  <c r="V781" i="5"/>
  <c r="W781" i="5" s="1"/>
  <c r="O781" i="5"/>
  <c r="V780" i="5"/>
  <c r="W780" i="5" s="1"/>
  <c r="O780" i="5"/>
  <c r="V779" i="5"/>
  <c r="W779" i="5" s="1"/>
  <c r="O779" i="5"/>
  <c r="W778" i="5"/>
  <c r="V778" i="5"/>
  <c r="O778" i="5"/>
  <c r="V777" i="5"/>
  <c r="W777" i="5" s="1"/>
  <c r="O777" i="5"/>
  <c r="W776" i="5"/>
  <c r="V776" i="5"/>
  <c r="O776" i="5"/>
  <c r="V775" i="5"/>
  <c r="W775" i="5" s="1"/>
  <c r="O775" i="5"/>
  <c r="W774" i="5"/>
  <c r="V774" i="5"/>
  <c r="O774" i="5"/>
  <c r="W773" i="5"/>
  <c r="V773" i="5"/>
  <c r="O773" i="5"/>
  <c r="W772" i="5"/>
  <c r="V772" i="5"/>
  <c r="O772" i="5"/>
  <c r="W771" i="5"/>
  <c r="V771" i="5"/>
  <c r="O771" i="5"/>
  <c r="W770" i="5"/>
  <c r="V770" i="5"/>
  <c r="O770" i="5"/>
  <c r="W769" i="5"/>
  <c r="V769" i="5"/>
  <c r="O769" i="5"/>
  <c r="W768" i="5"/>
  <c r="V768" i="5"/>
  <c r="O768" i="5"/>
  <c r="W767" i="5"/>
  <c r="V767" i="5"/>
  <c r="O767" i="5"/>
  <c r="V766" i="5"/>
  <c r="W766" i="5" s="1"/>
  <c r="O766" i="5"/>
  <c r="V765" i="5"/>
  <c r="W765" i="5" s="1"/>
  <c r="O765" i="5"/>
  <c r="W764" i="5"/>
  <c r="V764" i="5"/>
  <c r="O764" i="5"/>
  <c r="V763" i="5"/>
  <c r="W763" i="5" s="1"/>
  <c r="O763" i="5"/>
  <c r="W762" i="5"/>
  <c r="V762" i="5"/>
  <c r="O762" i="5"/>
  <c r="V761" i="5"/>
  <c r="W761" i="5" s="1"/>
  <c r="O761" i="5"/>
  <c r="V760" i="5"/>
  <c r="W760" i="5" s="1"/>
  <c r="O760" i="5"/>
  <c r="W759" i="5"/>
  <c r="V759" i="5"/>
  <c r="O759" i="5"/>
  <c r="W758" i="5"/>
  <c r="V758" i="5"/>
  <c r="O758" i="5"/>
  <c r="V757" i="5"/>
  <c r="W757" i="5" s="1"/>
  <c r="O757" i="5"/>
  <c r="W756" i="5"/>
  <c r="V756" i="5"/>
  <c r="O756" i="5"/>
  <c r="V755" i="5"/>
  <c r="W755" i="5" s="1"/>
  <c r="O755" i="5"/>
  <c r="V754" i="5"/>
  <c r="W754" i="5" s="1"/>
  <c r="O754" i="5"/>
  <c r="V753" i="5"/>
  <c r="W753" i="5" s="1"/>
  <c r="O753" i="5"/>
  <c r="W752" i="5"/>
  <c r="V752" i="5"/>
  <c r="O752" i="5"/>
  <c r="V751" i="5"/>
  <c r="W751" i="5" s="1"/>
  <c r="O751" i="5"/>
  <c r="W750" i="5"/>
  <c r="V750" i="5"/>
  <c r="O750" i="5"/>
  <c r="W749" i="5"/>
  <c r="V749" i="5"/>
  <c r="O749" i="5"/>
  <c r="W748" i="5"/>
  <c r="V748" i="5"/>
  <c r="O748" i="5"/>
  <c r="V747" i="5"/>
  <c r="W747" i="5" s="1"/>
  <c r="O747" i="5"/>
  <c r="V746" i="5"/>
  <c r="W746" i="5" s="1"/>
  <c r="O746" i="5"/>
  <c r="V745" i="5"/>
  <c r="W745" i="5" s="1"/>
  <c r="O745" i="5"/>
  <c r="W744" i="5"/>
  <c r="V744" i="5"/>
  <c r="O744" i="5"/>
  <c r="V743" i="5"/>
  <c r="W743" i="5" s="1"/>
  <c r="O743" i="5"/>
  <c r="W742" i="5"/>
  <c r="V742" i="5"/>
  <c r="O742" i="5"/>
  <c r="V741" i="5"/>
  <c r="W741" i="5" s="1"/>
  <c r="O741" i="5"/>
  <c r="W740" i="5"/>
  <c r="V740" i="5"/>
  <c r="O740" i="5"/>
  <c r="W739" i="5"/>
  <c r="V739" i="5"/>
  <c r="O739" i="5"/>
  <c r="V738" i="5"/>
  <c r="W738" i="5" s="1"/>
  <c r="O738" i="5"/>
  <c r="V737" i="5"/>
  <c r="W737" i="5" s="1"/>
  <c r="O737" i="5"/>
  <c r="W736" i="5"/>
  <c r="V736" i="5"/>
  <c r="O736" i="5"/>
  <c r="V735" i="5"/>
  <c r="W735" i="5" s="1"/>
  <c r="O735" i="5"/>
  <c r="W734" i="5"/>
  <c r="V734" i="5"/>
  <c r="O734" i="5"/>
  <c r="W733" i="5"/>
  <c r="V733" i="5"/>
  <c r="O733" i="5"/>
  <c r="W732" i="5"/>
  <c r="V732" i="5"/>
  <c r="O732" i="5"/>
  <c r="V731" i="5"/>
  <c r="W731" i="5" s="1"/>
  <c r="O731" i="5"/>
  <c r="W730" i="5"/>
  <c r="V730" i="5"/>
  <c r="O730" i="5"/>
  <c r="W729" i="5"/>
  <c r="V729" i="5"/>
  <c r="O729" i="5"/>
  <c r="W728" i="5"/>
  <c r="V728" i="5"/>
  <c r="O728" i="5"/>
  <c r="V727" i="5"/>
  <c r="W727" i="5" s="1"/>
  <c r="O727" i="5"/>
  <c r="W726" i="5"/>
  <c r="V726" i="5"/>
  <c r="O726" i="5"/>
  <c r="V725" i="5"/>
  <c r="W725" i="5" s="1"/>
  <c r="O725" i="5"/>
  <c r="W724" i="5"/>
  <c r="V724" i="5"/>
  <c r="O724" i="5"/>
  <c r="V723" i="5"/>
  <c r="W723" i="5" s="1"/>
  <c r="O723" i="5"/>
  <c r="W722" i="5"/>
  <c r="V722" i="5"/>
  <c r="O722" i="5"/>
  <c r="V721" i="5"/>
  <c r="W721" i="5" s="1"/>
  <c r="O721" i="5"/>
  <c r="W720" i="5"/>
  <c r="V720" i="5"/>
  <c r="O720" i="5"/>
  <c r="V719" i="5"/>
  <c r="W719" i="5" s="1"/>
  <c r="O719" i="5"/>
  <c r="V718" i="5"/>
  <c r="W718" i="5" s="1"/>
  <c r="O718" i="5"/>
  <c r="V717" i="5"/>
  <c r="W717" i="5" s="1"/>
  <c r="O717" i="5"/>
  <c r="V716" i="5"/>
  <c r="W716" i="5" s="1"/>
  <c r="O716" i="5"/>
  <c r="V715" i="5"/>
  <c r="W715" i="5" s="1"/>
  <c r="O715" i="5"/>
  <c r="W714" i="5"/>
  <c r="V714" i="5"/>
  <c r="O714" i="5"/>
  <c r="V713" i="5"/>
  <c r="W713" i="5" s="1"/>
  <c r="O713" i="5"/>
  <c r="W712" i="5"/>
  <c r="V712" i="5"/>
  <c r="O712" i="5"/>
  <c r="W711" i="5"/>
  <c r="V711" i="5"/>
  <c r="O711" i="5"/>
  <c r="W710" i="5"/>
  <c r="V710" i="5"/>
  <c r="O710" i="5"/>
  <c r="W709" i="5"/>
  <c r="V709" i="5"/>
  <c r="O709" i="5"/>
  <c r="W708" i="5"/>
  <c r="V708" i="5"/>
  <c r="O708" i="5"/>
  <c r="W707" i="5"/>
  <c r="V707" i="5"/>
  <c r="O707" i="5"/>
  <c r="W706" i="5"/>
  <c r="V706" i="5"/>
  <c r="O706" i="5"/>
  <c r="V705" i="5"/>
  <c r="W705" i="5" s="1"/>
  <c r="O705" i="5"/>
  <c r="W704" i="5"/>
  <c r="V704" i="5"/>
  <c r="O704" i="5"/>
  <c r="V703" i="5"/>
  <c r="W703" i="5" s="1"/>
  <c r="O703" i="5"/>
  <c r="W702" i="5"/>
  <c r="V702" i="5"/>
  <c r="O702" i="5"/>
  <c r="V701" i="5"/>
  <c r="W701" i="5" s="1"/>
  <c r="O701" i="5"/>
  <c r="V700" i="5"/>
  <c r="W700" i="5" s="1"/>
  <c r="O700" i="5"/>
  <c r="V699" i="5"/>
  <c r="W699" i="5" s="1"/>
  <c r="O699" i="5"/>
  <c r="W698" i="5"/>
  <c r="V698" i="5"/>
  <c r="O698" i="5"/>
  <c r="V697" i="5"/>
  <c r="W697" i="5" s="1"/>
  <c r="O697" i="5"/>
  <c r="V696" i="5"/>
  <c r="W696" i="5" s="1"/>
  <c r="O696" i="5"/>
  <c r="V695" i="5"/>
  <c r="W695" i="5" s="1"/>
  <c r="O695" i="5"/>
  <c r="V694" i="5"/>
  <c r="W694" i="5" s="1"/>
  <c r="O694" i="5"/>
  <c r="W693" i="5"/>
  <c r="V693" i="5"/>
  <c r="O693" i="5"/>
  <c r="W692" i="5"/>
  <c r="V692" i="5"/>
  <c r="O692" i="5"/>
  <c r="W691" i="5"/>
  <c r="V691" i="5"/>
  <c r="O691" i="5"/>
  <c r="W690" i="5"/>
  <c r="V690" i="5"/>
  <c r="O690" i="5"/>
  <c r="W689" i="5"/>
  <c r="V689" i="5"/>
  <c r="O689" i="5"/>
  <c r="W688" i="5"/>
  <c r="V688" i="5"/>
  <c r="O688" i="5"/>
  <c r="W687" i="5"/>
  <c r="V687" i="5"/>
  <c r="O687" i="5"/>
  <c r="V686" i="5"/>
  <c r="W686" i="5" s="1"/>
  <c r="O686" i="5"/>
  <c r="V685" i="5"/>
  <c r="W685" i="5" s="1"/>
  <c r="O685" i="5"/>
  <c r="W684" i="5"/>
  <c r="V684" i="5"/>
  <c r="O684" i="5"/>
  <c r="V683" i="5"/>
  <c r="W683" i="5" s="1"/>
  <c r="O683" i="5"/>
  <c r="W682" i="5"/>
  <c r="V682" i="5"/>
  <c r="O682" i="5"/>
  <c r="V681" i="5"/>
  <c r="W681" i="5" s="1"/>
  <c r="O681" i="5"/>
  <c r="V680" i="5"/>
  <c r="W680" i="5" s="1"/>
  <c r="O680" i="5"/>
  <c r="W679" i="5"/>
  <c r="V679" i="5"/>
  <c r="O679" i="5"/>
  <c r="W678" i="5"/>
  <c r="V678" i="5"/>
  <c r="O678" i="5"/>
  <c r="V677" i="5"/>
  <c r="W677" i="5" s="1"/>
  <c r="O677" i="5"/>
  <c r="V676" i="5"/>
  <c r="W676" i="5" s="1"/>
  <c r="O676" i="5"/>
  <c r="V675" i="5"/>
  <c r="W675" i="5" s="1"/>
  <c r="O675" i="5"/>
  <c r="V674" i="5"/>
  <c r="W674" i="5" s="1"/>
  <c r="O674" i="5"/>
  <c r="V673" i="5"/>
  <c r="W673" i="5" s="1"/>
  <c r="O673" i="5"/>
  <c r="W672" i="5"/>
  <c r="V672" i="5"/>
  <c r="O672" i="5"/>
  <c r="W671" i="5"/>
  <c r="V671" i="5"/>
  <c r="O671" i="5"/>
  <c r="W670" i="5"/>
  <c r="V670" i="5"/>
  <c r="O670" i="5"/>
  <c r="V669" i="5"/>
  <c r="W669" i="5" s="1"/>
  <c r="O669" i="5"/>
  <c r="W668" i="5"/>
  <c r="V668" i="5"/>
  <c r="O668" i="5"/>
  <c r="W667" i="5"/>
  <c r="V667" i="5"/>
  <c r="O667" i="5"/>
  <c r="V666" i="5"/>
  <c r="W666" i="5" s="1"/>
  <c r="O666" i="5"/>
  <c r="V665" i="5"/>
  <c r="W665" i="5" s="1"/>
  <c r="O665" i="5"/>
  <c r="W664" i="5"/>
  <c r="V664" i="5"/>
  <c r="O664" i="5"/>
  <c r="V663" i="5"/>
  <c r="W663" i="5" s="1"/>
  <c r="O663" i="5"/>
  <c r="W662" i="5"/>
  <c r="V662" i="5"/>
  <c r="O662" i="5"/>
  <c r="V661" i="5"/>
  <c r="W661" i="5" s="1"/>
  <c r="O661" i="5"/>
  <c r="V660" i="5"/>
  <c r="W660" i="5" s="1"/>
  <c r="O660" i="5"/>
  <c r="V659" i="5"/>
  <c r="W659" i="5" s="1"/>
  <c r="O659" i="5"/>
  <c r="W658" i="5"/>
  <c r="V658" i="5"/>
  <c r="O658" i="5"/>
  <c r="V657" i="5"/>
  <c r="W657" i="5" s="1"/>
  <c r="O657" i="5"/>
  <c r="V656" i="5"/>
  <c r="W656" i="5" s="1"/>
  <c r="O656" i="5"/>
  <c r="V655" i="5"/>
  <c r="W655" i="5" s="1"/>
  <c r="O655" i="5"/>
  <c r="V654" i="5"/>
  <c r="W654" i="5" s="1"/>
  <c r="O654" i="5"/>
  <c r="V653" i="5"/>
  <c r="W653" i="5" s="1"/>
  <c r="O653" i="5"/>
  <c r="W652" i="5"/>
  <c r="V652" i="5"/>
  <c r="O652" i="5"/>
  <c r="W651" i="5"/>
  <c r="V651" i="5"/>
  <c r="O651" i="5"/>
  <c r="W650" i="5"/>
  <c r="V650" i="5"/>
  <c r="O650" i="5"/>
  <c r="V649" i="5"/>
  <c r="W649" i="5" s="1"/>
  <c r="O649" i="5"/>
  <c r="W648" i="5"/>
  <c r="V648" i="5"/>
  <c r="O648" i="5"/>
  <c r="W647" i="5"/>
  <c r="V647" i="5"/>
  <c r="O647" i="5"/>
  <c r="V646" i="5"/>
  <c r="W646" i="5" s="1"/>
  <c r="O646" i="5"/>
  <c r="V645" i="5"/>
  <c r="W645" i="5" s="1"/>
  <c r="O645" i="5"/>
  <c r="W644" i="5"/>
  <c r="V644" i="5"/>
  <c r="O644" i="5"/>
  <c r="V643" i="5"/>
  <c r="W643" i="5" s="1"/>
  <c r="O643" i="5"/>
  <c r="W642" i="5"/>
  <c r="V642" i="5"/>
  <c r="O642" i="5"/>
  <c r="V641" i="5"/>
  <c r="W641" i="5" s="1"/>
  <c r="O641" i="5"/>
  <c r="V640" i="5"/>
  <c r="W640" i="5" s="1"/>
  <c r="O640" i="5"/>
  <c r="W639" i="5"/>
  <c r="V639" i="5"/>
  <c r="O639" i="5"/>
  <c r="W638" i="5"/>
  <c r="V638" i="5"/>
  <c r="O638" i="5"/>
  <c r="V637" i="5"/>
  <c r="W637" i="5" s="1"/>
  <c r="O637" i="5"/>
  <c r="W636" i="5"/>
  <c r="V636" i="5"/>
  <c r="O636" i="5"/>
  <c r="V635" i="5"/>
  <c r="W635" i="5" s="1"/>
  <c r="O635" i="5"/>
  <c r="W634" i="5"/>
  <c r="V634" i="5"/>
  <c r="O634" i="5"/>
  <c r="V633" i="5"/>
  <c r="W633" i="5" s="1"/>
  <c r="O633" i="5"/>
  <c r="W632" i="5"/>
  <c r="V632" i="5"/>
  <c r="O632" i="5"/>
  <c r="W631" i="5"/>
  <c r="V631" i="5"/>
  <c r="O631" i="5"/>
  <c r="W630" i="5"/>
  <c r="V630" i="5"/>
  <c r="O630" i="5"/>
  <c r="W629" i="5"/>
  <c r="V629" i="5"/>
  <c r="O629" i="5"/>
  <c r="W628" i="5"/>
  <c r="V628" i="5"/>
  <c r="O628" i="5"/>
  <c r="W627" i="5"/>
  <c r="V627" i="5"/>
  <c r="O627" i="5"/>
  <c r="V626" i="5"/>
  <c r="W626" i="5" s="1"/>
  <c r="O626" i="5"/>
  <c r="V625" i="5"/>
  <c r="W625" i="5" s="1"/>
  <c r="O625" i="5"/>
  <c r="W624" i="5"/>
  <c r="V624" i="5"/>
  <c r="O624" i="5"/>
  <c r="V623" i="5"/>
  <c r="W623" i="5" s="1"/>
  <c r="O623" i="5"/>
  <c r="W622" i="5"/>
  <c r="V622" i="5"/>
  <c r="O622" i="5"/>
  <c r="V621" i="5"/>
  <c r="W621" i="5" s="1"/>
  <c r="O621" i="5"/>
  <c r="V620" i="5"/>
  <c r="W620" i="5" s="1"/>
  <c r="O620" i="5"/>
  <c r="W619" i="5"/>
  <c r="V619" i="5"/>
  <c r="O619" i="5"/>
  <c r="W618" i="5"/>
  <c r="V618" i="5"/>
  <c r="O618" i="5"/>
  <c r="V617" i="5"/>
  <c r="W617" i="5" s="1"/>
  <c r="O617" i="5"/>
  <c r="V616" i="5"/>
  <c r="W616" i="5" s="1"/>
  <c r="O616" i="5"/>
  <c r="V615" i="5"/>
  <c r="W615" i="5" s="1"/>
  <c r="O615" i="5"/>
  <c r="V614" i="5"/>
  <c r="W614" i="5" s="1"/>
  <c r="O614" i="5"/>
  <c r="V613" i="5"/>
  <c r="W613" i="5" s="1"/>
  <c r="O613" i="5"/>
  <c r="W612" i="5"/>
  <c r="V612" i="5"/>
  <c r="O612" i="5"/>
  <c r="W611" i="5"/>
  <c r="V611" i="5"/>
  <c r="O611" i="5"/>
  <c r="W610" i="5"/>
  <c r="V610" i="5"/>
  <c r="O610" i="5"/>
  <c r="V609" i="5"/>
  <c r="W609" i="5" s="1"/>
  <c r="O609" i="5"/>
  <c r="W608" i="5"/>
  <c r="V608" i="5"/>
  <c r="O608" i="5"/>
  <c r="W607" i="5"/>
  <c r="V607" i="5"/>
  <c r="O607" i="5"/>
  <c r="W606" i="5"/>
  <c r="V606" i="5"/>
  <c r="O606" i="5"/>
  <c r="V605" i="5"/>
  <c r="W605" i="5" s="1"/>
  <c r="O605" i="5"/>
  <c r="W604" i="5"/>
  <c r="V604" i="5"/>
  <c r="O604" i="5"/>
  <c r="V603" i="5"/>
  <c r="W603" i="5" s="1"/>
  <c r="O603" i="5"/>
  <c r="W602" i="5"/>
  <c r="V602" i="5"/>
  <c r="O602" i="5"/>
  <c r="V601" i="5"/>
  <c r="W601" i="5" s="1"/>
  <c r="O601" i="5"/>
  <c r="W600" i="5"/>
  <c r="V600" i="5"/>
  <c r="O600" i="5"/>
  <c r="W599" i="5"/>
  <c r="V599" i="5"/>
  <c r="O599" i="5"/>
  <c r="W598" i="5"/>
  <c r="V598" i="5"/>
  <c r="O598" i="5"/>
  <c r="V597" i="5"/>
  <c r="W597" i="5" s="1"/>
  <c r="O597" i="5"/>
  <c r="V596" i="5"/>
  <c r="W596" i="5" s="1"/>
  <c r="O596" i="5"/>
  <c r="V595" i="5"/>
  <c r="W595" i="5" s="1"/>
  <c r="O595" i="5"/>
  <c r="V594" i="5"/>
  <c r="W594" i="5" s="1"/>
  <c r="O594" i="5"/>
  <c r="W593" i="5"/>
  <c r="V593" i="5"/>
  <c r="O593" i="5"/>
  <c r="W592" i="5"/>
  <c r="V592" i="5"/>
  <c r="O592" i="5"/>
  <c r="W591" i="5"/>
  <c r="V591" i="5"/>
  <c r="O591" i="5"/>
  <c r="W590" i="5"/>
  <c r="V590" i="5"/>
  <c r="O590" i="5"/>
  <c r="V589" i="5"/>
  <c r="W589" i="5" s="1"/>
  <c r="O589" i="5"/>
  <c r="W588" i="5"/>
  <c r="V588" i="5"/>
  <c r="O588" i="5"/>
  <c r="W587" i="5"/>
  <c r="V587" i="5"/>
  <c r="O587" i="5"/>
  <c r="V586" i="5"/>
  <c r="W586" i="5" s="1"/>
  <c r="O586" i="5"/>
  <c r="V585" i="5"/>
  <c r="W585" i="5" s="1"/>
  <c r="O585" i="5"/>
  <c r="W584" i="5"/>
  <c r="V584" i="5"/>
  <c r="O584" i="5"/>
  <c r="V583" i="5"/>
  <c r="W583" i="5" s="1"/>
  <c r="O583" i="5"/>
  <c r="W582" i="5"/>
  <c r="V582" i="5"/>
  <c r="O582" i="5"/>
  <c r="V581" i="5"/>
  <c r="W581" i="5" s="1"/>
  <c r="O581" i="5"/>
  <c r="V580" i="5"/>
  <c r="W580" i="5" s="1"/>
  <c r="O580" i="5"/>
  <c r="W579" i="5"/>
  <c r="V579" i="5"/>
  <c r="O579" i="5"/>
  <c r="W578" i="5"/>
  <c r="V578" i="5"/>
  <c r="O578" i="5"/>
  <c r="W577" i="5"/>
  <c r="V577" i="5"/>
  <c r="O577" i="5"/>
  <c r="V576" i="5"/>
  <c r="W576" i="5" s="1"/>
  <c r="O576" i="5"/>
  <c r="V575" i="5"/>
  <c r="W575" i="5" s="1"/>
  <c r="O575" i="5"/>
  <c r="V574" i="5"/>
  <c r="W574" i="5" s="1"/>
  <c r="O574" i="5"/>
  <c r="V573" i="5"/>
  <c r="W573" i="5" s="1"/>
  <c r="O573" i="5"/>
  <c r="W572" i="5"/>
  <c r="V572" i="5"/>
  <c r="O572" i="5"/>
  <c r="W571" i="5"/>
  <c r="V571" i="5"/>
  <c r="O571" i="5"/>
  <c r="W570" i="5"/>
  <c r="V570" i="5"/>
  <c r="O570" i="5"/>
  <c r="V569" i="5"/>
  <c r="W569" i="5" s="1"/>
  <c r="O569" i="5"/>
  <c r="W568" i="5"/>
  <c r="V568" i="5"/>
  <c r="O568" i="5"/>
  <c r="W567" i="5"/>
  <c r="V567" i="5"/>
  <c r="O567" i="5"/>
  <c r="V566" i="5"/>
  <c r="W566" i="5" s="1"/>
  <c r="O566" i="5"/>
  <c r="V565" i="5"/>
  <c r="W565" i="5" s="1"/>
  <c r="O565" i="5"/>
  <c r="W564" i="5"/>
  <c r="V564" i="5"/>
  <c r="O564" i="5"/>
  <c r="V563" i="5"/>
  <c r="W563" i="5" s="1"/>
  <c r="O563" i="5"/>
  <c r="W562" i="5"/>
  <c r="V562" i="5"/>
  <c r="O562" i="5"/>
  <c r="V561" i="5"/>
  <c r="W561" i="5" s="1"/>
  <c r="O561" i="5"/>
  <c r="V560" i="5"/>
  <c r="W560" i="5" s="1"/>
  <c r="O560" i="5"/>
  <c r="V559" i="5"/>
  <c r="W559" i="5" s="1"/>
  <c r="O559" i="5"/>
  <c r="W558" i="5"/>
  <c r="V558" i="5"/>
  <c r="O558" i="5"/>
  <c r="V557" i="5"/>
  <c r="W557" i="5" s="1"/>
  <c r="O557" i="5"/>
  <c r="V556" i="5"/>
  <c r="W556" i="5" s="1"/>
  <c r="O556" i="5"/>
  <c r="V555" i="5"/>
  <c r="W555" i="5" s="1"/>
  <c r="O555" i="5"/>
  <c r="V554" i="5"/>
  <c r="W554" i="5" s="1"/>
  <c r="O554" i="5"/>
  <c r="V553" i="5"/>
  <c r="W553" i="5" s="1"/>
  <c r="O553" i="5"/>
  <c r="W552" i="5"/>
  <c r="V552" i="5"/>
  <c r="O552" i="5"/>
  <c r="W551" i="5"/>
  <c r="V551" i="5"/>
  <c r="O551" i="5"/>
  <c r="W550" i="5"/>
  <c r="V550" i="5"/>
  <c r="O550" i="5"/>
  <c r="V549" i="5"/>
  <c r="W549" i="5" s="1"/>
  <c r="O549" i="5"/>
  <c r="W548" i="5"/>
  <c r="V548" i="5"/>
  <c r="O548" i="5"/>
  <c r="W547" i="5"/>
  <c r="V547" i="5"/>
  <c r="O547" i="5"/>
  <c r="V546" i="5"/>
  <c r="W546" i="5" s="1"/>
  <c r="O546" i="5"/>
  <c r="V545" i="5"/>
  <c r="W545" i="5" s="1"/>
  <c r="O545" i="5"/>
  <c r="W544" i="5"/>
  <c r="V544" i="5"/>
  <c r="O544" i="5"/>
  <c r="V543" i="5"/>
  <c r="W543" i="5" s="1"/>
  <c r="O543" i="5"/>
  <c r="W542" i="5"/>
  <c r="V542" i="5"/>
  <c r="O542" i="5"/>
  <c r="W541" i="5"/>
  <c r="V541" i="5"/>
  <c r="O541" i="5"/>
  <c r="V540" i="5"/>
  <c r="W540" i="5" s="1"/>
  <c r="O540" i="5"/>
  <c r="V539" i="5"/>
  <c r="W539" i="5" s="1"/>
  <c r="O539" i="5"/>
  <c r="V538" i="5"/>
  <c r="W538" i="5" s="1"/>
  <c r="O538" i="5"/>
  <c r="W537" i="5"/>
  <c r="V537" i="5"/>
  <c r="O537" i="5"/>
  <c r="V536" i="5"/>
  <c r="W536" i="5" s="1"/>
  <c r="O536" i="5"/>
  <c r="V535" i="5"/>
  <c r="W535" i="5" s="1"/>
  <c r="O535" i="5"/>
  <c r="W534" i="5"/>
  <c r="V534" i="5"/>
  <c r="O534" i="5"/>
  <c r="V533" i="5"/>
  <c r="W533" i="5" s="1"/>
  <c r="O533" i="5"/>
  <c r="W532" i="5"/>
  <c r="V532" i="5"/>
  <c r="O532" i="5"/>
  <c r="V531" i="5"/>
  <c r="W531" i="5" s="1"/>
  <c r="O531" i="5"/>
  <c r="W530" i="5"/>
  <c r="V530" i="5"/>
  <c r="O530" i="5"/>
  <c r="V529" i="5"/>
  <c r="W529" i="5" s="1"/>
  <c r="O529" i="5"/>
  <c r="V528" i="5"/>
  <c r="W528" i="5" s="1"/>
  <c r="O528" i="5"/>
  <c r="W527" i="5"/>
  <c r="V527" i="5"/>
  <c r="O527" i="5"/>
  <c r="W526" i="5"/>
  <c r="V526" i="5"/>
  <c r="O526" i="5"/>
  <c r="V525" i="5"/>
  <c r="W525" i="5" s="1"/>
  <c r="O525" i="5"/>
  <c r="V524" i="5"/>
  <c r="W524" i="5" s="1"/>
  <c r="O524" i="5"/>
  <c r="V523" i="5"/>
  <c r="W523" i="5" s="1"/>
  <c r="O523" i="5"/>
  <c r="W522" i="5"/>
  <c r="V522" i="5"/>
  <c r="O522" i="5"/>
  <c r="W521" i="5"/>
  <c r="V521" i="5"/>
  <c r="O521" i="5"/>
  <c r="W520" i="5"/>
  <c r="V520" i="5"/>
  <c r="O520" i="5"/>
  <c r="V519" i="5"/>
  <c r="W519" i="5" s="1"/>
  <c r="O519" i="5"/>
  <c r="V518" i="5"/>
  <c r="W518" i="5" s="1"/>
  <c r="O518" i="5"/>
  <c r="V517" i="5"/>
  <c r="W517" i="5" s="1"/>
  <c r="O517" i="5"/>
  <c r="W516" i="5"/>
  <c r="V516" i="5"/>
  <c r="O516" i="5"/>
  <c r="V515" i="5"/>
  <c r="W515" i="5" s="1"/>
  <c r="O515" i="5"/>
  <c r="W514" i="5"/>
  <c r="V514" i="5"/>
  <c r="O514" i="5"/>
  <c r="W513" i="5"/>
  <c r="V513" i="5"/>
  <c r="O513" i="5"/>
  <c r="W512" i="5"/>
  <c r="V512" i="5"/>
  <c r="O512" i="5"/>
  <c r="V511" i="5"/>
  <c r="W511" i="5" s="1"/>
  <c r="O511" i="5"/>
  <c r="W510" i="5"/>
  <c r="V510" i="5"/>
  <c r="O510" i="5"/>
  <c r="W509" i="5"/>
  <c r="V509" i="5"/>
  <c r="O509" i="5"/>
  <c r="V508" i="5"/>
  <c r="W508" i="5" s="1"/>
  <c r="O508" i="5"/>
  <c r="V507" i="5"/>
  <c r="W507" i="5" s="1"/>
  <c r="O507" i="5"/>
  <c r="W506" i="5"/>
  <c r="V506" i="5"/>
  <c r="O506" i="5"/>
  <c r="V505" i="5"/>
  <c r="W505" i="5" s="1"/>
  <c r="O505" i="5"/>
  <c r="V504" i="5"/>
  <c r="W504" i="5" s="1"/>
  <c r="O504" i="5"/>
  <c r="V503" i="5"/>
  <c r="W503" i="5" s="1"/>
  <c r="O503" i="5"/>
  <c r="W502" i="5"/>
  <c r="V502" i="5"/>
  <c r="O502" i="5"/>
  <c r="W501" i="5"/>
  <c r="V501" i="5"/>
  <c r="O501" i="5"/>
  <c r="W500" i="5"/>
  <c r="V500" i="5"/>
  <c r="O500" i="5"/>
  <c r="W499" i="5"/>
  <c r="V499" i="5"/>
  <c r="O499" i="5"/>
  <c r="V498" i="5"/>
  <c r="W498" i="5" s="1"/>
  <c r="O498" i="5"/>
  <c r="V497" i="5"/>
  <c r="W497" i="5" s="1"/>
  <c r="O497" i="5"/>
  <c r="V496" i="5"/>
  <c r="W496" i="5" s="1"/>
  <c r="O496" i="5"/>
  <c r="V495" i="5"/>
  <c r="W495" i="5" s="1"/>
  <c r="O495" i="5"/>
  <c r="W494" i="5"/>
  <c r="V494" i="5"/>
  <c r="O494" i="5"/>
  <c r="W493" i="5"/>
  <c r="V493" i="5"/>
  <c r="O493" i="5"/>
  <c r="W492" i="5"/>
  <c r="V492" i="5"/>
  <c r="O492" i="5"/>
  <c r="V491" i="5"/>
  <c r="W491" i="5" s="1"/>
  <c r="O491" i="5"/>
  <c r="W490" i="5"/>
  <c r="V490" i="5"/>
  <c r="O490" i="5"/>
  <c r="V489" i="5"/>
  <c r="W489" i="5" s="1"/>
  <c r="O489" i="5"/>
  <c r="W488" i="5"/>
  <c r="V488" i="5"/>
  <c r="O488" i="5"/>
  <c r="V487" i="5"/>
  <c r="W487" i="5" s="1"/>
  <c r="O487" i="5"/>
  <c r="V486" i="5"/>
  <c r="W486" i="5" s="1"/>
  <c r="O486" i="5"/>
  <c r="V485" i="5"/>
  <c r="W485" i="5" s="1"/>
  <c r="O485" i="5"/>
  <c r="V484" i="5"/>
  <c r="W484" i="5" s="1"/>
  <c r="O484" i="5"/>
  <c r="V483" i="5"/>
  <c r="W483" i="5" s="1"/>
  <c r="O483" i="5"/>
  <c r="W482" i="5"/>
  <c r="V482" i="5"/>
  <c r="O482" i="5"/>
  <c r="V481" i="5"/>
  <c r="W481" i="5" s="1"/>
  <c r="O481" i="5"/>
  <c r="W480" i="5"/>
  <c r="V480" i="5"/>
  <c r="O480" i="5"/>
  <c r="W479" i="5"/>
  <c r="V479" i="5"/>
  <c r="O479" i="5"/>
  <c r="W478" i="5"/>
  <c r="V478" i="5"/>
  <c r="O478" i="5"/>
  <c r="V477" i="5"/>
  <c r="W477" i="5" s="1"/>
  <c r="O477" i="5"/>
  <c r="V476" i="5"/>
  <c r="W476" i="5" s="1"/>
  <c r="O476" i="5"/>
  <c r="V475" i="5"/>
  <c r="W475" i="5" s="1"/>
  <c r="O475" i="5"/>
  <c r="V474" i="5"/>
  <c r="W474" i="5" s="1"/>
  <c r="O474" i="5"/>
  <c r="W473" i="5"/>
  <c r="V473" i="5"/>
  <c r="O473" i="5"/>
  <c r="W472" i="5"/>
  <c r="V472" i="5"/>
  <c r="O472" i="5"/>
  <c r="W471" i="5"/>
  <c r="V471" i="5"/>
  <c r="O471" i="5"/>
  <c r="W470" i="5"/>
  <c r="V470" i="5"/>
  <c r="O470" i="5"/>
  <c r="V469" i="5"/>
  <c r="W469" i="5" s="1"/>
  <c r="O469" i="5"/>
  <c r="V468" i="5"/>
  <c r="W468" i="5" s="1"/>
  <c r="O468" i="5"/>
  <c r="W467" i="5"/>
  <c r="V467" i="5"/>
  <c r="O467" i="5"/>
  <c r="V466" i="5"/>
  <c r="W466" i="5" s="1"/>
  <c r="O466" i="5"/>
  <c r="V465" i="5"/>
  <c r="W465" i="5" s="1"/>
  <c r="O465" i="5"/>
  <c r="W464" i="5"/>
  <c r="V464" i="5"/>
  <c r="O464" i="5"/>
  <c r="V463" i="5"/>
  <c r="W463" i="5" s="1"/>
  <c r="O463" i="5"/>
  <c r="W462" i="5"/>
  <c r="V462" i="5"/>
  <c r="O462" i="5"/>
  <c r="W461" i="5"/>
  <c r="V461" i="5"/>
  <c r="O461" i="5"/>
  <c r="V460" i="5"/>
  <c r="W460" i="5" s="1"/>
  <c r="O460" i="5"/>
  <c r="W459" i="5"/>
  <c r="V459" i="5"/>
  <c r="O459" i="5"/>
  <c r="W458" i="5"/>
  <c r="V458" i="5"/>
  <c r="O458" i="5"/>
  <c r="W457" i="5"/>
  <c r="V457" i="5"/>
  <c r="O457" i="5"/>
  <c r="V456" i="5"/>
  <c r="W456" i="5" s="1"/>
  <c r="O456" i="5"/>
  <c r="V455" i="5"/>
  <c r="W455" i="5" s="1"/>
  <c r="O455" i="5"/>
  <c r="V454" i="5"/>
  <c r="W454" i="5" s="1"/>
  <c r="O454" i="5"/>
  <c r="W453" i="5"/>
  <c r="V453" i="5"/>
  <c r="O453" i="5"/>
  <c r="W452" i="5"/>
  <c r="V452" i="5"/>
  <c r="O452" i="5"/>
  <c r="V451" i="5"/>
  <c r="W451" i="5" s="1"/>
  <c r="O451" i="5"/>
  <c r="W450" i="5"/>
  <c r="V450" i="5"/>
  <c r="O450" i="5"/>
  <c r="W449" i="5"/>
  <c r="V449" i="5"/>
  <c r="O449" i="5"/>
  <c r="V448" i="5"/>
  <c r="W448" i="5" s="1"/>
  <c r="O448" i="5"/>
  <c r="V447" i="5"/>
  <c r="W447" i="5" s="1"/>
  <c r="O447" i="5"/>
  <c r="W446" i="5"/>
  <c r="V446" i="5"/>
  <c r="O446" i="5"/>
  <c r="V445" i="5"/>
  <c r="W445" i="5" s="1"/>
  <c r="O445" i="5"/>
  <c r="V444" i="5"/>
  <c r="W444" i="5" s="1"/>
  <c r="O444" i="5"/>
  <c r="V443" i="5"/>
  <c r="W443" i="5" s="1"/>
  <c r="O443" i="5"/>
  <c r="V442" i="5"/>
  <c r="W442" i="5" s="1"/>
  <c r="O442" i="5"/>
  <c r="V441" i="5"/>
  <c r="W441" i="5" s="1"/>
  <c r="O441" i="5"/>
  <c r="V440" i="5"/>
  <c r="W440" i="5" s="1"/>
  <c r="O440" i="5"/>
  <c r="W439" i="5"/>
  <c r="V439" i="5"/>
  <c r="O439" i="5"/>
  <c r="V438" i="5"/>
  <c r="W438" i="5" s="1"/>
  <c r="O438" i="5"/>
  <c r="V437" i="5"/>
  <c r="W437" i="5" s="1"/>
  <c r="O437" i="5"/>
  <c r="W436" i="5"/>
  <c r="V436" i="5"/>
  <c r="O436" i="5"/>
  <c r="W435" i="5"/>
  <c r="V435" i="5"/>
  <c r="O435" i="5"/>
  <c r="V434" i="5"/>
  <c r="W434" i="5" s="1"/>
  <c r="O434" i="5"/>
  <c r="V433" i="5"/>
  <c r="W433" i="5" s="1"/>
  <c r="O433" i="5"/>
  <c r="W432" i="5"/>
  <c r="V432" i="5"/>
  <c r="O432" i="5"/>
  <c r="W431" i="5"/>
  <c r="V431" i="5"/>
  <c r="O431" i="5"/>
  <c r="W430" i="5"/>
  <c r="V430" i="5"/>
  <c r="O430" i="5"/>
  <c r="V429" i="5"/>
  <c r="W429" i="5" s="1"/>
  <c r="O429" i="5"/>
  <c r="W428" i="5"/>
  <c r="V428" i="5"/>
  <c r="O428" i="5"/>
  <c r="W427" i="5"/>
  <c r="V427" i="5"/>
  <c r="O427" i="5"/>
  <c r="V426" i="5"/>
  <c r="W426" i="5" s="1"/>
  <c r="O426" i="5"/>
  <c r="V425" i="5"/>
  <c r="W425" i="5" s="1"/>
  <c r="O425" i="5"/>
  <c r="W424" i="5"/>
  <c r="V424" i="5"/>
  <c r="O424" i="5"/>
  <c r="V423" i="5"/>
  <c r="W423" i="5" s="1"/>
  <c r="O423" i="5"/>
  <c r="W422" i="5"/>
  <c r="V422" i="5"/>
  <c r="O422" i="5"/>
  <c r="W421" i="5"/>
  <c r="V421" i="5"/>
  <c r="O421" i="5"/>
  <c r="V420" i="5"/>
  <c r="W420" i="5" s="1"/>
  <c r="O420" i="5"/>
  <c r="V419" i="5"/>
  <c r="W419" i="5" s="1"/>
  <c r="O419" i="5"/>
  <c r="W418" i="5"/>
  <c r="V418" i="5"/>
  <c r="O418" i="5"/>
  <c r="W417" i="5"/>
  <c r="V417" i="5"/>
  <c r="O417" i="5"/>
  <c r="W416" i="5"/>
  <c r="V416" i="5"/>
  <c r="O416" i="5"/>
  <c r="V415" i="5"/>
  <c r="W415" i="5" s="1"/>
  <c r="O415" i="5"/>
  <c r="W414" i="5"/>
  <c r="V414" i="5"/>
  <c r="O414" i="5"/>
  <c r="W413" i="5"/>
  <c r="V413" i="5"/>
  <c r="O413" i="5"/>
  <c r="W412" i="5"/>
  <c r="V412" i="5"/>
  <c r="O412" i="5"/>
  <c r="W411" i="5"/>
  <c r="V411" i="5"/>
  <c r="O411" i="5"/>
  <c r="W410" i="5"/>
  <c r="V410" i="5"/>
  <c r="O410" i="5"/>
  <c r="W409" i="5"/>
  <c r="V409" i="5"/>
  <c r="O409" i="5"/>
  <c r="V408" i="5"/>
  <c r="W408" i="5" s="1"/>
  <c r="O408" i="5"/>
  <c r="V407" i="5"/>
  <c r="W407" i="5" s="1"/>
  <c r="O407" i="5"/>
  <c r="V406" i="5"/>
  <c r="W406" i="5" s="1"/>
  <c r="O406" i="5"/>
  <c r="V405" i="5"/>
  <c r="W405" i="5" s="1"/>
  <c r="O405" i="5"/>
  <c r="W404" i="5"/>
  <c r="V404" i="5"/>
  <c r="O404" i="5"/>
  <c r="V403" i="5"/>
  <c r="W403" i="5" s="1"/>
  <c r="O403" i="5"/>
  <c r="W402" i="5"/>
  <c r="V402" i="5"/>
  <c r="O402" i="5"/>
  <c r="V401" i="5"/>
  <c r="W401" i="5" s="1"/>
  <c r="O401" i="5"/>
  <c r="W400" i="5"/>
  <c r="V400" i="5"/>
  <c r="O400" i="5"/>
  <c r="W399" i="5"/>
  <c r="V399" i="5"/>
  <c r="O399" i="5"/>
  <c r="W398" i="5"/>
  <c r="V398" i="5"/>
  <c r="O398" i="5"/>
  <c r="W397" i="5"/>
  <c r="V397" i="5"/>
  <c r="O397" i="5"/>
  <c r="W396" i="5"/>
  <c r="V396" i="5"/>
  <c r="O396" i="5"/>
  <c r="W395" i="5"/>
  <c r="V395" i="5"/>
  <c r="O395" i="5"/>
  <c r="V394" i="5"/>
  <c r="W394" i="5" s="1"/>
  <c r="O394" i="5"/>
  <c r="V393" i="5"/>
  <c r="W393" i="5" s="1"/>
  <c r="O393" i="5"/>
  <c r="W392" i="5"/>
  <c r="V392" i="5"/>
  <c r="O392" i="5"/>
  <c r="W391" i="5"/>
  <c r="V391" i="5"/>
  <c r="O391" i="5"/>
  <c r="W390" i="5"/>
  <c r="V390" i="5"/>
  <c r="O390" i="5"/>
  <c r="V389" i="5"/>
  <c r="W389" i="5" s="1"/>
  <c r="O389" i="5"/>
  <c r="W388" i="5"/>
  <c r="V388" i="5"/>
  <c r="O388" i="5"/>
  <c r="V387" i="5"/>
  <c r="W387" i="5" s="1"/>
  <c r="O387" i="5"/>
  <c r="V386" i="5"/>
  <c r="W386" i="5" s="1"/>
  <c r="O386" i="5"/>
  <c r="V385" i="5"/>
  <c r="W385" i="5" s="1"/>
  <c r="O385" i="5"/>
  <c r="W384" i="5"/>
  <c r="V384" i="5"/>
  <c r="O384" i="5"/>
  <c r="V383" i="5"/>
  <c r="W383" i="5" s="1"/>
  <c r="O383" i="5"/>
  <c r="W382" i="5"/>
  <c r="V382" i="5"/>
  <c r="O382" i="5"/>
  <c r="W381" i="5"/>
  <c r="V381" i="5"/>
  <c r="O381" i="5"/>
  <c r="V380" i="5"/>
  <c r="W380" i="5" s="1"/>
  <c r="O380" i="5"/>
  <c r="V379" i="5"/>
  <c r="W379" i="5" s="1"/>
  <c r="O379" i="5"/>
  <c r="V378" i="5"/>
  <c r="W378" i="5" s="1"/>
  <c r="O378" i="5"/>
  <c r="W377" i="5"/>
  <c r="V377" i="5"/>
  <c r="O377" i="5"/>
  <c r="V376" i="5"/>
  <c r="W376" i="5" s="1"/>
  <c r="O376" i="5"/>
  <c r="V375" i="5"/>
  <c r="W375" i="5" s="1"/>
  <c r="O375" i="5"/>
  <c r="W374" i="5"/>
  <c r="V374" i="5"/>
  <c r="O374" i="5"/>
  <c r="V373" i="5"/>
  <c r="W373" i="5" s="1"/>
  <c r="O373" i="5"/>
  <c r="W372" i="5"/>
  <c r="V372" i="5"/>
  <c r="O372" i="5"/>
  <c r="V371" i="5"/>
  <c r="W371" i="5" s="1"/>
  <c r="O371" i="5"/>
  <c r="W370" i="5"/>
  <c r="V370" i="5"/>
  <c r="O370" i="5"/>
  <c r="W369" i="5"/>
  <c r="V369" i="5"/>
  <c r="O369" i="5"/>
  <c r="W368" i="5"/>
  <c r="V368" i="5"/>
  <c r="O368" i="5"/>
  <c r="V367" i="5"/>
  <c r="W367" i="5" s="1"/>
  <c r="O367" i="5"/>
  <c r="W366" i="5"/>
  <c r="V366" i="5"/>
  <c r="O366" i="5"/>
  <c r="V365" i="5"/>
  <c r="W365" i="5" s="1"/>
  <c r="O365" i="5"/>
  <c r="V364" i="5"/>
  <c r="W364" i="5" s="1"/>
  <c r="O364" i="5"/>
  <c r="V363" i="5"/>
  <c r="W363" i="5" s="1"/>
  <c r="O363" i="5"/>
  <c r="V362" i="5"/>
  <c r="W362" i="5" s="1"/>
  <c r="O362" i="5"/>
  <c r="V361" i="5"/>
  <c r="W361" i="5" s="1"/>
  <c r="O361" i="5"/>
  <c r="W360" i="5"/>
  <c r="V360" i="5"/>
  <c r="O360" i="5"/>
  <c r="V359" i="5"/>
  <c r="W359" i="5" s="1"/>
  <c r="O359" i="5"/>
  <c r="V358" i="5"/>
  <c r="W358" i="5" s="1"/>
  <c r="O358" i="5"/>
  <c r="V357" i="5"/>
  <c r="W357" i="5" s="1"/>
  <c r="O357" i="5"/>
  <c r="W356" i="5"/>
  <c r="V356" i="5"/>
  <c r="O356" i="5"/>
  <c r="W355" i="5"/>
  <c r="V355" i="5"/>
  <c r="O355" i="5"/>
  <c r="W354" i="5"/>
  <c r="V354" i="5"/>
  <c r="O354" i="5"/>
  <c r="V353" i="5"/>
  <c r="W353" i="5" s="1"/>
  <c r="O353" i="5"/>
  <c r="W352" i="5"/>
  <c r="V352" i="5"/>
  <c r="O352" i="5"/>
  <c r="W351" i="5"/>
  <c r="V351" i="5"/>
  <c r="O351" i="5"/>
  <c r="W350" i="5"/>
  <c r="V350" i="5"/>
  <c r="O350" i="5"/>
  <c r="W349" i="5"/>
  <c r="V349" i="5"/>
  <c r="O349" i="5"/>
  <c r="W348" i="5"/>
  <c r="V348" i="5"/>
  <c r="O348" i="5"/>
  <c r="W347" i="5"/>
  <c r="V347" i="5"/>
  <c r="O347" i="5"/>
  <c r="V346" i="5"/>
  <c r="W346" i="5" s="1"/>
  <c r="O346" i="5"/>
  <c r="V345" i="5"/>
  <c r="W345" i="5" s="1"/>
  <c r="O345" i="5"/>
  <c r="W344" i="5"/>
  <c r="V344" i="5"/>
  <c r="O344" i="5"/>
  <c r="V343" i="5"/>
  <c r="W343" i="5" s="1"/>
  <c r="O343" i="5"/>
  <c r="W342" i="5"/>
  <c r="V342" i="5"/>
  <c r="O342" i="5"/>
  <c r="W341" i="5"/>
  <c r="V341" i="5"/>
  <c r="O341" i="5"/>
  <c r="W340" i="5"/>
  <c r="V340" i="5"/>
  <c r="O340" i="5"/>
  <c r="V339" i="5"/>
  <c r="W339" i="5" s="1"/>
  <c r="O339" i="5"/>
  <c r="W338" i="5"/>
  <c r="V338" i="5"/>
  <c r="O338" i="5"/>
  <c r="W337" i="5"/>
  <c r="V337" i="5"/>
  <c r="O337" i="5"/>
  <c r="W336" i="5"/>
  <c r="V336" i="5"/>
  <c r="O336" i="5"/>
  <c r="W335" i="5"/>
  <c r="V335" i="5"/>
  <c r="O335" i="5"/>
  <c r="W334" i="5"/>
  <c r="V334" i="5"/>
  <c r="O334" i="5"/>
  <c r="W333" i="5"/>
  <c r="V333" i="5"/>
  <c r="O333" i="5"/>
  <c r="W332" i="5"/>
  <c r="V332" i="5"/>
  <c r="O332" i="5"/>
  <c r="V331" i="5"/>
  <c r="W331" i="5" s="1"/>
  <c r="O331" i="5"/>
  <c r="W330" i="5"/>
  <c r="V330" i="5"/>
  <c r="O330" i="5"/>
  <c r="W329" i="5"/>
  <c r="V329" i="5"/>
  <c r="O329" i="5"/>
  <c r="V328" i="5"/>
  <c r="W328" i="5" s="1"/>
  <c r="O328" i="5"/>
  <c r="V327" i="5"/>
  <c r="W327" i="5" s="1"/>
  <c r="O327" i="5"/>
  <c r="W326" i="5"/>
  <c r="V326" i="5"/>
  <c r="O326" i="5"/>
  <c r="V325" i="5"/>
  <c r="W325" i="5" s="1"/>
  <c r="O325" i="5"/>
  <c r="V324" i="5"/>
  <c r="W324" i="5" s="1"/>
  <c r="O324" i="5"/>
  <c r="V323" i="5"/>
  <c r="W323" i="5" s="1"/>
  <c r="O323" i="5"/>
  <c r="W322" i="5"/>
  <c r="V322" i="5"/>
  <c r="O322" i="5"/>
  <c r="W321" i="5"/>
  <c r="V321" i="5"/>
  <c r="O321" i="5"/>
  <c r="W320" i="5"/>
  <c r="V320" i="5"/>
  <c r="O320" i="5"/>
  <c r="W319" i="5"/>
  <c r="V319" i="5"/>
  <c r="O319" i="5"/>
  <c r="V318" i="5"/>
  <c r="W318" i="5" s="1"/>
  <c r="O318" i="5"/>
  <c r="V317" i="5"/>
  <c r="W317" i="5" s="1"/>
  <c r="O317" i="5"/>
  <c r="V316" i="5"/>
  <c r="W316" i="5" s="1"/>
  <c r="O316" i="5"/>
  <c r="W315" i="5"/>
  <c r="V315" i="5"/>
  <c r="O315" i="5"/>
  <c r="V314" i="5"/>
  <c r="W314" i="5" s="1"/>
  <c r="O314" i="5"/>
  <c r="V313" i="5"/>
  <c r="W313" i="5" s="1"/>
  <c r="O313" i="5"/>
  <c r="W312" i="5"/>
  <c r="V312" i="5"/>
  <c r="O312" i="5"/>
  <c r="V311" i="5"/>
  <c r="W311" i="5" s="1"/>
  <c r="O311" i="5"/>
  <c r="W310" i="5"/>
  <c r="V310" i="5"/>
  <c r="O310" i="5"/>
  <c r="V309" i="5"/>
  <c r="W309" i="5" s="1"/>
  <c r="O309" i="5"/>
  <c r="W308" i="5"/>
  <c r="V308" i="5"/>
  <c r="O308" i="5"/>
  <c r="W307" i="5"/>
  <c r="V307" i="5"/>
  <c r="O307" i="5"/>
  <c r="W306" i="5"/>
  <c r="V306" i="5"/>
  <c r="O306" i="5"/>
  <c r="V305" i="5"/>
  <c r="W305" i="5" s="1"/>
  <c r="O305" i="5"/>
  <c r="V304" i="5"/>
  <c r="W304" i="5" s="1"/>
  <c r="O304" i="5"/>
  <c r="V303" i="5"/>
  <c r="W303" i="5" s="1"/>
  <c r="O303" i="5"/>
  <c r="V302" i="5"/>
  <c r="W302" i="5" s="1"/>
  <c r="S302" i="5"/>
  <c r="R302" i="5"/>
  <c r="Q302" i="5"/>
  <c r="P302" i="5"/>
  <c r="O302" i="5"/>
  <c r="L302" i="5"/>
  <c r="K302" i="5"/>
  <c r="J302" i="5"/>
  <c r="I302" i="5"/>
  <c r="H302" i="5"/>
  <c r="G302" i="5"/>
  <c r="F302" i="5"/>
  <c r="V301" i="5"/>
  <c r="W301" i="5" s="1"/>
  <c r="S301" i="5"/>
  <c r="R301" i="5"/>
  <c r="Q301" i="5"/>
  <c r="P301" i="5"/>
  <c r="O301" i="5"/>
  <c r="L301" i="5"/>
  <c r="K301" i="5"/>
  <c r="J301" i="5"/>
  <c r="I301" i="5"/>
  <c r="H301" i="5"/>
  <c r="G301" i="5"/>
  <c r="F301" i="5"/>
  <c r="W300" i="5"/>
  <c r="V300" i="5"/>
  <c r="S300" i="5"/>
  <c r="R300" i="5"/>
  <c r="Q300" i="5"/>
  <c r="P300" i="5"/>
  <c r="O300" i="5"/>
  <c r="L300" i="5"/>
  <c r="K300" i="5"/>
  <c r="J300" i="5"/>
  <c r="I300" i="5"/>
  <c r="H300" i="5"/>
  <c r="G300" i="5"/>
  <c r="F300" i="5"/>
  <c r="W299" i="5"/>
  <c r="V299" i="5"/>
  <c r="S299" i="5"/>
  <c r="R299" i="5"/>
  <c r="Q299" i="5"/>
  <c r="P299" i="5"/>
  <c r="O299" i="5"/>
  <c r="L299" i="5"/>
  <c r="K299" i="5"/>
  <c r="J299" i="5"/>
  <c r="I299" i="5"/>
  <c r="H299" i="5"/>
  <c r="G299" i="5"/>
  <c r="F299" i="5"/>
  <c r="W298" i="5"/>
  <c r="V298" i="5"/>
  <c r="S298" i="5"/>
  <c r="R298" i="5"/>
  <c r="Q298" i="5"/>
  <c r="P298" i="5"/>
  <c r="O298" i="5"/>
  <c r="L298" i="5"/>
  <c r="K298" i="5"/>
  <c r="J298" i="5"/>
  <c r="I298" i="5"/>
  <c r="H298" i="5"/>
  <c r="G298" i="5"/>
  <c r="F298" i="5"/>
  <c r="W297" i="5"/>
  <c r="V297" i="5"/>
  <c r="S297" i="5"/>
  <c r="R297" i="5"/>
  <c r="Q297" i="5"/>
  <c r="P297" i="5"/>
  <c r="O297" i="5"/>
  <c r="L297" i="5"/>
  <c r="K297" i="5"/>
  <c r="J297" i="5"/>
  <c r="I297" i="5"/>
  <c r="H297" i="5"/>
  <c r="G297" i="5"/>
  <c r="F297" i="5"/>
  <c r="W296" i="5"/>
  <c r="V296" i="5"/>
  <c r="S296" i="5"/>
  <c r="R296" i="5"/>
  <c r="Q296" i="5"/>
  <c r="P296" i="5"/>
  <c r="O296" i="5"/>
  <c r="L296" i="5"/>
  <c r="K296" i="5"/>
  <c r="J296" i="5"/>
  <c r="I296" i="5"/>
  <c r="H296" i="5"/>
  <c r="G296" i="5"/>
  <c r="F296" i="5"/>
  <c r="V295" i="5"/>
  <c r="W295" i="5" s="1"/>
  <c r="S295" i="5"/>
  <c r="R295" i="5"/>
  <c r="Q295" i="5"/>
  <c r="P295" i="5"/>
  <c r="O295" i="5"/>
  <c r="L295" i="5"/>
  <c r="K295" i="5"/>
  <c r="J295" i="5"/>
  <c r="I295" i="5"/>
  <c r="H295" i="5"/>
  <c r="G295" i="5"/>
  <c r="F295" i="5"/>
  <c r="W294" i="5"/>
  <c r="V294" i="5"/>
  <c r="S294" i="5"/>
  <c r="R294" i="5"/>
  <c r="Q294" i="5"/>
  <c r="P294" i="5"/>
  <c r="O294" i="5"/>
  <c r="L294" i="5"/>
  <c r="K294" i="5"/>
  <c r="J294" i="5"/>
  <c r="I294" i="5"/>
  <c r="H294" i="5"/>
  <c r="G294" i="5"/>
  <c r="F294" i="5"/>
  <c r="V293" i="5"/>
  <c r="W293" i="5" s="1"/>
  <c r="S293" i="5"/>
  <c r="R293" i="5"/>
  <c r="Q293" i="5"/>
  <c r="P293" i="5"/>
  <c r="O293" i="5"/>
  <c r="L293" i="5"/>
  <c r="K293" i="5"/>
  <c r="J293" i="5"/>
  <c r="I293" i="5"/>
  <c r="H293" i="5"/>
  <c r="G293" i="5"/>
  <c r="F293" i="5"/>
  <c r="V292" i="5"/>
  <c r="W292" i="5" s="1"/>
  <c r="S292" i="5"/>
  <c r="R292" i="5"/>
  <c r="Q292" i="5"/>
  <c r="P292" i="5"/>
  <c r="O292" i="5"/>
  <c r="L292" i="5"/>
  <c r="K292" i="5"/>
  <c r="J292" i="5"/>
  <c r="I292" i="5"/>
  <c r="H292" i="5"/>
  <c r="G292" i="5"/>
  <c r="F292" i="5"/>
  <c r="V291" i="5"/>
  <c r="W291" i="5" s="1"/>
  <c r="S291" i="5"/>
  <c r="R291" i="5"/>
  <c r="Q291" i="5"/>
  <c r="P291" i="5"/>
  <c r="O291" i="5"/>
  <c r="L291" i="5"/>
  <c r="K291" i="5"/>
  <c r="J291" i="5"/>
  <c r="I291" i="5"/>
  <c r="H291" i="5"/>
  <c r="G291" i="5"/>
  <c r="F291" i="5"/>
  <c r="W290" i="5"/>
  <c r="V290" i="5"/>
  <c r="S290" i="5"/>
  <c r="R290" i="5"/>
  <c r="Q290" i="5"/>
  <c r="P290" i="5"/>
  <c r="O290" i="5"/>
  <c r="L290" i="5"/>
  <c r="K290" i="5"/>
  <c r="J290" i="5"/>
  <c r="I290" i="5"/>
  <c r="H290" i="5"/>
  <c r="G290" i="5"/>
  <c r="F290" i="5"/>
  <c r="W289" i="5"/>
  <c r="V289" i="5"/>
  <c r="S289" i="5"/>
  <c r="R289" i="5"/>
  <c r="Q289" i="5"/>
  <c r="P289" i="5"/>
  <c r="O289" i="5"/>
  <c r="L289" i="5"/>
  <c r="K289" i="5"/>
  <c r="J289" i="5"/>
  <c r="I289" i="5"/>
  <c r="H289" i="5"/>
  <c r="G289" i="5"/>
  <c r="F289" i="5"/>
  <c r="W288" i="5"/>
  <c r="V288" i="5"/>
  <c r="S288" i="5"/>
  <c r="R288" i="5"/>
  <c r="Q288" i="5"/>
  <c r="P288" i="5"/>
  <c r="O288" i="5"/>
  <c r="L288" i="5"/>
  <c r="K288" i="5"/>
  <c r="J288" i="5"/>
  <c r="I288" i="5"/>
  <c r="H288" i="5"/>
  <c r="G288" i="5"/>
  <c r="F288" i="5"/>
  <c r="W287" i="5"/>
  <c r="V287" i="5"/>
  <c r="S287" i="5"/>
  <c r="R287" i="5"/>
  <c r="Q287" i="5"/>
  <c r="P287" i="5"/>
  <c r="O287" i="5"/>
  <c r="L287" i="5"/>
  <c r="K287" i="5"/>
  <c r="J287" i="5"/>
  <c r="I287" i="5"/>
  <c r="H287" i="5"/>
  <c r="G287" i="5"/>
  <c r="F287" i="5"/>
  <c r="W286" i="5"/>
  <c r="V286" i="5"/>
  <c r="S286" i="5"/>
  <c r="R286" i="5"/>
  <c r="Q286" i="5"/>
  <c r="P286" i="5"/>
  <c r="O286" i="5"/>
  <c r="L286" i="5"/>
  <c r="K286" i="5"/>
  <c r="J286" i="5"/>
  <c r="I286" i="5"/>
  <c r="H286" i="5"/>
  <c r="G286" i="5"/>
  <c r="F286" i="5"/>
  <c r="V285" i="5"/>
  <c r="W285" i="5" s="1"/>
  <c r="S285" i="5"/>
  <c r="R285" i="5"/>
  <c r="Q285" i="5"/>
  <c r="P285" i="5"/>
  <c r="O285" i="5"/>
  <c r="L285" i="5"/>
  <c r="K285" i="5"/>
  <c r="J285" i="5"/>
  <c r="I285" i="5"/>
  <c r="H285" i="5"/>
  <c r="G285" i="5"/>
  <c r="F285" i="5"/>
  <c r="W284" i="5"/>
  <c r="V284" i="5"/>
  <c r="S284" i="5"/>
  <c r="R284" i="5"/>
  <c r="Q284" i="5"/>
  <c r="P284" i="5"/>
  <c r="O284" i="5"/>
  <c r="L284" i="5"/>
  <c r="K284" i="5"/>
  <c r="J284" i="5"/>
  <c r="I284" i="5"/>
  <c r="H284" i="5"/>
  <c r="G284" i="5"/>
  <c r="F284" i="5"/>
  <c r="V283" i="5"/>
  <c r="W283" i="5" s="1"/>
  <c r="S283" i="5"/>
  <c r="R283" i="5"/>
  <c r="Q283" i="5"/>
  <c r="P283" i="5"/>
  <c r="O283" i="5"/>
  <c r="L283" i="5"/>
  <c r="K283" i="5"/>
  <c r="J283" i="5"/>
  <c r="I283" i="5"/>
  <c r="H283" i="5"/>
  <c r="G283" i="5"/>
  <c r="F283" i="5"/>
  <c r="V282" i="5"/>
  <c r="W282" i="5" s="1"/>
  <c r="S282" i="5"/>
  <c r="R282" i="5"/>
  <c r="Q282" i="5"/>
  <c r="P282" i="5"/>
  <c r="O282" i="5"/>
  <c r="L282" i="5"/>
  <c r="K282" i="5"/>
  <c r="J282" i="5"/>
  <c r="I282" i="5"/>
  <c r="H282" i="5"/>
  <c r="G282" i="5"/>
  <c r="F282" i="5"/>
  <c r="V281" i="5"/>
  <c r="W281" i="5" s="1"/>
  <c r="S281" i="5"/>
  <c r="R281" i="5"/>
  <c r="Q281" i="5"/>
  <c r="P281" i="5"/>
  <c r="O281" i="5"/>
  <c r="L281" i="5"/>
  <c r="K281" i="5"/>
  <c r="J281" i="5"/>
  <c r="I281" i="5"/>
  <c r="H281" i="5"/>
  <c r="G281" i="5"/>
  <c r="F281" i="5"/>
  <c r="W280" i="5"/>
  <c r="V280" i="5"/>
  <c r="S280" i="5"/>
  <c r="R280" i="5"/>
  <c r="Q280" i="5"/>
  <c r="P280" i="5"/>
  <c r="O280" i="5"/>
  <c r="L280" i="5"/>
  <c r="K280" i="5"/>
  <c r="J280" i="5"/>
  <c r="I280" i="5"/>
  <c r="H280" i="5"/>
  <c r="G280" i="5"/>
  <c r="F280" i="5"/>
  <c r="W279" i="5"/>
  <c r="V279" i="5"/>
  <c r="S279" i="5"/>
  <c r="R279" i="5"/>
  <c r="Q279" i="5"/>
  <c r="P279" i="5"/>
  <c r="O279" i="5"/>
  <c r="L279" i="5"/>
  <c r="K279" i="5"/>
  <c r="J279" i="5"/>
  <c r="I279" i="5"/>
  <c r="H279" i="5"/>
  <c r="G279" i="5"/>
  <c r="F279" i="5"/>
  <c r="W278" i="5"/>
  <c r="V278" i="5"/>
  <c r="S278" i="5"/>
  <c r="R278" i="5"/>
  <c r="Q278" i="5"/>
  <c r="P278" i="5"/>
  <c r="O278" i="5"/>
  <c r="L278" i="5"/>
  <c r="K278" i="5"/>
  <c r="J278" i="5"/>
  <c r="I278" i="5"/>
  <c r="H278" i="5"/>
  <c r="G278" i="5"/>
  <c r="F278" i="5"/>
  <c r="W277" i="5"/>
  <c r="V277" i="5"/>
  <c r="S277" i="5"/>
  <c r="R277" i="5"/>
  <c r="Q277" i="5"/>
  <c r="P277" i="5"/>
  <c r="O277" i="5"/>
  <c r="L277" i="5"/>
  <c r="K277" i="5"/>
  <c r="J277" i="5"/>
  <c r="I277" i="5"/>
  <c r="H277" i="5"/>
  <c r="G277" i="5"/>
  <c r="F277" i="5"/>
  <c r="W276" i="5"/>
  <c r="V276" i="5"/>
  <c r="S276" i="5"/>
  <c r="R276" i="5"/>
  <c r="Q276" i="5"/>
  <c r="P276" i="5"/>
  <c r="O276" i="5"/>
  <c r="L276" i="5"/>
  <c r="K276" i="5"/>
  <c r="J276" i="5"/>
  <c r="I276" i="5"/>
  <c r="H276" i="5"/>
  <c r="G276" i="5"/>
  <c r="F276" i="5"/>
  <c r="V275" i="5"/>
  <c r="W275" i="5" s="1"/>
  <c r="S275" i="5"/>
  <c r="R275" i="5"/>
  <c r="Q275" i="5"/>
  <c r="P275" i="5"/>
  <c r="O275" i="5"/>
  <c r="L275" i="5"/>
  <c r="K275" i="5"/>
  <c r="J275" i="5"/>
  <c r="I275" i="5"/>
  <c r="H275" i="5"/>
  <c r="G275" i="5"/>
  <c r="F275" i="5"/>
  <c r="W274" i="5"/>
  <c r="V274" i="5"/>
  <c r="S274" i="5"/>
  <c r="R274" i="5"/>
  <c r="Q274" i="5"/>
  <c r="P274" i="5"/>
  <c r="O274" i="5"/>
  <c r="L274" i="5"/>
  <c r="K274" i="5"/>
  <c r="J274" i="5"/>
  <c r="I274" i="5"/>
  <c r="H274" i="5"/>
  <c r="G274" i="5"/>
  <c r="F274" i="5"/>
  <c r="V273" i="5"/>
  <c r="W273" i="5" s="1"/>
  <c r="S273" i="5"/>
  <c r="R273" i="5"/>
  <c r="Q273" i="5"/>
  <c r="P273" i="5"/>
  <c r="O273" i="5"/>
  <c r="L273" i="5"/>
  <c r="K273" i="5"/>
  <c r="J273" i="5"/>
  <c r="I273" i="5"/>
  <c r="H273" i="5"/>
  <c r="G273" i="5"/>
  <c r="F273" i="5"/>
  <c r="V272" i="5"/>
  <c r="W272" i="5" s="1"/>
  <c r="S272" i="5"/>
  <c r="R272" i="5"/>
  <c r="Q272" i="5"/>
  <c r="P272" i="5"/>
  <c r="O272" i="5"/>
  <c r="L272" i="5"/>
  <c r="K272" i="5"/>
  <c r="J272" i="5"/>
  <c r="I272" i="5"/>
  <c r="H272" i="5"/>
  <c r="G272" i="5"/>
  <c r="F272" i="5"/>
  <c r="V271" i="5"/>
  <c r="W271" i="5" s="1"/>
  <c r="S271" i="5"/>
  <c r="R271" i="5"/>
  <c r="Q271" i="5"/>
  <c r="P271" i="5"/>
  <c r="O271" i="5"/>
  <c r="L271" i="5"/>
  <c r="K271" i="5"/>
  <c r="J271" i="5"/>
  <c r="I271" i="5"/>
  <c r="H271" i="5"/>
  <c r="G271" i="5"/>
  <c r="F271" i="5"/>
  <c r="W270" i="5"/>
  <c r="V270" i="5"/>
  <c r="S270" i="5"/>
  <c r="R270" i="5"/>
  <c r="Q270" i="5"/>
  <c r="P270" i="5"/>
  <c r="O270" i="5"/>
  <c r="L270" i="5"/>
  <c r="K270" i="5"/>
  <c r="J270" i="5"/>
  <c r="I270" i="5"/>
  <c r="H270" i="5"/>
  <c r="G270" i="5"/>
  <c r="F270" i="5"/>
  <c r="W269" i="5"/>
  <c r="V269" i="5"/>
  <c r="S269" i="5"/>
  <c r="R269" i="5"/>
  <c r="Q269" i="5"/>
  <c r="P269" i="5"/>
  <c r="O269" i="5"/>
  <c r="L269" i="5"/>
  <c r="K269" i="5"/>
  <c r="J269" i="5"/>
  <c r="I269" i="5"/>
  <c r="H269" i="5"/>
  <c r="G269" i="5"/>
  <c r="F269" i="5"/>
  <c r="W268" i="5"/>
  <c r="V268" i="5"/>
  <c r="S268" i="5"/>
  <c r="R268" i="5"/>
  <c r="Q268" i="5"/>
  <c r="P268" i="5"/>
  <c r="O268" i="5"/>
  <c r="L268" i="5"/>
  <c r="K268" i="5"/>
  <c r="J268" i="5"/>
  <c r="I268" i="5"/>
  <c r="H268" i="5"/>
  <c r="G268" i="5"/>
  <c r="F268" i="5"/>
  <c r="W267" i="5"/>
  <c r="V267" i="5"/>
  <c r="S267" i="5"/>
  <c r="R267" i="5"/>
  <c r="Q267" i="5"/>
  <c r="P267" i="5"/>
  <c r="O267" i="5"/>
  <c r="L267" i="5"/>
  <c r="K267" i="5"/>
  <c r="J267" i="5"/>
  <c r="I267" i="5"/>
  <c r="H267" i="5"/>
  <c r="G267" i="5"/>
  <c r="F267" i="5"/>
  <c r="W266" i="5"/>
  <c r="V266" i="5"/>
  <c r="S266" i="5"/>
  <c r="R266" i="5"/>
  <c r="Q266" i="5"/>
  <c r="P266" i="5"/>
  <c r="O266" i="5"/>
  <c r="L266" i="5"/>
  <c r="K266" i="5"/>
  <c r="J266" i="5"/>
  <c r="I266" i="5"/>
  <c r="H266" i="5"/>
  <c r="G266" i="5"/>
  <c r="F266" i="5"/>
  <c r="V265" i="5"/>
  <c r="W265" i="5" s="1"/>
  <c r="S265" i="5"/>
  <c r="R265" i="5"/>
  <c r="Q265" i="5"/>
  <c r="P265" i="5"/>
  <c r="O265" i="5"/>
  <c r="L265" i="5"/>
  <c r="K265" i="5"/>
  <c r="J265" i="5"/>
  <c r="I265" i="5"/>
  <c r="H265" i="5"/>
  <c r="G265" i="5"/>
  <c r="F265" i="5"/>
  <c r="W264" i="5"/>
  <c r="V264" i="5"/>
  <c r="S264" i="5"/>
  <c r="R264" i="5"/>
  <c r="Q264" i="5"/>
  <c r="P264" i="5"/>
  <c r="O264" i="5"/>
  <c r="L264" i="5"/>
  <c r="K264" i="5"/>
  <c r="J264" i="5"/>
  <c r="I264" i="5"/>
  <c r="H264" i="5"/>
  <c r="G264" i="5"/>
  <c r="F264" i="5"/>
  <c r="V263" i="5"/>
  <c r="W263" i="5" s="1"/>
  <c r="S263" i="5"/>
  <c r="R263" i="5"/>
  <c r="Q263" i="5"/>
  <c r="P263" i="5"/>
  <c r="O263" i="5"/>
  <c r="L263" i="5"/>
  <c r="K263" i="5"/>
  <c r="J263" i="5"/>
  <c r="I263" i="5"/>
  <c r="H263" i="5"/>
  <c r="G263" i="5"/>
  <c r="F263" i="5"/>
  <c r="V262" i="5"/>
  <c r="W262" i="5" s="1"/>
  <c r="S262" i="5"/>
  <c r="R262" i="5"/>
  <c r="Q262" i="5"/>
  <c r="P262" i="5"/>
  <c r="O262" i="5"/>
  <c r="L262" i="5"/>
  <c r="K262" i="5"/>
  <c r="J262" i="5"/>
  <c r="I262" i="5"/>
  <c r="H262" i="5"/>
  <c r="G262" i="5"/>
  <c r="F262" i="5"/>
  <c r="V261" i="5"/>
  <c r="W261" i="5" s="1"/>
  <c r="S261" i="5"/>
  <c r="R261" i="5"/>
  <c r="Q261" i="5"/>
  <c r="P261" i="5"/>
  <c r="O261" i="5"/>
  <c r="L261" i="5"/>
  <c r="K261" i="5"/>
  <c r="J261" i="5"/>
  <c r="I261" i="5"/>
  <c r="H261" i="5"/>
  <c r="G261" i="5"/>
  <c r="F261" i="5"/>
  <c r="W260" i="5"/>
  <c r="V260" i="5"/>
  <c r="S260" i="5"/>
  <c r="R260" i="5"/>
  <c r="Q260" i="5"/>
  <c r="P260" i="5"/>
  <c r="O260" i="5"/>
  <c r="L260" i="5"/>
  <c r="K260" i="5"/>
  <c r="J260" i="5"/>
  <c r="I260" i="5"/>
  <c r="H260" i="5"/>
  <c r="G260" i="5"/>
  <c r="F260" i="5"/>
  <c r="W259" i="5"/>
  <c r="V259" i="5"/>
  <c r="S259" i="5"/>
  <c r="R259" i="5"/>
  <c r="Q259" i="5"/>
  <c r="P259" i="5"/>
  <c r="O259" i="5"/>
  <c r="L259" i="5"/>
  <c r="K259" i="5"/>
  <c r="J259" i="5"/>
  <c r="I259" i="5"/>
  <c r="H259" i="5"/>
  <c r="G259" i="5"/>
  <c r="F259" i="5"/>
  <c r="W258" i="5"/>
  <c r="V258" i="5"/>
  <c r="S258" i="5"/>
  <c r="R258" i="5"/>
  <c r="Q258" i="5"/>
  <c r="P258" i="5"/>
  <c r="O258" i="5"/>
  <c r="L258" i="5"/>
  <c r="K258" i="5"/>
  <c r="J258" i="5"/>
  <c r="I258" i="5"/>
  <c r="H258" i="5"/>
  <c r="G258" i="5"/>
  <c r="F258" i="5"/>
  <c r="W257" i="5"/>
  <c r="V257" i="5"/>
  <c r="S257" i="5"/>
  <c r="R257" i="5"/>
  <c r="Q257" i="5"/>
  <c r="P257" i="5"/>
  <c r="O257" i="5"/>
  <c r="L257" i="5"/>
  <c r="K257" i="5"/>
  <c r="J257" i="5"/>
  <c r="I257" i="5"/>
  <c r="H257" i="5"/>
  <c r="G257" i="5"/>
  <c r="F257" i="5"/>
  <c r="W256" i="5"/>
  <c r="V256" i="5"/>
  <c r="S256" i="5"/>
  <c r="R256" i="5"/>
  <c r="Q256" i="5"/>
  <c r="P256" i="5"/>
  <c r="O256" i="5"/>
  <c r="L256" i="5"/>
  <c r="K256" i="5"/>
  <c r="J256" i="5"/>
  <c r="I256" i="5"/>
  <c r="H256" i="5"/>
  <c r="G256" i="5"/>
  <c r="F256" i="5"/>
  <c r="V255" i="5"/>
  <c r="W255" i="5" s="1"/>
  <c r="S255" i="5"/>
  <c r="R255" i="5"/>
  <c r="Q255" i="5"/>
  <c r="P255" i="5"/>
  <c r="O255" i="5"/>
  <c r="L255" i="5"/>
  <c r="K255" i="5"/>
  <c r="J255" i="5"/>
  <c r="I255" i="5"/>
  <c r="H255" i="5"/>
  <c r="G255" i="5"/>
  <c r="F255" i="5"/>
  <c r="W254" i="5"/>
  <c r="V254" i="5"/>
  <c r="S254" i="5"/>
  <c r="R254" i="5"/>
  <c r="Q254" i="5"/>
  <c r="P254" i="5"/>
  <c r="O254" i="5"/>
  <c r="L254" i="5"/>
  <c r="K254" i="5"/>
  <c r="J254" i="5"/>
  <c r="I254" i="5"/>
  <c r="H254" i="5"/>
  <c r="G254" i="5"/>
  <c r="F254" i="5"/>
  <c r="V253" i="5"/>
  <c r="W253" i="5" s="1"/>
  <c r="S253" i="5"/>
  <c r="R253" i="5"/>
  <c r="Q253" i="5"/>
  <c r="P253" i="5"/>
  <c r="O253" i="5"/>
  <c r="L253" i="5"/>
  <c r="K253" i="5"/>
  <c r="J253" i="5"/>
  <c r="I253" i="5"/>
  <c r="H253" i="5"/>
  <c r="G253" i="5"/>
  <c r="F253" i="5"/>
  <c r="V252" i="5"/>
  <c r="W252" i="5" s="1"/>
  <c r="S252" i="5"/>
  <c r="R252" i="5"/>
  <c r="Q252" i="5"/>
  <c r="P252" i="5"/>
  <c r="O252" i="5"/>
  <c r="L252" i="5"/>
  <c r="K252" i="5"/>
  <c r="J252" i="5"/>
  <c r="I252" i="5"/>
  <c r="H252" i="5"/>
  <c r="G252" i="5"/>
  <c r="F252" i="5"/>
  <c r="V251" i="5"/>
  <c r="W251" i="5" s="1"/>
  <c r="S251" i="5"/>
  <c r="R251" i="5"/>
  <c r="Q251" i="5"/>
  <c r="P251" i="5"/>
  <c r="O251" i="5"/>
  <c r="L251" i="5"/>
  <c r="K251" i="5"/>
  <c r="J251" i="5"/>
  <c r="I251" i="5"/>
  <c r="H251" i="5"/>
  <c r="G251" i="5"/>
  <c r="F251" i="5"/>
  <c r="W250" i="5"/>
  <c r="V250" i="5"/>
  <c r="S250" i="5"/>
  <c r="R250" i="5"/>
  <c r="Q250" i="5"/>
  <c r="P250" i="5"/>
  <c r="O250" i="5"/>
  <c r="L250" i="5"/>
  <c r="K250" i="5"/>
  <c r="J250" i="5"/>
  <c r="I250" i="5"/>
  <c r="H250" i="5"/>
  <c r="G250" i="5"/>
  <c r="F250" i="5"/>
  <c r="W249" i="5"/>
  <c r="V249" i="5"/>
  <c r="S249" i="5"/>
  <c r="R249" i="5"/>
  <c r="Q249" i="5"/>
  <c r="P249" i="5"/>
  <c r="O249" i="5"/>
  <c r="L249" i="5"/>
  <c r="K249" i="5"/>
  <c r="J249" i="5"/>
  <c r="I249" i="5"/>
  <c r="H249" i="5"/>
  <c r="G249" i="5"/>
  <c r="F249" i="5"/>
  <c r="W248" i="5"/>
  <c r="V248" i="5"/>
  <c r="S248" i="5"/>
  <c r="R248" i="5"/>
  <c r="Q248" i="5"/>
  <c r="P248" i="5"/>
  <c r="O248" i="5"/>
  <c r="L248" i="5"/>
  <c r="K248" i="5"/>
  <c r="J248" i="5"/>
  <c r="I248" i="5"/>
  <c r="H248" i="5"/>
  <c r="G248" i="5"/>
  <c r="F248" i="5"/>
  <c r="W247" i="5"/>
  <c r="V247" i="5"/>
  <c r="S247" i="5"/>
  <c r="R247" i="5"/>
  <c r="Q247" i="5"/>
  <c r="P247" i="5"/>
  <c r="O247" i="5"/>
  <c r="L247" i="5"/>
  <c r="K247" i="5"/>
  <c r="J247" i="5"/>
  <c r="I247" i="5"/>
  <c r="H247" i="5"/>
  <c r="G247" i="5"/>
  <c r="F247" i="5"/>
  <c r="W246" i="5"/>
  <c r="V246" i="5"/>
  <c r="S246" i="5"/>
  <c r="R246" i="5"/>
  <c r="Q246" i="5"/>
  <c r="P246" i="5"/>
  <c r="O246" i="5"/>
  <c r="L246" i="5"/>
  <c r="K246" i="5"/>
  <c r="J246" i="5"/>
  <c r="I246" i="5"/>
  <c r="H246" i="5"/>
  <c r="G246" i="5"/>
  <c r="F246" i="5"/>
  <c r="V245" i="5"/>
  <c r="W245" i="5" s="1"/>
  <c r="S245" i="5"/>
  <c r="R245" i="5"/>
  <c r="Q245" i="5"/>
  <c r="P245" i="5"/>
  <c r="O245" i="5"/>
  <c r="L245" i="5"/>
  <c r="K245" i="5"/>
  <c r="J245" i="5"/>
  <c r="I245" i="5"/>
  <c r="H245" i="5"/>
  <c r="G245" i="5"/>
  <c r="F245" i="5"/>
  <c r="W244" i="5"/>
  <c r="V244" i="5"/>
  <c r="S244" i="5"/>
  <c r="R244" i="5"/>
  <c r="Q244" i="5"/>
  <c r="P244" i="5"/>
  <c r="O244" i="5"/>
  <c r="L244" i="5"/>
  <c r="K244" i="5"/>
  <c r="J244" i="5"/>
  <c r="I244" i="5"/>
  <c r="H244" i="5"/>
  <c r="G244" i="5"/>
  <c r="F244" i="5"/>
  <c r="V243" i="5"/>
  <c r="W243" i="5" s="1"/>
  <c r="S243" i="5"/>
  <c r="R243" i="5"/>
  <c r="Q243" i="5"/>
  <c r="P243" i="5"/>
  <c r="O243" i="5"/>
  <c r="L243" i="5"/>
  <c r="K243" i="5"/>
  <c r="J243" i="5"/>
  <c r="I243" i="5"/>
  <c r="H243" i="5"/>
  <c r="G243" i="5"/>
  <c r="F243" i="5"/>
  <c r="V242" i="5"/>
  <c r="W242" i="5" s="1"/>
  <c r="S242" i="5"/>
  <c r="R242" i="5"/>
  <c r="Q242" i="5"/>
  <c r="P242" i="5"/>
  <c r="O242" i="5"/>
  <c r="L242" i="5"/>
  <c r="K242" i="5"/>
  <c r="J242" i="5"/>
  <c r="I242" i="5"/>
  <c r="H242" i="5"/>
  <c r="G242" i="5"/>
  <c r="F242" i="5"/>
  <c r="V241" i="5"/>
  <c r="W241" i="5" s="1"/>
  <c r="S241" i="5"/>
  <c r="R241" i="5"/>
  <c r="Q241" i="5"/>
  <c r="P241" i="5"/>
  <c r="O241" i="5"/>
  <c r="L241" i="5"/>
  <c r="K241" i="5"/>
  <c r="J241" i="5"/>
  <c r="I241" i="5"/>
  <c r="H241" i="5"/>
  <c r="G241" i="5"/>
  <c r="F241" i="5"/>
  <c r="W240" i="5"/>
  <c r="V240" i="5"/>
  <c r="S240" i="5"/>
  <c r="R240" i="5"/>
  <c r="Q240" i="5"/>
  <c r="P240" i="5"/>
  <c r="O240" i="5"/>
  <c r="L240" i="5"/>
  <c r="K240" i="5"/>
  <c r="J240" i="5"/>
  <c r="I240" i="5"/>
  <c r="H240" i="5"/>
  <c r="G240" i="5"/>
  <c r="F240" i="5"/>
  <c r="W239" i="5"/>
  <c r="V239" i="5"/>
  <c r="S239" i="5"/>
  <c r="R239" i="5"/>
  <c r="Q239" i="5"/>
  <c r="P239" i="5"/>
  <c r="O239" i="5"/>
  <c r="L239" i="5"/>
  <c r="K239" i="5"/>
  <c r="J239" i="5"/>
  <c r="I239" i="5"/>
  <c r="H239" i="5"/>
  <c r="G239" i="5"/>
  <c r="F239" i="5"/>
  <c r="W238" i="5"/>
  <c r="V238" i="5"/>
  <c r="S238" i="5"/>
  <c r="R238" i="5"/>
  <c r="Q238" i="5"/>
  <c r="P238" i="5"/>
  <c r="O238" i="5"/>
  <c r="L238" i="5"/>
  <c r="K238" i="5"/>
  <c r="J238" i="5"/>
  <c r="I238" i="5"/>
  <c r="H238" i="5"/>
  <c r="G238" i="5"/>
  <c r="F238" i="5"/>
  <c r="W237" i="5"/>
  <c r="V237" i="5"/>
  <c r="S237" i="5"/>
  <c r="R237" i="5"/>
  <c r="Q237" i="5"/>
  <c r="P237" i="5"/>
  <c r="O237" i="5"/>
  <c r="L237" i="5"/>
  <c r="K237" i="5"/>
  <c r="J237" i="5"/>
  <c r="I237" i="5"/>
  <c r="H237" i="5"/>
  <c r="G237" i="5"/>
  <c r="F237" i="5"/>
  <c r="W236" i="5"/>
  <c r="V236" i="5"/>
  <c r="S236" i="5"/>
  <c r="R236" i="5"/>
  <c r="Q236" i="5"/>
  <c r="P236" i="5"/>
  <c r="O236" i="5"/>
  <c r="L236" i="5"/>
  <c r="K236" i="5"/>
  <c r="J236" i="5"/>
  <c r="I236" i="5"/>
  <c r="H236" i="5"/>
  <c r="G236" i="5"/>
  <c r="F236" i="5"/>
  <c r="V235" i="5"/>
  <c r="W235" i="5" s="1"/>
  <c r="S235" i="5"/>
  <c r="R235" i="5"/>
  <c r="Q235" i="5"/>
  <c r="P235" i="5"/>
  <c r="O235" i="5"/>
  <c r="L235" i="5"/>
  <c r="K235" i="5"/>
  <c r="J235" i="5"/>
  <c r="I235" i="5"/>
  <c r="H235" i="5"/>
  <c r="G235" i="5"/>
  <c r="F235" i="5"/>
  <c r="W234" i="5"/>
  <c r="V234" i="5"/>
  <c r="S234" i="5"/>
  <c r="R234" i="5"/>
  <c r="Q234" i="5"/>
  <c r="P234" i="5"/>
  <c r="O234" i="5"/>
  <c r="L234" i="5"/>
  <c r="K234" i="5"/>
  <c r="J234" i="5"/>
  <c r="I234" i="5"/>
  <c r="H234" i="5"/>
  <c r="G234" i="5"/>
  <c r="F234" i="5"/>
  <c r="V233" i="5"/>
  <c r="W233" i="5" s="1"/>
  <c r="S233" i="5"/>
  <c r="R233" i="5"/>
  <c r="Q233" i="5"/>
  <c r="P233" i="5"/>
  <c r="O233" i="5"/>
  <c r="L233" i="5"/>
  <c r="K233" i="5"/>
  <c r="J233" i="5"/>
  <c r="I233" i="5"/>
  <c r="H233" i="5"/>
  <c r="G233" i="5"/>
  <c r="F233" i="5"/>
  <c r="V232" i="5"/>
  <c r="W232" i="5" s="1"/>
  <c r="S232" i="5"/>
  <c r="R232" i="5"/>
  <c r="Q232" i="5"/>
  <c r="P232" i="5"/>
  <c r="O232" i="5"/>
  <c r="L232" i="5"/>
  <c r="K232" i="5"/>
  <c r="J232" i="5"/>
  <c r="I232" i="5"/>
  <c r="H232" i="5"/>
  <c r="G232" i="5"/>
  <c r="F232" i="5"/>
  <c r="V231" i="5"/>
  <c r="W231" i="5" s="1"/>
  <c r="S231" i="5"/>
  <c r="R231" i="5"/>
  <c r="Q231" i="5"/>
  <c r="P231" i="5"/>
  <c r="O231" i="5"/>
  <c r="L231" i="5"/>
  <c r="K231" i="5"/>
  <c r="J231" i="5"/>
  <c r="I231" i="5"/>
  <c r="H231" i="5"/>
  <c r="G231" i="5"/>
  <c r="F231" i="5"/>
  <c r="W230" i="5"/>
  <c r="V230" i="5"/>
  <c r="S230" i="5"/>
  <c r="R230" i="5"/>
  <c r="Q230" i="5"/>
  <c r="P230" i="5"/>
  <c r="O230" i="5"/>
  <c r="L230" i="5"/>
  <c r="K230" i="5"/>
  <c r="J230" i="5"/>
  <c r="I230" i="5"/>
  <c r="H230" i="5"/>
  <c r="G230" i="5"/>
  <c r="F230" i="5"/>
  <c r="W229" i="5"/>
  <c r="V229" i="5"/>
  <c r="S229" i="5"/>
  <c r="R229" i="5"/>
  <c r="Q229" i="5"/>
  <c r="P229" i="5"/>
  <c r="O229" i="5"/>
  <c r="L229" i="5"/>
  <c r="K229" i="5"/>
  <c r="J229" i="5"/>
  <c r="I229" i="5"/>
  <c r="H229" i="5"/>
  <c r="G229" i="5"/>
  <c r="F229" i="5"/>
  <c r="W228" i="5"/>
  <c r="V228" i="5"/>
  <c r="S228" i="5"/>
  <c r="R228" i="5"/>
  <c r="Q228" i="5"/>
  <c r="P228" i="5"/>
  <c r="O228" i="5"/>
  <c r="L228" i="5"/>
  <c r="K228" i="5"/>
  <c r="J228" i="5"/>
  <c r="I228" i="5"/>
  <c r="H228" i="5"/>
  <c r="G228" i="5"/>
  <c r="F228" i="5"/>
  <c r="W227" i="5"/>
  <c r="V227" i="5"/>
  <c r="S227" i="5"/>
  <c r="R227" i="5"/>
  <c r="Q227" i="5"/>
  <c r="P227" i="5"/>
  <c r="O227" i="5"/>
  <c r="L227" i="5"/>
  <c r="K227" i="5"/>
  <c r="J227" i="5"/>
  <c r="I227" i="5"/>
  <c r="H227" i="5"/>
  <c r="G227" i="5"/>
  <c r="F227" i="5"/>
  <c r="W226" i="5"/>
  <c r="V226" i="5"/>
  <c r="S226" i="5"/>
  <c r="R226" i="5"/>
  <c r="Q226" i="5"/>
  <c r="P226" i="5"/>
  <c r="O226" i="5"/>
  <c r="L226" i="5"/>
  <c r="K226" i="5"/>
  <c r="J226" i="5"/>
  <c r="I226" i="5"/>
  <c r="H226" i="5"/>
  <c r="G226" i="5"/>
  <c r="F226" i="5"/>
  <c r="V225" i="5"/>
  <c r="W225" i="5" s="1"/>
  <c r="S225" i="5"/>
  <c r="R225" i="5"/>
  <c r="Q225" i="5"/>
  <c r="P225" i="5"/>
  <c r="O225" i="5"/>
  <c r="L225" i="5"/>
  <c r="K225" i="5"/>
  <c r="J225" i="5"/>
  <c r="I225" i="5"/>
  <c r="H225" i="5"/>
  <c r="G225" i="5"/>
  <c r="F225" i="5"/>
  <c r="W224" i="5"/>
  <c r="V224" i="5"/>
  <c r="S224" i="5"/>
  <c r="R224" i="5"/>
  <c r="Q224" i="5"/>
  <c r="P224" i="5"/>
  <c r="O224" i="5"/>
  <c r="L224" i="5"/>
  <c r="K224" i="5"/>
  <c r="J224" i="5"/>
  <c r="I224" i="5"/>
  <c r="H224" i="5"/>
  <c r="G224" i="5"/>
  <c r="F224" i="5"/>
  <c r="V223" i="5"/>
  <c r="W223" i="5" s="1"/>
  <c r="S223" i="5"/>
  <c r="R223" i="5"/>
  <c r="Q223" i="5"/>
  <c r="P223" i="5"/>
  <c r="O223" i="5"/>
  <c r="L223" i="5"/>
  <c r="K223" i="5"/>
  <c r="J223" i="5"/>
  <c r="I223" i="5"/>
  <c r="H223" i="5"/>
  <c r="G223" i="5"/>
  <c r="F223" i="5"/>
  <c r="V222" i="5"/>
  <c r="W222" i="5" s="1"/>
  <c r="S222" i="5"/>
  <c r="R222" i="5"/>
  <c r="Q222" i="5"/>
  <c r="P222" i="5"/>
  <c r="O222" i="5"/>
  <c r="L222" i="5"/>
  <c r="K222" i="5"/>
  <c r="J222" i="5"/>
  <c r="I222" i="5"/>
  <c r="H222" i="5"/>
  <c r="G222" i="5"/>
  <c r="F222" i="5"/>
  <c r="V221" i="5"/>
  <c r="W221" i="5" s="1"/>
  <c r="S221" i="5"/>
  <c r="R221" i="5"/>
  <c r="Q221" i="5"/>
  <c r="P221" i="5"/>
  <c r="O221" i="5"/>
  <c r="L221" i="5"/>
  <c r="K221" i="5"/>
  <c r="J221" i="5"/>
  <c r="I221" i="5"/>
  <c r="H221" i="5"/>
  <c r="G221" i="5"/>
  <c r="F221" i="5"/>
  <c r="W220" i="5"/>
  <c r="V220" i="5"/>
  <c r="S220" i="5"/>
  <c r="R220" i="5"/>
  <c r="Q220" i="5"/>
  <c r="P220" i="5"/>
  <c r="O220" i="5"/>
  <c r="L220" i="5"/>
  <c r="K220" i="5"/>
  <c r="J220" i="5"/>
  <c r="I220" i="5"/>
  <c r="H220" i="5"/>
  <c r="G220" i="5"/>
  <c r="F220" i="5"/>
  <c r="W219" i="5"/>
  <c r="V219" i="5"/>
  <c r="S219" i="5"/>
  <c r="R219" i="5"/>
  <c r="Q219" i="5"/>
  <c r="P219" i="5"/>
  <c r="O219" i="5"/>
  <c r="L219" i="5"/>
  <c r="K219" i="5"/>
  <c r="J219" i="5"/>
  <c r="I219" i="5"/>
  <c r="H219" i="5"/>
  <c r="G219" i="5"/>
  <c r="F219" i="5"/>
  <c r="W218" i="5"/>
  <c r="V218" i="5"/>
  <c r="S218" i="5"/>
  <c r="R218" i="5"/>
  <c r="Q218" i="5"/>
  <c r="P218" i="5"/>
  <c r="O218" i="5"/>
  <c r="L218" i="5"/>
  <c r="K218" i="5"/>
  <c r="J218" i="5"/>
  <c r="I218" i="5"/>
  <c r="H218" i="5"/>
  <c r="G218" i="5"/>
  <c r="F218" i="5"/>
  <c r="W217" i="5"/>
  <c r="V217" i="5"/>
  <c r="S217" i="5"/>
  <c r="R217" i="5"/>
  <c r="Q217" i="5"/>
  <c r="P217" i="5"/>
  <c r="O217" i="5"/>
  <c r="L217" i="5"/>
  <c r="K217" i="5"/>
  <c r="J217" i="5"/>
  <c r="I217" i="5"/>
  <c r="H217" i="5"/>
  <c r="G217" i="5"/>
  <c r="F217" i="5"/>
  <c r="W216" i="5"/>
  <c r="V216" i="5"/>
  <c r="S216" i="5"/>
  <c r="R216" i="5"/>
  <c r="Q216" i="5"/>
  <c r="P216" i="5"/>
  <c r="O216" i="5"/>
  <c r="L216" i="5"/>
  <c r="K216" i="5"/>
  <c r="J216" i="5"/>
  <c r="I216" i="5"/>
  <c r="H216" i="5"/>
  <c r="G216" i="5"/>
  <c r="F216" i="5"/>
  <c r="V215" i="5"/>
  <c r="W215" i="5" s="1"/>
  <c r="S215" i="5"/>
  <c r="R215" i="5"/>
  <c r="Q215" i="5"/>
  <c r="P215" i="5"/>
  <c r="O215" i="5"/>
  <c r="L215" i="5"/>
  <c r="K215" i="5"/>
  <c r="J215" i="5"/>
  <c r="I215" i="5"/>
  <c r="H215" i="5"/>
  <c r="G215" i="5"/>
  <c r="F215" i="5"/>
  <c r="W214" i="5"/>
  <c r="V214" i="5"/>
  <c r="S214" i="5"/>
  <c r="R214" i="5"/>
  <c r="Q214" i="5"/>
  <c r="P214" i="5"/>
  <c r="O214" i="5"/>
  <c r="L214" i="5"/>
  <c r="K214" i="5"/>
  <c r="J214" i="5"/>
  <c r="I214" i="5"/>
  <c r="H214" i="5"/>
  <c r="G214" i="5"/>
  <c r="F214" i="5"/>
  <c r="V213" i="5"/>
  <c r="W213" i="5" s="1"/>
  <c r="S213" i="5"/>
  <c r="R213" i="5"/>
  <c r="Q213" i="5"/>
  <c r="P213" i="5"/>
  <c r="O213" i="5"/>
  <c r="L213" i="5"/>
  <c r="K213" i="5"/>
  <c r="J213" i="5"/>
  <c r="I213" i="5"/>
  <c r="H213" i="5"/>
  <c r="G213" i="5"/>
  <c r="F213" i="5"/>
  <c r="V212" i="5"/>
  <c r="W212" i="5" s="1"/>
  <c r="S212" i="5"/>
  <c r="R212" i="5"/>
  <c r="Q212" i="5"/>
  <c r="P212" i="5"/>
  <c r="O212" i="5"/>
  <c r="L212" i="5"/>
  <c r="K212" i="5"/>
  <c r="J212" i="5"/>
  <c r="I212" i="5"/>
  <c r="H212" i="5"/>
  <c r="G212" i="5"/>
  <c r="F212" i="5"/>
  <c r="V211" i="5"/>
  <c r="W211" i="5" s="1"/>
  <c r="S211" i="5"/>
  <c r="R211" i="5"/>
  <c r="Q211" i="5"/>
  <c r="P211" i="5"/>
  <c r="O211" i="5"/>
  <c r="L211" i="5"/>
  <c r="K211" i="5"/>
  <c r="J211" i="5"/>
  <c r="I211" i="5"/>
  <c r="H211" i="5"/>
  <c r="G211" i="5"/>
  <c r="F211" i="5"/>
  <c r="W210" i="5"/>
  <c r="V210" i="5"/>
  <c r="S210" i="5"/>
  <c r="R210" i="5"/>
  <c r="Q210" i="5"/>
  <c r="P210" i="5"/>
  <c r="O210" i="5"/>
  <c r="L210" i="5"/>
  <c r="K210" i="5"/>
  <c r="J210" i="5"/>
  <c r="I210" i="5"/>
  <c r="H210" i="5"/>
  <c r="G210" i="5"/>
  <c r="F210" i="5"/>
  <c r="W209" i="5"/>
  <c r="V209" i="5"/>
  <c r="S209" i="5"/>
  <c r="R209" i="5"/>
  <c r="Q209" i="5"/>
  <c r="P209" i="5"/>
  <c r="O209" i="5"/>
  <c r="L209" i="5"/>
  <c r="K209" i="5"/>
  <c r="J209" i="5"/>
  <c r="I209" i="5"/>
  <c r="H209" i="5"/>
  <c r="G209" i="5"/>
  <c r="F209" i="5"/>
  <c r="W208" i="5"/>
  <c r="V208" i="5"/>
  <c r="S208" i="5"/>
  <c r="R208" i="5"/>
  <c r="Q208" i="5"/>
  <c r="P208" i="5"/>
  <c r="O208" i="5"/>
  <c r="L208" i="5"/>
  <c r="K208" i="5"/>
  <c r="J208" i="5"/>
  <c r="I208" i="5"/>
  <c r="H208" i="5"/>
  <c r="G208" i="5"/>
  <c r="F208" i="5"/>
  <c r="W207" i="5"/>
  <c r="V207" i="5"/>
  <c r="S207" i="5"/>
  <c r="R207" i="5"/>
  <c r="Q207" i="5"/>
  <c r="P207" i="5"/>
  <c r="O207" i="5"/>
  <c r="L207" i="5"/>
  <c r="K207" i="5"/>
  <c r="J207" i="5"/>
  <c r="I207" i="5"/>
  <c r="H207" i="5"/>
  <c r="G207" i="5"/>
  <c r="F207" i="5"/>
  <c r="W206" i="5"/>
  <c r="V206" i="5"/>
  <c r="S206" i="5"/>
  <c r="R206" i="5"/>
  <c r="Q206" i="5"/>
  <c r="P206" i="5"/>
  <c r="O206" i="5"/>
  <c r="L206" i="5"/>
  <c r="K206" i="5"/>
  <c r="J206" i="5"/>
  <c r="I206" i="5"/>
  <c r="H206" i="5"/>
  <c r="G206" i="5"/>
  <c r="F206" i="5"/>
  <c r="V205" i="5"/>
  <c r="W205" i="5" s="1"/>
  <c r="S205" i="5"/>
  <c r="R205" i="5"/>
  <c r="Q205" i="5"/>
  <c r="P205" i="5"/>
  <c r="O205" i="5"/>
  <c r="L205" i="5"/>
  <c r="K205" i="5"/>
  <c r="J205" i="5"/>
  <c r="I205" i="5"/>
  <c r="H205" i="5"/>
  <c r="G205" i="5"/>
  <c r="F205" i="5"/>
  <c r="W204" i="5"/>
  <c r="V204" i="5"/>
  <c r="S204" i="5"/>
  <c r="R204" i="5"/>
  <c r="Q204" i="5"/>
  <c r="P204" i="5"/>
  <c r="O204" i="5"/>
  <c r="L204" i="5"/>
  <c r="K204" i="5"/>
  <c r="J204" i="5"/>
  <c r="I204" i="5"/>
  <c r="H204" i="5"/>
  <c r="G204" i="5"/>
  <c r="F204" i="5"/>
  <c r="V203" i="5"/>
  <c r="W203" i="5" s="1"/>
  <c r="S203" i="5"/>
  <c r="R203" i="5"/>
  <c r="Q203" i="5"/>
  <c r="P203" i="5"/>
  <c r="O203" i="5"/>
  <c r="L203" i="5"/>
  <c r="K203" i="5"/>
  <c r="J203" i="5"/>
  <c r="I203" i="5"/>
  <c r="H203" i="5"/>
  <c r="G203" i="5"/>
  <c r="F203" i="5"/>
  <c r="V202" i="5"/>
  <c r="W202" i="5" s="1"/>
  <c r="S202" i="5"/>
  <c r="R202" i="5"/>
  <c r="Q202" i="5"/>
  <c r="P202" i="5"/>
  <c r="O202" i="5"/>
  <c r="L202" i="5"/>
  <c r="K202" i="5"/>
  <c r="J202" i="5"/>
  <c r="I202" i="5"/>
  <c r="H202" i="5"/>
  <c r="G202" i="5"/>
  <c r="F202" i="5"/>
  <c r="V201" i="5"/>
  <c r="W201" i="5" s="1"/>
  <c r="S201" i="5"/>
  <c r="R201" i="5"/>
  <c r="Q201" i="5"/>
  <c r="P201" i="5"/>
  <c r="O201" i="5"/>
  <c r="L201" i="5"/>
  <c r="K201" i="5"/>
  <c r="J201" i="5"/>
  <c r="I201" i="5"/>
  <c r="H201" i="5"/>
  <c r="G201" i="5"/>
  <c r="F201" i="5"/>
  <c r="W200" i="5"/>
  <c r="V200" i="5"/>
  <c r="S200" i="5"/>
  <c r="R200" i="5"/>
  <c r="Q200" i="5"/>
  <c r="P200" i="5"/>
  <c r="O200" i="5"/>
  <c r="L200" i="5"/>
  <c r="K200" i="5"/>
  <c r="J200" i="5"/>
  <c r="I200" i="5"/>
  <c r="H200" i="5"/>
  <c r="G200" i="5"/>
  <c r="F200" i="5"/>
  <c r="W199" i="5"/>
  <c r="V199" i="5"/>
  <c r="S199" i="5"/>
  <c r="R199" i="5"/>
  <c r="Q199" i="5"/>
  <c r="P199" i="5"/>
  <c r="O199" i="5"/>
  <c r="L199" i="5"/>
  <c r="K199" i="5"/>
  <c r="J199" i="5"/>
  <c r="I199" i="5"/>
  <c r="H199" i="5"/>
  <c r="G199" i="5"/>
  <c r="F199" i="5"/>
  <c r="W198" i="5"/>
  <c r="V198" i="5"/>
  <c r="S198" i="5"/>
  <c r="R198" i="5"/>
  <c r="Q198" i="5"/>
  <c r="P198" i="5"/>
  <c r="O198" i="5"/>
  <c r="L198" i="5"/>
  <c r="K198" i="5"/>
  <c r="J198" i="5"/>
  <c r="I198" i="5"/>
  <c r="H198" i="5"/>
  <c r="G198" i="5"/>
  <c r="F198" i="5"/>
  <c r="W197" i="5"/>
  <c r="V197" i="5"/>
  <c r="S197" i="5"/>
  <c r="R197" i="5"/>
  <c r="Q197" i="5"/>
  <c r="P197" i="5"/>
  <c r="O197" i="5"/>
  <c r="L197" i="5"/>
  <c r="K197" i="5"/>
  <c r="J197" i="5"/>
  <c r="I197" i="5"/>
  <c r="H197" i="5"/>
  <c r="G197" i="5"/>
  <c r="F197" i="5"/>
  <c r="W196" i="5"/>
  <c r="V196" i="5"/>
  <c r="S196" i="5"/>
  <c r="R196" i="5"/>
  <c r="Q196" i="5"/>
  <c r="P196" i="5"/>
  <c r="O196" i="5"/>
  <c r="L196" i="5"/>
  <c r="K196" i="5"/>
  <c r="J196" i="5"/>
  <c r="I196" i="5"/>
  <c r="H196" i="5"/>
  <c r="G196" i="5"/>
  <c r="F196" i="5"/>
  <c r="V195" i="5"/>
  <c r="W195" i="5" s="1"/>
  <c r="S195" i="5"/>
  <c r="R195" i="5"/>
  <c r="Q195" i="5"/>
  <c r="P195" i="5"/>
  <c r="O195" i="5"/>
  <c r="L195" i="5"/>
  <c r="K195" i="5"/>
  <c r="J195" i="5"/>
  <c r="I195" i="5"/>
  <c r="H195" i="5"/>
  <c r="G195" i="5"/>
  <c r="F195" i="5"/>
  <c r="W194" i="5"/>
  <c r="V194" i="5"/>
  <c r="S194" i="5"/>
  <c r="R194" i="5"/>
  <c r="Q194" i="5"/>
  <c r="P194" i="5"/>
  <c r="O194" i="5"/>
  <c r="L194" i="5"/>
  <c r="K194" i="5"/>
  <c r="J194" i="5"/>
  <c r="I194" i="5"/>
  <c r="H194" i="5"/>
  <c r="G194" i="5"/>
  <c r="F194" i="5"/>
  <c r="V193" i="5"/>
  <c r="W193" i="5" s="1"/>
  <c r="S193" i="5"/>
  <c r="R193" i="5"/>
  <c r="Q193" i="5"/>
  <c r="P193" i="5"/>
  <c r="O193" i="5"/>
  <c r="L193" i="5"/>
  <c r="K193" i="5"/>
  <c r="J193" i="5"/>
  <c r="I193" i="5"/>
  <c r="H193" i="5"/>
  <c r="G193" i="5"/>
  <c r="F193" i="5"/>
  <c r="V192" i="5"/>
  <c r="W192" i="5" s="1"/>
  <c r="S192" i="5"/>
  <c r="R192" i="5"/>
  <c r="Q192" i="5"/>
  <c r="P192" i="5"/>
  <c r="O192" i="5"/>
  <c r="L192" i="5"/>
  <c r="K192" i="5"/>
  <c r="J192" i="5"/>
  <c r="I192" i="5"/>
  <c r="H192" i="5"/>
  <c r="G192" i="5"/>
  <c r="F192" i="5"/>
  <c r="V191" i="5"/>
  <c r="W191" i="5" s="1"/>
  <c r="S191" i="5"/>
  <c r="R191" i="5"/>
  <c r="Q191" i="5"/>
  <c r="P191" i="5"/>
  <c r="O191" i="5"/>
  <c r="L191" i="5"/>
  <c r="K191" i="5"/>
  <c r="J191" i="5"/>
  <c r="I191" i="5"/>
  <c r="H191" i="5"/>
  <c r="G191" i="5"/>
  <c r="F191" i="5"/>
  <c r="W190" i="5"/>
  <c r="V190" i="5"/>
  <c r="S190" i="5"/>
  <c r="R190" i="5"/>
  <c r="Q190" i="5"/>
  <c r="P190" i="5"/>
  <c r="O190" i="5"/>
  <c r="L190" i="5"/>
  <c r="K190" i="5"/>
  <c r="J190" i="5"/>
  <c r="I190" i="5"/>
  <c r="H190" i="5"/>
  <c r="G190" i="5"/>
  <c r="F190" i="5"/>
  <c r="W189" i="5"/>
  <c r="V189" i="5"/>
  <c r="S189" i="5"/>
  <c r="R189" i="5"/>
  <c r="Q189" i="5"/>
  <c r="P189" i="5"/>
  <c r="O189" i="5"/>
  <c r="L189" i="5"/>
  <c r="K189" i="5"/>
  <c r="J189" i="5"/>
  <c r="I189" i="5"/>
  <c r="H189" i="5"/>
  <c r="G189" i="5"/>
  <c r="F189" i="5"/>
  <c r="W188" i="5"/>
  <c r="V188" i="5"/>
  <c r="S188" i="5"/>
  <c r="R188" i="5"/>
  <c r="Q188" i="5"/>
  <c r="P188" i="5"/>
  <c r="O188" i="5"/>
  <c r="L188" i="5"/>
  <c r="K188" i="5"/>
  <c r="J188" i="5"/>
  <c r="I188" i="5"/>
  <c r="H188" i="5"/>
  <c r="G188" i="5"/>
  <c r="F188" i="5"/>
  <c r="W187" i="5"/>
  <c r="V187" i="5"/>
  <c r="S187" i="5"/>
  <c r="R187" i="5"/>
  <c r="Q187" i="5"/>
  <c r="P187" i="5"/>
  <c r="O187" i="5"/>
  <c r="L187" i="5"/>
  <c r="K187" i="5"/>
  <c r="J187" i="5"/>
  <c r="I187" i="5"/>
  <c r="H187" i="5"/>
  <c r="G187" i="5"/>
  <c r="F187" i="5"/>
  <c r="W186" i="5"/>
  <c r="V186" i="5"/>
  <c r="S186" i="5"/>
  <c r="R186" i="5"/>
  <c r="Q186" i="5"/>
  <c r="P186" i="5"/>
  <c r="O186" i="5"/>
  <c r="L186" i="5"/>
  <c r="K186" i="5"/>
  <c r="J186" i="5"/>
  <c r="I186" i="5"/>
  <c r="H186" i="5"/>
  <c r="G186" i="5"/>
  <c r="F186" i="5"/>
  <c r="V185" i="5"/>
  <c r="W185" i="5" s="1"/>
  <c r="S185" i="5"/>
  <c r="R185" i="5"/>
  <c r="Q185" i="5"/>
  <c r="P185" i="5"/>
  <c r="O185" i="5"/>
  <c r="L185" i="5"/>
  <c r="K185" i="5"/>
  <c r="J185" i="5"/>
  <c r="I185" i="5"/>
  <c r="H185" i="5"/>
  <c r="G185" i="5"/>
  <c r="F185" i="5"/>
  <c r="W184" i="5"/>
  <c r="V184" i="5"/>
  <c r="S184" i="5"/>
  <c r="R184" i="5"/>
  <c r="Q184" i="5"/>
  <c r="P184" i="5"/>
  <c r="O184" i="5"/>
  <c r="L184" i="5"/>
  <c r="K184" i="5"/>
  <c r="J184" i="5"/>
  <c r="I184" i="5"/>
  <c r="H184" i="5"/>
  <c r="G184" i="5"/>
  <c r="F184" i="5"/>
  <c r="V183" i="5"/>
  <c r="W183" i="5" s="1"/>
  <c r="S183" i="5"/>
  <c r="R183" i="5"/>
  <c r="Q183" i="5"/>
  <c r="P183" i="5"/>
  <c r="O183" i="5"/>
  <c r="L183" i="5"/>
  <c r="K183" i="5"/>
  <c r="J183" i="5"/>
  <c r="I183" i="5"/>
  <c r="H183" i="5"/>
  <c r="G183" i="5"/>
  <c r="F183" i="5"/>
  <c r="V182" i="5"/>
  <c r="W182" i="5" s="1"/>
  <c r="S182" i="5"/>
  <c r="R182" i="5"/>
  <c r="Q182" i="5"/>
  <c r="P182" i="5"/>
  <c r="O182" i="5"/>
  <c r="L182" i="5"/>
  <c r="K182" i="5"/>
  <c r="J182" i="5"/>
  <c r="I182" i="5"/>
  <c r="H182" i="5"/>
  <c r="G182" i="5"/>
  <c r="F182" i="5"/>
  <c r="V181" i="5"/>
  <c r="W181" i="5" s="1"/>
  <c r="S181" i="5"/>
  <c r="R181" i="5"/>
  <c r="Q181" i="5"/>
  <c r="P181" i="5"/>
  <c r="O181" i="5"/>
  <c r="L181" i="5"/>
  <c r="K181" i="5"/>
  <c r="J181" i="5"/>
  <c r="I181" i="5"/>
  <c r="H181" i="5"/>
  <c r="G181" i="5"/>
  <c r="F181" i="5"/>
  <c r="W180" i="5"/>
  <c r="V180" i="5"/>
  <c r="S180" i="5"/>
  <c r="R180" i="5"/>
  <c r="Q180" i="5"/>
  <c r="P180" i="5"/>
  <c r="O180" i="5"/>
  <c r="L180" i="5"/>
  <c r="K180" i="5"/>
  <c r="J180" i="5"/>
  <c r="I180" i="5"/>
  <c r="H180" i="5"/>
  <c r="G180" i="5"/>
  <c r="F180" i="5"/>
  <c r="W179" i="5"/>
  <c r="V179" i="5"/>
  <c r="S179" i="5"/>
  <c r="R179" i="5"/>
  <c r="Q179" i="5"/>
  <c r="P179" i="5"/>
  <c r="O179" i="5"/>
  <c r="L179" i="5"/>
  <c r="K179" i="5"/>
  <c r="J179" i="5"/>
  <c r="I179" i="5"/>
  <c r="H179" i="5"/>
  <c r="G179" i="5"/>
  <c r="F179" i="5"/>
  <c r="W178" i="5"/>
  <c r="V178" i="5"/>
  <c r="S178" i="5"/>
  <c r="R178" i="5"/>
  <c r="Q178" i="5"/>
  <c r="P178" i="5"/>
  <c r="O178" i="5"/>
  <c r="L178" i="5"/>
  <c r="K178" i="5"/>
  <c r="J178" i="5"/>
  <c r="I178" i="5"/>
  <c r="H178" i="5"/>
  <c r="G178" i="5"/>
  <c r="F178" i="5"/>
  <c r="W177" i="5"/>
  <c r="V177" i="5"/>
  <c r="S177" i="5"/>
  <c r="R177" i="5"/>
  <c r="Q177" i="5"/>
  <c r="P177" i="5"/>
  <c r="O177" i="5"/>
  <c r="L177" i="5"/>
  <c r="K177" i="5"/>
  <c r="J177" i="5"/>
  <c r="I177" i="5"/>
  <c r="H177" i="5"/>
  <c r="G177" i="5"/>
  <c r="F177" i="5"/>
  <c r="W176" i="5"/>
  <c r="V176" i="5"/>
  <c r="S176" i="5"/>
  <c r="R176" i="5"/>
  <c r="Q176" i="5"/>
  <c r="P176" i="5"/>
  <c r="O176" i="5"/>
  <c r="L176" i="5"/>
  <c r="K176" i="5"/>
  <c r="J176" i="5"/>
  <c r="I176" i="5"/>
  <c r="H176" i="5"/>
  <c r="G176" i="5"/>
  <c r="F176" i="5"/>
  <c r="V175" i="5"/>
  <c r="W175" i="5" s="1"/>
  <c r="S175" i="5"/>
  <c r="R175" i="5"/>
  <c r="Q175" i="5"/>
  <c r="P175" i="5"/>
  <c r="O175" i="5"/>
  <c r="L175" i="5"/>
  <c r="K175" i="5"/>
  <c r="J175" i="5"/>
  <c r="I175" i="5"/>
  <c r="H175" i="5"/>
  <c r="G175" i="5"/>
  <c r="F175" i="5"/>
  <c r="W174" i="5"/>
  <c r="V174" i="5"/>
  <c r="S174" i="5"/>
  <c r="R174" i="5"/>
  <c r="Q174" i="5"/>
  <c r="P174" i="5"/>
  <c r="O174" i="5"/>
  <c r="L174" i="5"/>
  <c r="K174" i="5"/>
  <c r="J174" i="5"/>
  <c r="I174" i="5"/>
  <c r="H174" i="5"/>
  <c r="G174" i="5"/>
  <c r="F174" i="5"/>
  <c r="V173" i="5"/>
  <c r="W173" i="5" s="1"/>
  <c r="S173" i="5"/>
  <c r="R173" i="5"/>
  <c r="Q173" i="5"/>
  <c r="P173" i="5"/>
  <c r="O173" i="5"/>
  <c r="L173" i="5"/>
  <c r="K173" i="5"/>
  <c r="J173" i="5"/>
  <c r="I173" i="5"/>
  <c r="H173" i="5"/>
  <c r="G173" i="5"/>
  <c r="F173" i="5"/>
  <c r="V172" i="5"/>
  <c r="W172" i="5" s="1"/>
  <c r="S172" i="5"/>
  <c r="R172" i="5"/>
  <c r="Q172" i="5"/>
  <c r="P172" i="5"/>
  <c r="O172" i="5"/>
  <c r="L172" i="5"/>
  <c r="K172" i="5"/>
  <c r="J172" i="5"/>
  <c r="I172" i="5"/>
  <c r="H172" i="5"/>
  <c r="G172" i="5"/>
  <c r="F172" i="5"/>
  <c r="V171" i="5"/>
  <c r="W171" i="5" s="1"/>
  <c r="S171" i="5"/>
  <c r="R171" i="5"/>
  <c r="Q171" i="5"/>
  <c r="P171" i="5"/>
  <c r="O171" i="5"/>
  <c r="L171" i="5"/>
  <c r="K171" i="5"/>
  <c r="J171" i="5"/>
  <c r="I171" i="5"/>
  <c r="H171" i="5"/>
  <c r="G171" i="5"/>
  <c r="F171" i="5"/>
  <c r="W170" i="5"/>
  <c r="V170" i="5"/>
  <c r="S170" i="5"/>
  <c r="R170" i="5"/>
  <c r="Q170" i="5"/>
  <c r="P170" i="5"/>
  <c r="O170" i="5"/>
  <c r="L170" i="5"/>
  <c r="K170" i="5"/>
  <c r="J170" i="5"/>
  <c r="I170" i="5"/>
  <c r="H170" i="5"/>
  <c r="G170" i="5"/>
  <c r="F170" i="5"/>
  <c r="W169" i="5"/>
  <c r="V169" i="5"/>
  <c r="S169" i="5"/>
  <c r="R169" i="5"/>
  <c r="Q169" i="5"/>
  <c r="P169" i="5"/>
  <c r="O169" i="5"/>
  <c r="L169" i="5"/>
  <c r="K169" i="5"/>
  <c r="J169" i="5"/>
  <c r="I169" i="5"/>
  <c r="H169" i="5"/>
  <c r="G169" i="5"/>
  <c r="F169" i="5"/>
  <c r="W168" i="5"/>
  <c r="V168" i="5"/>
  <c r="S168" i="5"/>
  <c r="R168" i="5"/>
  <c r="Q168" i="5"/>
  <c r="P168" i="5"/>
  <c r="O168" i="5"/>
  <c r="L168" i="5"/>
  <c r="K168" i="5"/>
  <c r="J168" i="5"/>
  <c r="I168" i="5"/>
  <c r="H168" i="5"/>
  <c r="G168" i="5"/>
  <c r="F168" i="5"/>
  <c r="W167" i="5"/>
  <c r="V167" i="5"/>
  <c r="S167" i="5"/>
  <c r="R167" i="5"/>
  <c r="Q167" i="5"/>
  <c r="P167" i="5"/>
  <c r="O167" i="5"/>
  <c r="L167" i="5"/>
  <c r="K167" i="5"/>
  <c r="J167" i="5"/>
  <c r="I167" i="5"/>
  <c r="H167" i="5"/>
  <c r="G167" i="5"/>
  <c r="F167" i="5"/>
  <c r="W166" i="5"/>
  <c r="V166" i="5"/>
  <c r="S166" i="5"/>
  <c r="R166" i="5"/>
  <c r="Q166" i="5"/>
  <c r="P166" i="5"/>
  <c r="O166" i="5"/>
  <c r="L166" i="5"/>
  <c r="K166" i="5"/>
  <c r="J166" i="5"/>
  <c r="I166" i="5"/>
  <c r="H166" i="5"/>
  <c r="G166" i="5"/>
  <c r="F166" i="5"/>
  <c r="V165" i="5"/>
  <c r="W165" i="5" s="1"/>
  <c r="S165" i="5"/>
  <c r="R165" i="5"/>
  <c r="Q165" i="5"/>
  <c r="P165" i="5"/>
  <c r="O165" i="5"/>
  <c r="L165" i="5"/>
  <c r="K165" i="5"/>
  <c r="J165" i="5"/>
  <c r="I165" i="5"/>
  <c r="H165" i="5"/>
  <c r="G165" i="5"/>
  <c r="F165" i="5"/>
  <c r="W164" i="5"/>
  <c r="V164" i="5"/>
  <c r="S164" i="5"/>
  <c r="R164" i="5"/>
  <c r="Q164" i="5"/>
  <c r="P164" i="5"/>
  <c r="O164" i="5"/>
  <c r="L164" i="5"/>
  <c r="K164" i="5"/>
  <c r="J164" i="5"/>
  <c r="I164" i="5"/>
  <c r="H164" i="5"/>
  <c r="G164" i="5"/>
  <c r="F164" i="5"/>
  <c r="V163" i="5"/>
  <c r="W163" i="5" s="1"/>
  <c r="S163" i="5"/>
  <c r="R163" i="5"/>
  <c r="Q163" i="5"/>
  <c r="P163" i="5"/>
  <c r="O163" i="5"/>
  <c r="L163" i="5"/>
  <c r="K163" i="5"/>
  <c r="J163" i="5"/>
  <c r="I163" i="5"/>
  <c r="H163" i="5"/>
  <c r="G163" i="5"/>
  <c r="F163" i="5"/>
  <c r="V162" i="5"/>
  <c r="W162" i="5" s="1"/>
  <c r="S162" i="5"/>
  <c r="R162" i="5"/>
  <c r="Q162" i="5"/>
  <c r="P162" i="5"/>
  <c r="O162" i="5"/>
  <c r="L162" i="5"/>
  <c r="K162" i="5"/>
  <c r="J162" i="5"/>
  <c r="I162" i="5"/>
  <c r="H162" i="5"/>
  <c r="G162" i="5"/>
  <c r="F162" i="5"/>
  <c r="V161" i="5"/>
  <c r="W161" i="5" s="1"/>
  <c r="S161" i="5"/>
  <c r="R161" i="5"/>
  <c r="Q161" i="5"/>
  <c r="P161" i="5"/>
  <c r="O161" i="5"/>
  <c r="L161" i="5"/>
  <c r="K161" i="5"/>
  <c r="J161" i="5"/>
  <c r="I161" i="5"/>
  <c r="H161" i="5"/>
  <c r="G161" i="5"/>
  <c r="F161" i="5"/>
  <c r="W160" i="5"/>
  <c r="V160" i="5"/>
  <c r="S160" i="5"/>
  <c r="R160" i="5"/>
  <c r="Q160" i="5"/>
  <c r="P160" i="5"/>
  <c r="O160" i="5"/>
  <c r="L160" i="5"/>
  <c r="K160" i="5"/>
  <c r="J160" i="5"/>
  <c r="I160" i="5"/>
  <c r="H160" i="5"/>
  <c r="G160" i="5"/>
  <c r="F160" i="5"/>
  <c r="W159" i="5"/>
  <c r="V159" i="5"/>
  <c r="S159" i="5"/>
  <c r="R159" i="5"/>
  <c r="Q159" i="5"/>
  <c r="P159" i="5"/>
  <c r="O159" i="5"/>
  <c r="L159" i="5"/>
  <c r="K159" i="5"/>
  <c r="J159" i="5"/>
  <c r="I159" i="5"/>
  <c r="H159" i="5"/>
  <c r="G159" i="5"/>
  <c r="F159" i="5"/>
  <c r="W158" i="5"/>
  <c r="V158" i="5"/>
  <c r="S158" i="5"/>
  <c r="R158" i="5"/>
  <c r="Q158" i="5"/>
  <c r="P158" i="5"/>
  <c r="O158" i="5"/>
  <c r="L158" i="5"/>
  <c r="K158" i="5"/>
  <c r="J158" i="5"/>
  <c r="I158" i="5"/>
  <c r="H158" i="5"/>
  <c r="G158" i="5"/>
  <c r="F158" i="5"/>
  <c r="W157" i="5"/>
  <c r="V157" i="5"/>
  <c r="S157" i="5"/>
  <c r="R157" i="5"/>
  <c r="Q157" i="5"/>
  <c r="P157" i="5"/>
  <c r="O157" i="5"/>
  <c r="L157" i="5"/>
  <c r="K157" i="5"/>
  <c r="J157" i="5"/>
  <c r="I157" i="5"/>
  <c r="H157" i="5"/>
  <c r="G157" i="5"/>
  <c r="F157" i="5"/>
  <c r="W156" i="5"/>
  <c r="V156" i="5"/>
  <c r="S156" i="5"/>
  <c r="R156" i="5"/>
  <c r="Q156" i="5"/>
  <c r="P156" i="5"/>
  <c r="O156" i="5"/>
  <c r="L156" i="5"/>
  <c r="K156" i="5"/>
  <c r="J156" i="5"/>
  <c r="I156" i="5"/>
  <c r="H156" i="5"/>
  <c r="G156" i="5"/>
  <c r="F156" i="5"/>
  <c r="V155" i="5"/>
  <c r="W155" i="5" s="1"/>
  <c r="S155" i="5"/>
  <c r="R155" i="5"/>
  <c r="Q155" i="5"/>
  <c r="P155" i="5"/>
  <c r="O155" i="5"/>
  <c r="L155" i="5"/>
  <c r="K155" i="5"/>
  <c r="J155" i="5"/>
  <c r="I155" i="5"/>
  <c r="H155" i="5"/>
  <c r="G155" i="5"/>
  <c r="F155" i="5"/>
  <c r="W154" i="5"/>
  <c r="V154" i="5"/>
  <c r="S154" i="5"/>
  <c r="R154" i="5"/>
  <c r="Q154" i="5"/>
  <c r="P154" i="5"/>
  <c r="O154" i="5"/>
  <c r="L154" i="5"/>
  <c r="K154" i="5"/>
  <c r="J154" i="5"/>
  <c r="I154" i="5"/>
  <c r="H154" i="5"/>
  <c r="G154" i="5"/>
  <c r="F154" i="5"/>
  <c r="V153" i="5"/>
  <c r="W153" i="5" s="1"/>
  <c r="S153" i="5"/>
  <c r="R153" i="5"/>
  <c r="Q153" i="5"/>
  <c r="P153" i="5"/>
  <c r="O153" i="5"/>
  <c r="L153" i="5"/>
  <c r="K153" i="5"/>
  <c r="J153" i="5"/>
  <c r="I153" i="5"/>
  <c r="H153" i="5"/>
  <c r="G153" i="5"/>
  <c r="F153" i="5"/>
  <c r="V152" i="5"/>
  <c r="W152" i="5" s="1"/>
  <c r="S152" i="5"/>
  <c r="R152" i="5"/>
  <c r="Q152" i="5"/>
  <c r="P152" i="5"/>
  <c r="O152" i="5"/>
  <c r="L152" i="5"/>
  <c r="K152" i="5"/>
  <c r="J152" i="5"/>
  <c r="I152" i="5"/>
  <c r="H152" i="5"/>
  <c r="G152" i="5"/>
  <c r="F152" i="5"/>
  <c r="V151" i="5"/>
  <c r="W151" i="5" s="1"/>
  <c r="S151" i="5"/>
  <c r="R151" i="5"/>
  <c r="Q151" i="5"/>
  <c r="P151" i="5"/>
  <c r="O151" i="5"/>
  <c r="L151" i="5"/>
  <c r="K151" i="5"/>
  <c r="J151" i="5"/>
  <c r="I151" i="5"/>
  <c r="H151" i="5"/>
  <c r="G151" i="5"/>
  <c r="F151" i="5"/>
  <c r="W150" i="5"/>
  <c r="V150" i="5"/>
  <c r="S150" i="5"/>
  <c r="R150" i="5"/>
  <c r="Q150" i="5"/>
  <c r="P150" i="5"/>
  <c r="O150" i="5"/>
  <c r="L150" i="5"/>
  <c r="K150" i="5"/>
  <c r="J150" i="5"/>
  <c r="I150" i="5"/>
  <c r="H150" i="5"/>
  <c r="G150" i="5"/>
  <c r="F150" i="5"/>
  <c r="W149" i="5"/>
  <c r="V149" i="5"/>
  <c r="S149" i="5"/>
  <c r="R149" i="5"/>
  <c r="Q149" i="5"/>
  <c r="P149" i="5"/>
  <c r="O149" i="5"/>
  <c r="L149" i="5"/>
  <c r="K149" i="5"/>
  <c r="J149" i="5"/>
  <c r="I149" i="5"/>
  <c r="H149" i="5"/>
  <c r="G149" i="5"/>
  <c r="F149" i="5"/>
  <c r="W148" i="5"/>
  <c r="V148" i="5"/>
  <c r="S148" i="5"/>
  <c r="R148" i="5"/>
  <c r="Q148" i="5"/>
  <c r="P148" i="5"/>
  <c r="O148" i="5"/>
  <c r="L148" i="5"/>
  <c r="K148" i="5"/>
  <c r="J148" i="5"/>
  <c r="I148" i="5"/>
  <c r="H148" i="5"/>
  <c r="G148" i="5"/>
  <c r="F148" i="5"/>
  <c r="W147" i="5"/>
  <c r="V147" i="5"/>
  <c r="S147" i="5"/>
  <c r="R147" i="5"/>
  <c r="Q147" i="5"/>
  <c r="P147" i="5"/>
  <c r="O147" i="5"/>
  <c r="L147" i="5"/>
  <c r="K147" i="5"/>
  <c r="J147" i="5"/>
  <c r="I147" i="5"/>
  <c r="H147" i="5"/>
  <c r="G147" i="5"/>
  <c r="F147" i="5"/>
  <c r="W146" i="5"/>
  <c r="V146" i="5"/>
  <c r="S146" i="5"/>
  <c r="R146" i="5"/>
  <c r="Q146" i="5"/>
  <c r="P146" i="5"/>
  <c r="O146" i="5"/>
  <c r="L146" i="5"/>
  <c r="K146" i="5"/>
  <c r="J146" i="5"/>
  <c r="I146" i="5"/>
  <c r="H146" i="5"/>
  <c r="G146" i="5"/>
  <c r="F146" i="5"/>
  <c r="V145" i="5"/>
  <c r="W145" i="5" s="1"/>
  <c r="S145" i="5"/>
  <c r="R145" i="5"/>
  <c r="Q145" i="5"/>
  <c r="P145" i="5"/>
  <c r="O145" i="5"/>
  <c r="L145" i="5"/>
  <c r="K145" i="5"/>
  <c r="J145" i="5"/>
  <c r="I145" i="5"/>
  <c r="H145" i="5"/>
  <c r="G145" i="5"/>
  <c r="F145" i="5"/>
  <c r="W144" i="5"/>
  <c r="V144" i="5"/>
  <c r="S144" i="5"/>
  <c r="R144" i="5"/>
  <c r="Q144" i="5"/>
  <c r="P144" i="5"/>
  <c r="O144" i="5"/>
  <c r="L144" i="5"/>
  <c r="K144" i="5"/>
  <c r="J144" i="5"/>
  <c r="I144" i="5"/>
  <c r="H144" i="5"/>
  <c r="G144" i="5"/>
  <c r="F144" i="5"/>
  <c r="V143" i="5"/>
  <c r="W143" i="5" s="1"/>
  <c r="S143" i="5"/>
  <c r="R143" i="5"/>
  <c r="Q143" i="5"/>
  <c r="P143" i="5"/>
  <c r="O143" i="5"/>
  <c r="L143" i="5"/>
  <c r="K143" i="5"/>
  <c r="J143" i="5"/>
  <c r="I143" i="5"/>
  <c r="H143" i="5"/>
  <c r="G143" i="5"/>
  <c r="F143" i="5"/>
  <c r="V142" i="5"/>
  <c r="W142" i="5" s="1"/>
  <c r="S142" i="5"/>
  <c r="R142" i="5"/>
  <c r="Q142" i="5"/>
  <c r="P142" i="5"/>
  <c r="O142" i="5"/>
  <c r="L142" i="5"/>
  <c r="K142" i="5"/>
  <c r="J142" i="5"/>
  <c r="I142" i="5"/>
  <c r="H142" i="5"/>
  <c r="G142" i="5"/>
  <c r="F142" i="5"/>
  <c r="V141" i="5"/>
  <c r="W141" i="5" s="1"/>
  <c r="S141" i="5"/>
  <c r="R141" i="5"/>
  <c r="Q141" i="5"/>
  <c r="P141" i="5"/>
  <c r="O141" i="5"/>
  <c r="L141" i="5"/>
  <c r="K141" i="5"/>
  <c r="J141" i="5"/>
  <c r="I141" i="5"/>
  <c r="H141" i="5"/>
  <c r="G141" i="5"/>
  <c r="F141" i="5"/>
  <c r="W140" i="5"/>
  <c r="V140" i="5"/>
  <c r="S140" i="5"/>
  <c r="R140" i="5"/>
  <c r="Q140" i="5"/>
  <c r="P140" i="5"/>
  <c r="O140" i="5"/>
  <c r="L140" i="5"/>
  <c r="K140" i="5"/>
  <c r="J140" i="5"/>
  <c r="I140" i="5"/>
  <c r="H140" i="5"/>
  <c r="G140" i="5"/>
  <c r="F140" i="5"/>
  <c r="W139" i="5"/>
  <c r="V139" i="5"/>
  <c r="S139" i="5"/>
  <c r="R139" i="5"/>
  <c r="Q139" i="5"/>
  <c r="P139" i="5"/>
  <c r="O139" i="5"/>
  <c r="L139" i="5"/>
  <c r="K139" i="5"/>
  <c r="J139" i="5"/>
  <c r="I139" i="5"/>
  <c r="H139" i="5"/>
  <c r="G139" i="5"/>
  <c r="F139" i="5"/>
  <c r="W138" i="5"/>
  <c r="V138" i="5"/>
  <c r="S138" i="5"/>
  <c r="R138" i="5"/>
  <c r="Q138" i="5"/>
  <c r="P138" i="5"/>
  <c r="O138" i="5"/>
  <c r="L138" i="5"/>
  <c r="K138" i="5"/>
  <c r="J138" i="5"/>
  <c r="I138" i="5"/>
  <c r="H138" i="5"/>
  <c r="G138" i="5"/>
  <c r="F138" i="5"/>
  <c r="W137" i="5"/>
  <c r="V137" i="5"/>
  <c r="S137" i="5"/>
  <c r="R137" i="5"/>
  <c r="Q137" i="5"/>
  <c r="P137" i="5"/>
  <c r="O137" i="5"/>
  <c r="L137" i="5"/>
  <c r="K137" i="5"/>
  <c r="J137" i="5"/>
  <c r="I137" i="5"/>
  <c r="H137" i="5"/>
  <c r="G137" i="5"/>
  <c r="F137" i="5"/>
  <c r="W136" i="5"/>
  <c r="V136" i="5"/>
  <c r="S136" i="5"/>
  <c r="R136" i="5"/>
  <c r="Q136" i="5"/>
  <c r="P136" i="5"/>
  <c r="O136" i="5"/>
  <c r="L136" i="5"/>
  <c r="K136" i="5"/>
  <c r="J136" i="5"/>
  <c r="I136" i="5"/>
  <c r="H136" i="5"/>
  <c r="G136" i="5"/>
  <c r="F136" i="5"/>
  <c r="V135" i="5"/>
  <c r="W135" i="5" s="1"/>
  <c r="S135" i="5"/>
  <c r="R135" i="5"/>
  <c r="Q135" i="5"/>
  <c r="P135" i="5"/>
  <c r="O135" i="5"/>
  <c r="L135" i="5"/>
  <c r="K135" i="5"/>
  <c r="J135" i="5"/>
  <c r="I135" i="5"/>
  <c r="H135" i="5"/>
  <c r="G135" i="5"/>
  <c r="F135" i="5"/>
  <c r="W134" i="5"/>
  <c r="V134" i="5"/>
  <c r="S134" i="5"/>
  <c r="R134" i="5"/>
  <c r="Q134" i="5"/>
  <c r="P134" i="5"/>
  <c r="O134" i="5"/>
  <c r="L134" i="5"/>
  <c r="K134" i="5"/>
  <c r="J134" i="5"/>
  <c r="I134" i="5"/>
  <c r="H134" i="5"/>
  <c r="G134" i="5"/>
  <c r="F134" i="5"/>
  <c r="V133" i="5"/>
  <c r="W133" i="5" s="1"/>
  <c r="S133" i="5"/>
  <c r="R133" i="5"/>
  <c r="Q133" i="5"/>
  <c r="P133" i="5"/>
  <c r="O133" i="5"/>
  <c r="L133" i="5"/>
  <c r="K133" i="5"/>
  <c r="J133" i="5"/>
  <c r="I133" i="5"/>
  <c r="H133" i="5"/>
  <c r="G133" i="5"/>
  <c r="F133" i="5"/>
  <c r="V132" i="5"/>
  <c r="W132" i="5" s="1"/>
  <c r="S132" i="5"/>
  <c r="R132" i="5"/>
  <c r="Q132" i="5"/>
  <c r="P132" i="5"/>
  <c r="O132" i="5"/>
  <c r="L132" i="5"/>
  <c r="K132" i="5"/>
  <c r="J132" i="5"/>
  <c r="I132" i="5"/>
  <c r="H132" i="5"/>
  <c r="G132" i="5"/>
  <c r="F132" i="5"/>
  <c r="V131" i="5"/>
  <c r="W131" i="5" s="1"/>
  <c r="S131" i="5"/>
  <c r="R131" i="5"/>
  <c r="Q131" i="5"/>
  <c r="P131" i="5"/>
  <c r="O131" i="5"/>
  <c r="L131" i="5"/>
  <c r="K131" i="5"/>
  <c r="J131" i="5"/>
  <c r="I131" i="5"/>
  <c r="H131" i="5"/>
  <c r="G131" i="5"/>
  <c r="F131" i="5"/>
  <c r="W130" i="5"/>
  <c r="V130" i="5"/>
  <c r="S130" i="5"/>
  <c r="R130" i="5"/>
  <c r="Q130" i="5"/>
  <c r="P130" i="5"/>
  <c r="O130" i="5"/>
  <c r="L130" i="5"/>
  <c r="K130" i="5"/>
  <c r="J130" i="5"/>
  <c r="I130" i="5"/>
  <c r="H130" i="5"/>
  <c r="G130" i="5"/>
  <c r="F130" i="5"/>
  <c r="W129" i="5"/>
  <c r="V129" i="5"/>
  <c r="S129" i="5"/>
  <c r="R129" i="5"/>
  <c r="Q129" i="5"/>
  <c r="P129" i="5"/>
  <c r="O129" i="5"/>
  <c r="L129" i="5"/>
  <c r="K129" i="5"/>
  <c r="J129" i="5"/>
  <c r="I129" i="5"/>
  <c r="H129" i="5"/>
  <c r="G129" i="5"/>
  <c r="F129" i="5"/>
  <c r="W128" i="5"/>
  <c r="V128" i="5"/>
  <c r="S128" i="5"/>
  <c r="R128" i="5"/>
  <c r="Q128" i="5"/>
  <c r="P128" i="5"/>
  <c r="O128" i="5"/>
  <c r="L128" i="5"/>
  <c r="K128" i="5"/>
  <c r="J128" i="5"/>
  <c r="I128" i="5"/>
  <c r="H128" i="5"/>
  <c r="G128" i="5"/>
  <c r="F128" i="5"/>
  <c r="W127" i="5"/>
  <c r="V127" i="5"/>
  <c r="S127" i="5"/>
  <c r="R127" i="5"/>
  <c r="Q127" i="5"/>
  <c r="P127" i="5"/>
  <c r="O127" i="5"/>
  <c r="L127" i="5"/>
  <c r="K127" i="5"/>
  <c r="J127" i="5"/>
  <c r="I127" i="5"/>
  <c r="H127" i="5"/>
  <c r="G127" i="5"/>
  <c r="F127" i="5"/>
  <c r="W126" i="5"/>
  <c r="V126" i="5"/>
  <c r="S126" i="5"/>
  <c r="R126" i="5"/>
  <c r="Q126" i="5"/>
  <c r="P126" i="5"/>
  <c r="O126" i="5"/>
  <c r="L126" i="5"/>
  <c r="K126" i="5"/>
  <c r="J126" i="5"/>
  <c r="I126" i="5"/>
  <c r="H126" i="5"/>
  <c r="G126" i="5"/>
  <c r="F126" i="5"/>
  <c r="V125" i="5"/>
  <c r="W125" i="5" s="1"/>
  <c r="S125" i="5"/>
  <c r="R125" i="5"/>
  <c r="Q125" i="5"/>
  <c r="P125" i="5"/>
  <c r="O125" i="5"/>
  <c r="L125" i="5"/>
  <c r="K125" i="5"/>
  <c r="J125" i="5"/>
  <c r="I125" i="5"/>
  <c r="H125" i="5"/>
  <c r="G125" i="5"/>
  <c r="F125" i="5"/>
  <c r="W124" i="5"/>
  <c r="V124" i="5"/>
  <c r="S124" i="5"/>
  <c r="R124" i="5"/>
  <c r="Q124" i="5"/>
  <c r="P124" i="5"/>
  <c r="O124" i="5"/>
  <c r="L124" i="5"/>
  <c r="K124" i="5"/>
  <c r="J124" i="5"/>
  <c r="I124" i="5"/>
  <c r="H124" i="5"/>
  <c r="G124" i="5"/>
  <c r="F124" i="5"/>
  <c r="V123" i="5"/>
  <c r="W123" i="5" s="1"/>
  <c r="S123" i="5"/>
  <c r="R123" i="5"/>
  <c r="Q123" i="5"/>
  <c r="P123" i="5"/>
  <c r="O123" i="5"/>
  <c r="L123" i="5"/>
  <c r="K123" i="5"/>
  <c r="J123" i="5"/>
  <c r="I123" i="5"/>
  <c r="H123" i="5"/>
  <c r="G123" i="5"/>
  <c r="F123" i="5"/>
  <c r="V122" i="5"/>
  <c r="W122" i="5" s="1"/>
  <c r="S122" i="5"/>
  <c r="R122" i="5"/>
  <c r="Q122" i="5"/>
  <c r="P122" i="5"/>
  <c r="O122" i="5"/>
  <c r="L122" i="5"/>
  <c r="K122" i="5"/>
  <c r="J122" i="5"/>
  <c r="I122" i="5"/>
  <c r="H122" i="5"/>
  <c r="G122" i="5"/>
  <c r="F122" i="5"/>
  <c r="V121" i="5"/>
  <c r="W121" i="5" s="1"/>
  <c r="S121" i="5"/>
  <c r="R121" i="5"/>
  <c r="Q121" i="5"/>
  <c r="P121" i="5"/>
  <c r="O121" i="5"/>
  <c r="L121" i="5"/>
  <c r="K121" i="5"/>
  <c r="J121" i="5"/>
  <c r="I121" i="5"/>
  <c r="H121" i="5"/>
  <c r="G121" i="5"/>
  <c r="F121" i="5"/>
  <c r="W120" i="5"/>
  <c r="V120" i="5"/>
  <c r="S120" i="5"/>
  <c r="R120" i="5"/>
  <c r="Q120" i="5"/>
  <c r="P120" i="5"/>
  <c r="O120" i="5"/>
  <c r="L120" i="5"/>
  <c r="K120" i="5"/>
  <c r="J120" i="5"/>
  <c r="I120" i="5"/>
  <c r="H120" i="5"/>
  <c r="G120" i="5"/>
  <c r="F120" i="5"/>
  <c r="W119" i="5"/>
  <c r="V119" i="5"/>
  <c r="S119" i="5"/>
  <c r="R119" i="5"/>
  <c r="Q119" i="5"/>
  <c r="P119" i="5"/>
  <c r="O119" i="5"/>
  <c r="L119" i="5"/>
  <c r="K119" i="5"/>
  <c r="J119" i="5"/>
  <c r="I119" i="5"/>
  <c r="H119" i="5"/>
  <c r="G119" i="5"/>
  <c r="F119" i="5"/>
  <c r="W118" i="5"/>
  <c r="V118" i="5"/>
  <c r="S118" i="5"/>
  <c r="R118" i="5"/>
  <c r="Q118" i="5"/>
  <c r="P118" i="5"/>
  <c r="O118" i="5"/>
  <c r="L118" i="5"/>
  <c r="K118" i="5"/>
  <c r="J118" i="5"/>
  <c r="I118" i="5"/>
  <c r="H118" i="5"/>
  <c r="G118" i="5"/>
  <c r="F118" i="5"/>
  <c r="W117" i="5"/>
  <c r="V117" i="5"/>
  <c r="S117" i="5"/>
  <c r="R117" i="5"/>
  <c r="Q117" i="5"/>
  <c r="P117" i="5"/>
  <c r="O117" i="5"/>
  <c r="L117" i="5"/>
  <c r="K117" i="5"/>
  <c r="J117" i="5"/>
  <c r="I117" i="5"/>
  <c r="H117" i="5"/>
  <c r="G117" i="5"/>
  <c r="F117" i="5"/>
  <c r="W116" i="5"/>
  <c r="V116" i="5"/>
  <c r="S116" i="5"/>
  <c r="R116" i="5"/>
  <c r="Q116" i="5"/>
  <c r="P116" i="5"/>
  <c r="O116" i="5"/>
  <c r="L116" i="5"/>
  <c r="K116" i="5"/>
  <c r="J116" i="5"/>
  <c r="I116" i="5"/>
  <c r="H116" i="5"/>
  <c r="G116" i="5"/>
  <c r="F116" i="5"/>
  <c r="V115" i="5"/>
  <c r="W115" i="5" s="1"/>
  <c r="S115" i="5"/>
  <c r="R115" i="5"/>
  <c r="Q115" i="5"/>
  <c r="P115" i="5"/>
  <c r="O115" i="5"/>
  <c r="L115" i="5"/>
  <c r="K115" i="5"/>
  <c r="J115" i="5"/>
  <c r="I115" i="5"/>
  <c r="H115" i="5"/>
  <c r="G115" i="5"/>
  <c r="F115" i="5"/>
  <c r="W114" i="5"/>
  <c r="V114" i="5"/>
  <c r="S114" i="5"/>
  <c r="R114" i="5"/>
  <c r="Q114" i="5"/>
  <c r="P114" i="5"/>
  <c r="O114" i="5"/>
  <c r="L114" i="5"/>
  <c r="K114" i="5"/>
  <c r="J114" i="5"/>
  <c r="I114" i="5"/>
  <c r="H114" i="5"/>
  <c r="G114" i="5"/>
  <c r="F114" i="5"/>
  <c r="V113" i="5"/>
  <c r="W113" i="5" s="1"/>
  <c r="S113" i="5"/>
  <c r="R113" i="5"/>
  <c r="Q113" i="5"/>
  <c r="P113" i="5"/>
  <c r="O113" i="5"/>
  <c r="L113" i="5"/>
  <c r="K113" i="5"/>
  <c r="J113" i="5"/>
  <c r="I113" i="5"/>
  <c r="H113" i="5"/>
  <c r="G113" i="5"/>
  <c r="F113" i="5"/>
  <c r="V112" i="5"/>
  <c r="W112" i="5" s="1"/>
  <c r="S112" i="5"/>
  <c r="R112" i="5"/>
  <c r="Q112" i="5"/>
  <c r="P112" i="5"/>
  <c r="O112" i="5"/>
  <c r="L112" i="5"/>
  <c r="K112" i="5"/>
  <c r="J112" i="5"/>
  <c r="I112" i="5"/>
  <c r="H112" i="5"/>
  <c r="G112" i="5"/>
  <c r="F112" i="5"/>
  <c r="V111" i="5"/>
  <c r="W111" i="5" s="1"/>
  <c r="S111" i="5"/>
  <c r="R111" i="5"/>
  <c r="Q111" i="5"/>
  <c r="P111" i="5"/>
  <c r="O111" i="5"/>
  <c r="L111" i="5"/>
  <c r="K111" i="5"/>
  <c r="J111" i="5"/>
  <c r="I111" i="5"/>
  <c r="H111" i="5"/>
  <c r="G111" i="5"/>
  <c r="F111" i="5"/>
  <c r="W110" i="5"/>
  <c r="V110" i="5"/>
  <c r="S110" i="5"/>
  <c r="R110" i="5"/>
  <c r="Q110" i="5"/>
  <c r="P110" i="5"/>
  <c r="O110" i="5"/>
  <c r="L110" i="5"/>
  <c r="K110" i="5"/>
  <c r="J110" i="5"/>
  <c r="I110" i="5"/>
  <c r="H110" i="5"/>
  <c r="G110" i="5"/>
  <c r="F110" i="5"/>
  <c r="W109" i="5"/>
  <c r="V109" i="5"/>
  <c r="S109" i="5"/>
  <c r="R109" i="5"/>
  <c r="Q109" i="5"/>
  <c r="P109" i="5"/>
  <c r="O109" i="5"/>
  <c r="L109" i="5"/>
  <c r="K109" i="5"/>
  <c r="J109" i="5"/>
  <c r="I109" i="5"/>
  <c r="H109" i="5"/>
  <c r="G109" i="5"/>
  <c r="F109" i="5"/>
  <c r="W108" i="5"/>
  <c r="V108" i="5"/>
  <c r="S108" i="5"/>
  <c r="R108" i="5"/>
  <c r="Q108" i="5"/>
  <c r="P108" i="5"/>
  <c r="O108" i="5"/>
  <c r="L108" i="5"/>
  <c r="K108" i="5"/>
  <c r="J108" i="5"/>
  <c r="I108" i="5"/>
  <c r="H108" i="5"/>
  <c r="G108" i="5"/>
  <c r="F108" i="5"/>
  <c r="W107" i="5"/>
  <c r="V107" i="5"/>
  <c r="S107" i="5"/>
  <c r="R107" i="5"/>
  <c r="Q107" i="5"/>
  <c r="P107" i="5"/>
  <c r="O107" i="5"/>
  <c r="L107" i="5"/>
  <c r="K107" i="5"/>
  <c r="J107" i="5"/>
  <c r="I107" i="5"/>
  <c r="H107" i="5"/>
  <c r="G107" i="5"/>
  <c r="F107" i="5"/>
  <c r="W106" i="5"/>
  <c r="V106" i="5"/>
  <c r="S106" i="5"/>
  <c r="R106" i="5"/>
  <c r="Q106" i="5"/>
  <c r="P106" i="5"/>
  <c r="O106" i="5"/>
  <c r="L106" i="5"/>
  <c r="K106" i="5"/>
  <c r="J106" i="5" s="1"/>
  <c r="H106" i="5"/>
  <c r="G106" i="5"/>
  <c r="F106" i="5"/>
  <c r="I106" i="5" s="1"/>
  <c r="V105" i="5"/>
  <c r="W105" i="5" s="1"/>
  <c r="O105" i="5" s="1"/>
  <c r="S105" i="5"/>
  <c r="Q105" i="5"/>
  <c r="R105" i="5" s="1"/>
  <c r="P105" i="5"/>
  <c r="K105" i="5"/>
  <c r="H105" i="5" s="1"/>
  <c r="J105" i="5"/>
  <c r="G105" i="5"/>
  <c r="W104" i="5"/>
  <c r="V104" i="5"/>
  <c r="S104" i="5"/>
  <c r="Q104" i="5"/>
  <c r="R104" i="5" s="1"/>
  <c r="P104" i="5"/>
  <c r="O104" i="5"/>
  <c r="L104" i="5"/>
  <c r="K104" i="5"/>
  <c r="J104" i="5"/>
  <c r="I104" i="5"/>
  <c r="H104" i="5"/>
  <c r="G104" i="5"/>
  <c r="F104" i="5"/>
  <c r="V103" i="5"/>
  <c r="W103" i="5" s="1"/>
  <c r="O103" i="5" s="1"/>
  <c r="S103" i="5"/>
  <c r="Q103" i="5"/>
  <c r="R103" i="5" s="1"/>
  <c r="P103" i="5"/>
  <c r="K103" i="5"/>
  <c r="L103" i="5" s="1"/>
  <c r="J103" i="5"/>
  <c r="H103" i="5"/>
  <c r="G103" i="5"/>
  <c r="F103" i="5"/>
  <c r="I103" i="5" s="1"/>
  <c r="V102" i="5"/>
  <c r="W102" i="5" s="1"/>
  <c r="O102" i="5" s="1"/>
  <c r="S102" i="5"/>
  <c r="R102" i="5"/>
  <c r="Q102" i="5"/>
  <c r="P102" i="5"/>
  <c r="L102" i="5"/>
  <c r="K102" i="5"/>
  <c r="J102" i="5" s="1"/>
  <c r="V101" i="5"/>
  <c r="W101" i="5" s="1"/>
  <c r="O101" i="5" s="1"/>
  <c r="S101" i="5"/>
  <c r="R101" i="5"/>
  <c r="Q101" i="5"/>
  <c r="P101" i="5"/>
  <c r="L101" i="5"/>
  <c r="K101" i="5"/>
  <c r="J101" i="5" s="1"/>
  <c r="W100" i="5"/>
  <c r="O100" i="5" s="1"/>
  <c r="V100" i="5"/>
  <c r="S100" i="5"/>
  <c r="R100" i="5"/>
  <c r="Q100" i="5"/>
  <c r="P100" i="5"/>
  <c r="K100" i="5"/>
  <c r="L100" i="5" s="1"/>
  <c r="H100" i="5"/>
  <c r="F100" i="5"/>
  <c r="I100" i="5" s="1"/>
  <c r="V99" i="5"/>
  <c r="W99" i="5" s="1"/>
  <c r="O99" i="5" s="1"/>
  <c r="S99" i="5"/>
  <c r="Q99" i="5"/>
  <c r="R99" i="5" s="1"/>
  <c r="P99" i="5"/>
  <c r="K99" i="5"/>
  <c r="L99" i="5" s="1"/>
  <c r="W98" i="5"/>
  <c r="V98" i="5"/>
  <c r="S98" i="5"/>
  <c r="R98" i="5"/>
  <c r="Q98" i="5"/>
  <c r="P98" i="5"/>
  <c r="O98" i="5"/>
  <c r="L98" i="5"/>
  <c r="K98" i="5"/>
  <c r="F98" i="5" s="1"/>
  <c r="I98" i="5" s="1"/>
  <c r="H98" i="5"/>
  <c r="W97" i="5"/>
  <c r="O97" i="5" s="1"/>
  <c r="V97" i="5"/>
  <c r="S97" i="5"/>
  <c r="Q97" i="5"/>
  <c r="R97" i="5" s="1"/>
  <c r="P97" i="5"/>
  <c r="L97" i="5"/>
  <c r="K97" i="5"/>
  <c r="J97" i="5"/>
  <c r="H97" i="5"/>
  <c r="G97" i="5"/>
  <c r="F97" i="5"/>
  <c r="I97" i="5" s="1"/>
  <c r="W96" i="5"/>
  <c r="V96" i="5"/>
  <c r="S96" i="5"/>
  <c r="R96" i="5"/>
  <c r="Q96" i="5"/>
  <c r="P96" i="5"/>
  <c r="O96" i="5"/>
  <c r="L96" i="5"/>
  <c r="K96" i="5"/>
  <c r="J96" i="5" s="1"/>
  <c r="H96" i="5"/>
  <c r="G96" i="5"/>
  <c r="F96" i="5"/>
  <c r="I96" i="5" s="1"/>
  <c r="V95" i="5"/>
  <c r="W95" i="5" s="1"/>
  <c r="O95" i="5" s="1"/>
  <c r="S95" i="5"/>
  <c r="Q95" i="5"/>
  <c r="R95" i="5" s="1"/>
  <c r="P95" i="5"/>
  <c r="L95" i="5"/>
  <c r="K95" i="5"/>
  <c r="H95" i="5" s="1"/>
  <c r="J95" i="5"/>
  <c r="G95" i="5"/>
  <c r="S94" i="5"/>
  <c r="K94" i="5"/>
  <c r="H94" i="5" s="1"/>
  <c r="V93" i="5"/>
  <c r="W93" i="5" s="1"/>
  <c r="O93" i="5" s="1"/>
  <c r="S93" i="5"/>
  <c r="Q93" i="5"/>
  <c r="R93" i="5" s="1"/>
  <c r="P93" i="5"/>
  <c r="K93" i="5"/>
  <c r="L93" i="5" s="1"/>
  <c r="J93" i="5"/>
  <c r="H93" i="5"/>
  <c r="G93" i="5"/>
  <c r="F93" i="5"/>
  <c r="I93" i="5" s="1"/>
  <c r="V92" i="5"/>
  <c r="W92" i="5" s="1"/>
  <c r="O92" i="5" s="1"/>
  <c r="S92" i="5"/>
  <c r="R92" i="5"/>
  <c r="Q92" i="5"/>
  <c r="P92" i="5"/>
  <c r="L92" i="5"/>
  <c r="K92" i="5"/>
  <c r="J92" i="5" s="1"/>
  <c r="V91" i="5"/>
  <c r="W91" i="5" s="1"/>
  <c r="O91" i="5" s="1"/>
  <c r="S91" i="5"/>
  <c r="R91" i="5"/>
  <c r="Q91" i="5"/>
  <c r="P91" i="5"/>
  <c r="L91" i="5"/>
  <c r="K91" i="5"/>
  <c r="J91" i="5" s="1"/>
  <c r="W90" i="5"/>
  <c r="V90" i="5"/>
  <c r="S90" i="5"/>
  <c r="R90" i="5"/>
  <c r="Q90" i="5"/>
  <c r="P90" i="5"/>
  <c r="O90" i="5"/>
  <c r="K90" i="5"/>
  <c r="L90" i="5" s="1"/>
  <c r="H90" i="5"/>
  <c r="F90" i="5"/>
  <c r="I90" i="5" s="1"/>
  <c r="W89" i="5"/>
  <c r="V89" i="5"/>
  <c r="S89" i="5"/>
  <c r="R89" i="5"/>
  <c r="Q89" i="5"/>
  <c r="P89" i="5"/>
  <c r="O89" i="5"/>
  <c r="L89" i="5"/>
  <c r="K89" i="5"/>
  <c r="J89" i="5"/>
  <c r="I89" i="5"/>
  <c r="H89" i="5"/>
  <c r="G89" i="5"/>
  <c r="F89" i="5"/>
  <c r="W88" i="5"/>
  <c r="V88" i="5"/>
  <c r="S88" i="5"/>
  <c r="R88" i="5"/>
  <c r="Q88" i="5"/>
  <c r="P88" i="5"/>
  <c r="O88" i="5"/>
  <c r="L88" i="5"/>
  <c r="K88" i="5"/>
  <c r="J88" i="5"/>
  <c r="I88" i="5"/>
  <c r="H88" i="5"/>
  <c r="G88" i="5"/>
  <c r="F88" i="5"/>
  <c r="W87" i="5"/>
  <c r="V87" i="5"/>
  <c r="S87" i="5"/>
  <c r="R87" i="5"/>
  <c r="Q87" i="5"/>
  <c r="P87" i="5"/>
  <c r="O87" i="5"/>
  <c r="L87" i="5"/>
  <c r="K87" i="5"/>
  <c r="J87" i="5"/>
  <c r="I87" i="5"/>
  <c r="H87" i="5"/>
  <c r="G87" i="5"/>
  <c r="F87" i="5"/>
  <c r="W86" i="5"/>
  <c r="V86" i="5"/>
  <c r="S86" i="5"/>
  <c r="R86" i="5"/>
  <c r="Q86" i="5"/>
  <c r="P86" i="5"/>
  <c r="O86" i="5"/>
  <c r="L86" i="5"/>
  <c r="K86" i="5"/>
  <c r="J86" i="5"/>
  <c r="I86" i="5"/>
  <c r="H86" i="5"/>
  <c r="G86" i="5"/>
  <c r="F86" i="5"/>
  <c r="V85" i="5"/>
  <c r="W85" i="5" s="1"/>
  <c r="S85" i="5"/>
  <c r="R85" i="5"/>
  <c r="Q85" i="5"/>
  <c r="P85" i="5"/>
  <c r="O85" i="5"/>
  <c r="L85" i="5"/>
  <c r="K85" i="5"/>
  <c r="J85" i="5"/>
  <c r="I85" i="5"/>
  <c r="H85" i="5"/>
  <c r="G85" i="5"/>
  <c r="F85" i="5"/>
  <c r="V84" i="5"/>
  <c r="W84" i="5" s="1"/>
  <c r="O84" i="5" s="1"/>
  <c r="S84" i="5"/>
  <c r="Q84" i="5"/>
  <c r="R84" i="5" s="1"/>
  <c r="P84" i="5"/>
  <c r="L84" i="5"/>
  <c r="K84" i="5"/>
  <c r="J84" i="5"/>
  <c r="I84" i="5"/>
  <c r="H84" i="5"/>
  <c r="G84" i="5"/>
  <c r="F84" i="5"/>
  <c r="V83" i="5"/>
  <c r="W83" i="5" s="1"/>
  <c r="O83" i="5" s="1"/>
  <c r="S83" i="5"/>
  <c r="Q83" i="5"/>
  <c r="R83" i="5" s="1"/>
  <c r="P83" i="5"/>
  <c r="L83" i="5"/>
  <c r="K83" i="5"/>
  <c r="J83" i="5"/>
  <c r="H83" i="5"/>
  <c r="G83" i="5"/>
  <c r="F83" i="5"/>
  <c r="I83" i="5" s="1"/>
  <c r="V82" i="5"/>
  <c r="W82" i="5" s="1"/>
  <c r="O82" i="5" s="1"/>
  <c r="S82" i="5"/>
  <c r="R82" i="5"/>
  <c r="Q82" i="5"/>
  <c r="P82" i="5"/>
  <c r="L82" i="5"/>
  <c r="K82" i="5"/>
  <c r="J82" i="5" s="1"/>
  <c r="V81" i="5"/>
  <c r="W81" i="5" s="1"/>
  <c r="O81" i="5" s="1"/>
  <c r="S81" i="5"/>
  <c r="R81" i="5"/>
  <c r="Q81" i="5"/>
  <c r="P81" i="5"/>
  <c r="L81" i="5"/>
  <c r="K81" i="5"/>
  <c r="J81" i="5" s="1"/>
  <c r="W80" i="5"/>
  <c r="V80" i="5"/>
  <c r="S80" i="5"/>
  <c r="R80" i="5"/>
  <c r="Q80" i="5"/>
  <c r="P80" i="5"/>
  <c r="O80" i="5"/>
  <c r="K80" i="5"/>
  <c r="L80" i="5" s="1"/>
  <c r="H80" i="5"/>
  <c r="F80" i="5"/>
  <c r="I80" i="5" s="1"/>
  <c r="W79" i="5"/>
  <c r="V79" i="5"/>
  <c r="S79" i="5"/>
  <c r="R79" i="5"/>
  <c r="Q79" i="5"/>
  <c r="P79" i="5"/>
  <c r="O79" i="5"/>
  <c r="L79" i="5"/>
  <c r="K79" i="5"/>
  <c r="J79" i="5"/>
  <c r="I79" i="5"/>
  <c r="H79" i="5"/>
  <c r="G79" i="5"/>
  <c r="F79" i="5"/>
  <c r="W78" i="5"/>
  <c r="V78" i="5"/>
  <c r="S78" i="5"/>
  <c r="R78" i="5"/>
  <c r="Q78" i="5"/>
  <c r="P78" i="5"/>
  <c r="O78" i="5"/>
  <c r="L78" i="5"/>
  <c r="K78" i="5"/>
  <c r="J78" i="5"/>
  <c r="I78" i="5"/>
  <c r="H78" i="5"/>
  <c r="G78" i="5"/>
  <c r="F78" i="5"/>
  <c r="W77" i="5"/>
  <c r="V77" i="5"/>
  <c r="S77" i="5"/>
  <c r="R77" i="5"/>
  <c r="Q77" i="5"/>
  <c r="P77" i="5"/>
  <c r="O77" i="5"/>
  <c r="L77" i="5"/>
  <c r="K77" i="5"/>
  <c r="J77" i="5"/>
  <c r="I77" i="5"/>
  <c r="H77" i="5"/>
  <c r="G77" i="5"/>
  <c r="F77" i="5"/>
  <c r="W76" i="5"/>
  <c r="V76" i="5"/>
  <c r="S76" i="5"/>
  <c r="R76" i="5"/>
  <c r="Q76" i="5"/>
  <c r="P76" i="5"/>
  <c r="O76" i="5"/>
  <c r="L76" i="5"/>
  <c r="K76" i="5"/>
  <c r="J76" i="5"/>
  <c r="I76" i="5"/>
  <c r="H76" i="5"/>
  <c r="G76" i="5"/>
  <c r="F76" i="5"/>
  <c r="V75" i="5"/>
  <c r="W75" i="5" s="1"/>
  <c r="O75" i="5" s="1"/>
  <c r="S75" i="5"/>
  <c r="R75" i="5"/>
  <c r="Q75" i="5"/>
  <c r="P75" i="5"/>
  <c r="L75" i="5"/>
  <c r="K75" i="5"/>
  <c r="H75" i="5" s="1"/>
  <c r="J75" i="5"/>
  <c r="G75" i="5"/>
  <c r="V74" i="5"/>
  <c r="W74" i="5" s="1"/>
  <c r="O74" i="5" s="1"/>
  <c r="S74" i="5"/>
  <c r="Q74" i="5"/>
  <c r="R74" i="5" s="1"/>
  <c r="P74" i="5"/>
  <c r="L74" i="5"/>
  <c r="K74" i="5"/>
  <c r="J74" i="5"/>
  <c r="I74" i="5"/>
  <c r="H74" i="5"/>
  <c r="G74" i="5"/>
  <c r="F74" i="5"/>
  <c r="V73" i="5"/>
  <c r="W73" i="5" s="1"/>
  <c r="O73" i="5" s="1"/>
  <c r="S73" i="5"/>
  <c r="Q73" i="5"/>
  <c r="R73" i="5" s="1"/>
  <c r="P73" i="5"/>
  <c r="L73" i="5"/>
  <c r="K73" i="5"/>
  <c r="J73" i="5"/>
  <c r="H73" i="5"/>
  <c r="G73" i="5"/>
  <c r="F73" i="5"/>
  <c r="I73" i="5" s="1"/>
  <c r="V72" i="5"/>
  <c r="W72" i="5" s="1"/>
  <c r="O72" i="5" s="1"/>
  <c r="S72" i="5"/>
  <c r="R72" i="5"/>
  <c r="Q72" i="5"/>
  <c r="P72" i="5"/>
  <c r="L72" i="5"/>
  <c r="K72" i="5"/>
  <c r="J72" i="5" s="1"/>
  <c r="V71" i="5"/>
  <c r="W71" i="5" s="1"/>
  <c r="O71" i="5" s="1"/>
  <c r="S71" i="5"/>
  <c r="R71" i="5"/>
  <c r="Q71" i="5"/>
  <c r="P71" i="5"/>
  <c r="K71" i="5"/>
  <c r="J71" i="5" s="1"/>
  <c r="W70" i="5"/>
  <c r="V70" i="5"/>
  <c r="S70" i="5"/>
  <c r="R70" i="5"/>
  <c r="Q70" i="5"/>
  <c r="P70" i="5"/>
  <c r="O70" i="5"/>
  <c r="K70" i="5"/>
  <c r="L70" i="5" s="1"/>
  <c r="H70" i="5"/>
  <c r="F70" i="5"/>
  <c r="I70" i="5" s="1"/>
  <c r="W69" i="5"/>
  <c r="V69" i="5"/>
  <c r="S69" i="5"/>
  <c r="R69" i="5"/>
  <c r="Q69" i="5"/>
  <c r="P69" i="5"/>
  <c r="O69" i="5"/>
  <c r="L69" i="5"/>
  <c r="K69" i="5"/>
  <c r="J69" i="5"/>
  <c r="I69" i="5"/>
  <c r="H69" i="5"/>
  <c r="G69" i="5"/>
  <c r="F69" i="5"/>
  <c r="W68" i="5"/>
  <c r="V68" i="5"/>
  <c r="S68" i="5"/>
  <c r="R68" i="5"/>
  <c r="Q68" i="5"/>
  <c r="P68" i="5"/>
  <c r="O68" i="5"/>
  <c r="L68" i="5"/>
  <c r="K68" i="5"/>
  <c r="J68" i="5"/>
  <c r="I68" i="5"/>
  <c r="H68" i="5"/>
  <c r="G68" i="5"/>
  <c r="F68" i="5"/>
  <c r="W67" i="5"/>
  <c r="O67" i="5" s="1"/>
  <c r="V67" i="5"/>
  <c r="S67" i="5"/>
  <c r="R67" i="5"/>
  <c r="Q67" i="5"/>
  <c r="P67" i="5"/>
  <c r="L67" i="5"/>
  <c r="K67" i="5"/>
  <c r="J67" i="5"/>
  <c r="H67" i="5"/>
  <c r="G67" i="5"/>
  <c r="F67" i="5"/>
  <c r="I67" i="5" s="1"/>
  <c r="W66" i="5"/>
  <c r="V66" i="5"/>
  <c r="S66" i="5"/>
  <c r="R66" i="5"/>
  <c r="Q66" i="5"/>
  <c r="P66" i="5"/>
  <c r="O66" i="5"/>
  <c r="L66" i="5"/>
  <c r="K66" i="5"/>
  <c r="J66" i="5"/>
  <c r="H66" i="5"/>
  <c r="G66" i="5"/>
  <c r="F66" i="5"/>
  <c r="I66" i="5" s="1"/>
  <c r="V65" i="5"/>
  <c r="W65" i="5" s="1"/>
  <c r="O65" i="5" s="1"/>
  <c r="S65" i="5"/>
  <c r="Q65" i="5"/>
  <c r="R65" i="5" s="1"/>
  <c r="P65" i="5"/>
  <c r="L65" i="5"/>
  <c r="K65" i="5"/>
  <c r="H65" i="5" s="1"/>
  <c r="J65" i="5"/>
  <c r="G65" i="5"/>
  <c r="V64" i="5"/>
  <c r="W64" i="5" s="1"/>
  <c r="O64" i="5" s="1"/>
  <c r="S64" i="5"/>
  <c r="Q64" i="5"/>
  <c r="R64" i="5" s="1"/>
  <c r="P64" i="5"/>
  <c r="L64" i="5"/>
  <c r="K64" i="5"/>
  <c r="J64" i="5"/>
  <c r="I64" i="5"/>
  <c r="H64" i="5"/>
  <c r="G64" i="5"/>
  <c r="F64" i="5"/>
  <c r="V63" i="5"/>
  <c r="W63" i="5" s="1"/>
  <c r="O63" i="5" s="1"/>
  <c r="S63" i="5"/>
  <c r="Q63" i="5"/>
  <c r="R63" i="5" s="1"/>
  <c r="P63" i="5"/>
  <c r="L63" i="5"/>
  <c r="K63" i="5"/>
  <c r="G63" i="5" s="1"/>
  <c r="J63" i="5"/>
  <c r="H63" i="5"/>
  <c r="F63" i="5"/>
  <c r="I63" i="5" s="1"/>
  <c r="V62" i="5"/>
  <c r="W62" i="5" s="1"/>
  <c r="O62" i="5" s="1"/>
  <c r="S62" i="5"/>
  <c r="R62" i="5"/>
  <c r="Q62" i="5"/>
  <c r="P62" i="5"/>
  <c r="L62" i="5"/>
  <c r="K62" i="5"/>
  <c r="J62" i="5" s="1"/>
  <c r="V61" i="5"/>
  <c r="W61" i="5" s="1"/>
  <c r="O61" i="5" s="1"/>
  <c r="S61" i="5"/>
  <c r="R61" i="5"/>
  <c r="Q61" i="5"/>
  <c r="P61" i="5"/>
  <c r="K61" i="5"/>
  <c r="L61" i="5" s="1"/>
  <c r="W60" i="5"/>
  <c r="V60" i="5"/>
  <c r="S60" i="5"/>
  <c r="R60" i="5"/>
  <c r="Q60" i="5"/>
  <c r="P60" i="5"/>
  <c r="O60" i="5"/>
  <c r="K60" i="5"/>
  <c r="L60" i="5" s="1"/>
  <c r="H60" i="5"/>
  <c r="F60" i="5"/>
  <c r="I60" i="5" s="1"/>
  <c r="W59" i="5"/>
  <c r="V59" i="5"/>
  <c r="S59" i="5"/>
  <c r="R59" i="5"/>
  <c r="Q59" i="5"/>
  <c r="P59" i="5"/>
  <c r="O59" i="5"/>
  <c r="L59" i="5"/>
  <c r="K59" i="5"/>
  <c r="J59" i="5"/>
  <c r="I59" i="5"/>
  <c r="H59" i="5"/>
  <c r="G59" i="5"/>
  <c r="F59" i="5"/>
  <c r="W58" i="5"/>
  <c r="V58" i="5"/>
  <c r="S58" i="5"/>
  <c r="R58" i="5"/>
  <c r="Q58" i="5"/>
  <c r="P58" i="5"/>
  <c r="O58" i="5"/>
  <c r="L58" i="5"/>
  <c r="K58" i="5"/>
  <c r="J58" i="5"/>
  <c r="I58" i="5"/>
  <c r="H58" i="5"/>
  <c r="G58" i="5"/>
  <c r="F58" i="5"/>
  <c r="W57" i="5"/>
  <c r="V57" i="5"/>
  <c r="S57" i="5"/>
  <c r="R57" i="5"/>
  <c r="Q57" i="5"/>
  <c r="P57" i="5"/>
  <c r="O57" i="5"/>
  <c r="L57" i="5"/>
  <c r="K57" i="5"/>
  <c r="J57" i="5"/>
  <c r="I57" i="5"/>
  <c r="H57" i="5"/>
  <c r="G57" i="5"/>
  <c r="F57" i="5"/>
  <c r="W56" i="5"/>
  <c r="V56" i="5"/>
  <c r="S56" i="5"/>
  <c r="R56" i="5"/>
  <c r="Q56" i="5"/>
  <c r="P56" i="5"/>
  <c r="O56" i="5"/>
  <c r="L56" i="5"/>
  <c r="K56" i="5"/>
  <c r="J56" i="5"/>
  <c r="I56" i="5"/>
  <c r="H56" i="5"/>
  <c r="G56" i="5"/>
  <c r="F56" i="5"/>
  <c r="V55" i="5"/>
  <c r="W55" i="5" s="1"/>
  <c r="S55" i="5"/>
  <c r="R55" i="5"/>
  <c r="Q55" i="5"/>
  <c r="P55" i="5"/>
  <c r="O55" i="5"/>
  <c r="L55" i="5"/>
  <c r="K55" i="5"/>
  <c r="J55" i="5"/>
  <c r="I55" i="5"/>
  <c r="H55" i="5"/>
  <c r="G55" i="5"/>
  <c r="F55" i="5"/>
  <c r="V54" i="5"/>
  <c r="W54" i="5" s="1"/>
  <c r="S54" i="5"/>
  <c r="R54" i="5"/>
  <c r="Q54" i="5"/>
  <c r="P54" i="5"/>
  <c r="O54" i="5"/>
  <c r="L54" i="5"/>
  <c r="K54" i="5"/>
  <c r="J54" i="5"/>
  <c r="I54" i="5"/>
  <c r="H54" i="5"/>
  <c r="G54" i="5"/>
  <c r="F54" i="5"/>
  <c r="V53" i="5"/>
  <c r="W53" i="5" s="1"/>
  <c r="S53" i="5"/>
  <c r="R53" i="5"/>
  <c r="Q53" i="5"/>
  <c r="P53" i="5"/>
  <c r="O53" i="5"/>
  <c r="L53" i="5"/>
  <c r="K53" i="5"/>
  <c r="J53" i="5"/>
  <c r="I53" i="5"/>
  <c r="H53" i="5"/>
  <c r="G53" i="5"/>
  <c r="F53" i="5"/>
  <c r="V52" i="5"/>
  <c r="W52" i="5" s="1"/>
  <c r="S52" i="5"/>
  <c r="R52" i="5"/>
  <c r="Q52" i="5"/>
  <c r="P52" i="5"/>
  <c r="O52" i="5"/>
  <c r="L52" i="5"/>
  <c r="K52" i="5"/>
  <c r="J52" i="5"/>
  <c r="I52" i="5"/>
  <c r="H52" i="5"/>
  <c r="G52" i="5"/>
  <c r="F52" i="5"/>
  <c r="V51" i="5"/>
  <c r="W51" i="5" s="1"/>
  <c r="S51" i="5"/>
  <c r="R51" i="5"/>
  <c r="Q51" i="5"/>
  <c r="P51" i="5"/>
  <c r="O51" i="5"/>
  <c r="L51" i="5"/>
  <c r="K51" i="5"/>
  <c r="J51" i="5"/>
  <c r="I51" i="5"/>
  <c r="H51" i="5"/>
  <c r="G51" i="5"/>
  <c r="F51" i="5"/>
  <c r="W50" i="5"/>
  <c r="V50" i="5"/>
  <c r="S50" i="5"/>
  <c r="R50" i="5"/>
  <c r="Q50" i="5"/>
  <c r="P50" i="5"/>
  <c r="O50" i="5"/>
  <c r="L50" i="5"/>
  <c r="K50" i="5"/>
  <c r="J50" i="5"/>
  <c r="I50" i="5"/>
  <c r="H50" i="5"/>
  <c r="G50" i="5"/>
  <c r="F50" i="5"/>
  <c r="W49" i="5"/>
  <c r="V49" i="5"/>
  <c r="S49" i="5"/>
  <c r="R49" i="5"/>
  <c r="Q49" i="5"/>
  <c r="P49" i="5"/>
  <c r="O49" i="5"/>
  <c r="L49" i="5"/>
  <c r="K49" i="5"/>
  <c r="J49" i="5"/>
  <c r="I49" i="5"/>
  <c r="H49" i="5"/>
  <c r="G49" i="5"/>
  <c r="F49" i="5"/>
  <c r="W48" i="5"/>
  <c r="V48" i="5"/>
  <c r="S48" i="5"/>
  <c r="R48" i="5"/>
  <c r="Q48" i="5"/>
  <c r="P48" i="5"/>
  <c r="O48" i="5"/>
  <c r="L48" i="5"/>
  <c r="K48" i="5"/>
  <c r="J48" i="5"/>
  <c r="I48" i="5"/>
  <c r="H48" i="5"/>
  <c r="G48" i="5"/>
  <c r="F48" i="5"/>
  <c r="W47" i="5"/>
  <c r="O47" i="5" s="1"/>
  <c r="V47" i="5"/>
  <c r="S47" i="5"/>
  <c r="R47" i="5"/>
  <c r="Q47" i="5"/>
  <c r="P47" i="5"/>
  <c r="L47" i="5"/>
  <c r="K47" i="5"/>
  <c r="J47" i="5"/>
  <c r="H47" i="5"/>
  <c r="G47" i="5"/>
  <c r="F47" i="5"/>
  <c r="I47" i="5" s="1"/>
  <c r="W46" i="5"/>
  <c r="V46" i="5"/>
  <c r="S46" i="5"/>
  <c r="R46" i="5"/>
  <c r="Q46" i="5"/>
  <c r="P46" i="5"/>
  <c r="O46" i="5"/>
  <c r="L46" i="5"/>
  <c r="K46" i="5"/>
  <c r="J46" i="5"/>
  <c r="H46" i="5"/>
  <c r="G46" i="5"/>
  <c r="F46" i="5"/>
  <c r="I46" i="5" s="1"/>
  <c r="V45" i="5"/>
  <c r="W45" i="5" s="1"/>
  <c r="S45" i="5"/>
  <c r="R45" i="5"/>
  <c r="Q45" i="5"/>
  <c r="P45" i="5"/>
  <c r="O45" i="5"/>
  <c r="L45" i="5"/>
  <c r="K45" i="5"/>
  <c r="J45" i="5"/>
  <c r="I45" i="5"/>
  <c r="H45" i="5"/>
  <c r="G45" i="5"/>
  <c r="F45" i="5"/>
  <c r="V44" i="5"/>
  <c r="W44" i="5" s="1"/>
  <c r="S44" i="5"/>
  <c r="R44" i="5"/>
  <c r="Q44" i="5"/>
  <c r="P44" i="5"/>
  <c r="O44" i="5"/>
  <c r="L44" i="5"/>
  <c r="K44" i="5"/>
  <c r="J44" i="5"/>
  <c r="I44" i="5"/>
  <c r="H44" i="5"/>
  <c r="G44" i="5"/>
  <c r="F44" i="5"/>
  <c r="V43" i="5"/>
  <c r="W43" i="5" s="1"/>
  <c r="S43" i="5"/>
  <c r="R43" i="5"/>
  <c r="Q43" i="5"/>
  <c r="P43" i="5"/>
  <c r="O43" i="5"/>
  <c r="L43" i="5"/>
  <c r="K43" i="5"/>
  <c r="J43" i="5"/>
  <c r="I43" i="5"/>
  <c r="H43" i="5"/>
  <c r="G43" i="5"/>
  <c r="F43" i="5"/>
  <c r="V42" i="5"/>
  <c r="W42" i="5" s="1"/>
  <c r="S42" i="5"/>
  <c r="R42" i="5"/>
  <c r="Q42" i="5"/>
  <c r="P42" i="5"/>
  <c r="O42" i="5"/>
  <c r="L42" i="5"/>
  <c r="K42" i="5"/>
  <c r="J42" i="5"/>
  <c r="I42" i="5"/>
  <c r="H42" i="5"/>
  <c r="G42" i="5"/>
  <c r="F42" i="5"/>
  <c r="V41" i="5"/>
  <c r="W41" i="5" s="1"/>
  <c r="S41" i="5"/>
  <c r="R41" i="5"/>
  <c r="Q41" i="5"/>
  <c r="P41" i="5"/>
  <c r="O41" i="5"/>
  <c r="L41" i="5"/>
  <c r="K41" i="5"/>
  <c r="J41" i="5"/>
  <c r="I41" i="5"/>
  <c r="H41" i="5"/>
  <c r="G41" i="5"/>
  <c r="F41" i="5"/>
  <c r="W40" i="5"/>
  <c r="V40" i="5"/>
  <c r="S40" i="5"/>
  <c r="R40" i="5"/>
  <c r="Q40" i="5"/>
  <c r="P40" i="5"/>
  <c r="O40" i="5"/>
  <c r="L40" i="5"/>
  <c r="K40" i="5"/>
  <c r="J40" i="5"/>
  <c r="I40" i="5"/>
  <c r="H40" i="5"/>
  <c r="G40" i="5"/>
  <c r="F40" i="5"/>
  <c r="W39" i="5"/>
  <c r="V39" i="5"/>
  <c r="S39" i="5"/>
  <c r="R39" i="5"/>
  <c r="Q39" i="5"/>
  <c r="P39" i="5"/>
  <c r="O39" i="5"/>
  <c r="L39" i="5"/>
  <c r="K39" i="5"/>
  <c r="J39" i="5"/>
  <c r="I39" i="5"/>
  <c r="H39" i="5"/>
  <c r="G39" i="5"/>
  <c r="F39" i="5"/>
  <c r="W38" i="5"/>
  <c r="V38" i="5"/>
  <c r="S38" i="5"/>
  <c r="R38" i="5"/>
  <c r="Q38" i="5"/>
  <c r="P38" i="5"/>
  <c r="O38" i="5"/>
  <c r="L38" i="5"/>
  <c r="K38" i="5"/>
  <c r="J38" i="5"/>
  <c r="I38" i="5"/>
  <c r="H38" i="5"/>
  <c r="G38" i="5"/>
  <c r="F38" i="5"/>
  <c r="W37" i="5"/>
  <c r="V37" i="5"/>
  <c r="S37" i="5"/>
  <c r="R37" i="5"/>
  <c r="Q37" i="5"/>
  <c r="P37" i="5"/>
  <c r="O37" i="5"/>
  <c r="L37" i="5"/>
  <c r="K37" i="5"/>
  <c r="J37" i="5"/>
  <c r="I37" i="5"/>
  <c r="H37" i="5"/>
  <c r="G37" i="5"/>
  <c r="F37" i="5"/>
  <c r="W36" i="5"/>
  <c r="V36" i="5"/>
  <c r="S36" i="5"/>
  <c r="R36" i="5"/>
  <c r="Q36" i="5"/>
  <c r="P36" i="5"/>
  <c r="O36" i="5"/>
  <c r="L36" i="5"/>
  <c r="K36" i="5"/>
  <c r="J36" i="5"/>
  <c r="I36" i="5"/>
  <c r="H36" i="5"/>
  <c r="G36" i="5"/>
  <c r="F36" i="5"/>
  <c r="V35" i="5"/>
  <c r="W35" i="5" s="1"/>
  <c r="S35" i="5"/>
  <c r="R35" i="5"/>
  <c r="Q35" i="5"/>
  <c r="P35" i="5"/>
  <c r="O35" i="5"/>
  <c r="L35" i="5"/>
  <c r="K35" i="5"/>
  <c r="J35" i="5"/>
  <c r="I35" i="5"/>
  <c r="H35" i="5"/>
  <c r="G35" i="5"/>
  <c r="F35" i="5"/>
  <c r="V34" i="5"/>
  <c r="W34" i="5" s="1"/>
  <c r="S34" i="5"/>
  <c r="R34" i="5"/>
  <c r="Q34" i="5"/>
  <c r="P34" i="5"/>
  <c r="O34" i="5"/>
  <c r="L34" i="5"/>
  <c r="K34" i="5"/>
  <c r="J34" i="5"/>
  <c r="I34" i="5"/>
  <c r="H34" i="5"/>
  <c r="G34" i="5"/>
  <c r="F34" i="5"/>
  <c r="V33" i="5"/>
  <c r="W33" i="5" s="1"/>
  <c r="S33" i="5"/>
  <c r="R33" i="5"/>
  <c r="Q33" i="5"/>
  <c r="P33" i="5"/>
  <c r="O33" i="5"/>
  <c r="L33" i="5"/>
  <c r="K33" i="5"/>
  <c r="J33" i="5"/>
  <c r="I33" i="5"/>
  <c r="H33" i="5"/>
  <c r="G33" i="5"/>
  <c r="F33" i="5"/>
  <c r="V32" i="5"/>
  <c r="W32" i="5" s="1"/>
  <c r="S32" i="5"/>
  <c r="R32" i="5"/>
  <c r="Q32" i="5"/>
  <c r="P32" i="5"/>
  <c r="O32" i="5"/>
  <c r="L32" i="5"/>
  <c r="K32" i="5"/>
  <c r="J32" i="5"/>
  <c r="I32" i="5"/>
  <c r="H32" i="5"/>
  <c r="G32" i="5"/>
  <c r="F32" i="5"/>
  <c r="V31" i="5"/>
  <c r="W31" i="5" s="1"/>
  <c r="S31" i="5"/>
  <c r="R31" i="5"/>
  <c r="Q31" i="5"/>
  <c r="P31" i="5"/>
  <c r="O31" i="5"/>
  <c r="L31" i="5"/>
  <c r="K31" i="5"/>
  <c r="J31" i="5"/>
  <c r="I31" i="5"/>
  <c r="H31" i="5"/>
  <c r="G31" i="5"/>
  <c r="F31" i="5"/>
  <c r="W30" i="5"/>
  <c r="V30" i="5"/>
  <c r="S30" i="5"/>
  <c r="R30" i="5"/>
  <c r="Q30" i="5"/>
  <c r="P30" i="5"/>
  <c r="O30" i="5"/>
  <c r="L30" i="5"/>
  <c r="K30" i="5"/>
  <c r="J30" i="5"/>
  <c r="I30" i="5"/>
  <c r="H30" i="5"/>
  <c r="G30" i="5"/>
  <c r="F30" i="5"/>
  <c r="W29" i="5"/>
  <c r="V29" i="5"/>
  <c r="S29" i="5"/>
  <c r="R29" i="5"/>
  <c r="Q29" i="5"/>
  <c r="P29" i="5"/>
  <c r="O29" i="5"/>
  <c r="L29" i="5"/>
  <c r="K29" i="5"/>
  <c r="J29" i="5"/>
  <c r="I29" i="5"/>
  <c r="H29" i="5"/>
  <c r="G29" i="5"/>
  <c r="F29" i="5"/>
  <c r="W28" i="5"/>
  <c r="V28" i="5"/>
  <c r="S28" i="5"/>
  <c r="R28" i="5"/>
  <c r="Q28" i="5"/>
  <c r="P28" i="5"/>
  <c r="O28" i="5"/>
  <c r="L28" i="5"/>
  <c r="K28" i="5"/>
  <c r="F28" i="5" s="1"/>
  <c r="I28" i="5" s="1"/>
  <c r="H28" i="5"/>
  <c r="G28" i="5"/>
  <c r="W27" i="5"/>
  <c r="O27" i="5" s="1"/>
  <c r="V27" i="5"/>
  <c r="S27" i="5"/>
  <c r="R27" i="5"/>
  <c r="Q27" i="5"/>
  <c r="P27" i="5"/>
  <c r="L27" i="5"/>
  <c r="K27" i="5"/>
  <c r="J27" i="5"/>
  <c r="H27" i="5"/>
  <c r="G27" i="5"/>
  <c r="F27" i="5"/>
  <c r="I27" i="5" s="1"/>
  <c r="V26" i="5"/>
  <c r="W26" i="5" s="1"/>
  <c r="O26" i="5" s="1"/>
  <c r="S26" i="5"/>
  <c r="R26" i="5"/>
  <c r="Q26" i="5"/>
  <c r="P26" i="5"/>
  <c r="L26" i="5"/>
  <c r="K26" i="5"/>
  <c r="J26" i="5"/>
  <c r="H26" i="5"/>
  <c r="G26" i="5"/>
  <c r="F26" i="5"/>
  <c r="I26" i="5" s="1"/>
  <c r="V25" i="5"/>
  <c r="W25" i="5" s="1"/>
  <c r="O25" i="5" s="1"/>
  <c r="S25" i="5"/>
  <c r="Q25" i="5"/>
  <c r="R25" i="5" s="1"/>
  <c r="P25" i="5"/>
  <c r="L25" i="5"/>
  <c r="K25" i="5"/>
  <c r="H25" i="5" s="1"/>
  <c r="J25" i="5"/>
  <c r="I25" i="5"/>
  <c r="G25" i="5"/>
  <c r="F25" i="5"/>
  <c r="V24" i="5"/>
  <c r="W24" i="5" s="1"/>
  <c r="O24" i="5" s="1"/>
  <c r="S24" i="5"/>
  <c r="Q24" i="5"/>
  <c r="R24" i="5" s="1"/>
  <c r="P24" i="5"/>
  <c r="L24" i="5"/>
  <c r="K24" i="5"/>
  <c r="J24" i="5"/>
  <c r="I24" i="5"/>
  <c r="H24" i="5"/>
  <c r="G24" i="5"/>
  <c r="F24" i="5"/>
  <c r="V23" i="5"/>
  <c r="W23" i="5" s="1"/>
  <c r="O23" i="5" s="1"/>
  <c r="S23" i="5"/>
  <c r="Q23" i="5"/>
  <c r="R23" i="5" s="1"/>
  <c r="P23" i="5"/>
  <c r="L23" i="5"/>
  <c r="K23" i="5"/>
  <c r="G23" i="5" s="1"/>
  <c r="J23" i="5"/>
  <c r="H23" i="5"/>
  <c r="F23" i="5"/>
  <c r="I23" i="5" s="1"/>
  <c r="V22" i="5"/>
  <c r="W22" i="5" s="1"/>
  <c r="O22" i="5" s="1"/>
  <c r="S22" i="5"/>
  <c r="R22" i="5"/>
  <c r="Q22" i="5"/>
  <c r="P22" i="5"/>
  <c r="L22" i="5"/>
  <c r="K22" i="5"/>
  <c r="J22" i="5" s="1"/>
  <c r="V21" i="5"/>
  <c r="W21" i="5" s="1"/>
  <c r="O21" i="5" s="1"/>
  <c r="S21" i="5"/>
  <c r="R21" i="5"/>
  <c r="Q21" i="5"/>
  <c r="P21" i="5"/>
  <c r="K21" i="5"/>
  <c r="J21" i="5" s="1"/>
  <c r="W20" i="5"/>
  <c r="O20" i="5" s="1"/>
  <c r="V20" i="5"/>
  <c r="S20" i="5"/>
  <c r="R20" i="5"/>
  <c r="Q20" i="5"/>
  <c r="P20" i="5"/>
  <c r="K20" i="5"/>
  <c r="L20" i="5" s="1"/>
  <c r="H20" i="5"/>
  <c r="F20" i="5"/>
  <c r="I20" i="5" s="1"/>
  <c r="V19" i="5"/>
  <c r="W19" i="5" s="1"/>
  <c r="O19" i="5" s="1"/>
  <c r="S19" i="5"/>
  <c r="R19" i="5"/>
  <c r="Q19" i="5"/>
  <c r="P19" i="5"/>
  <c r="K19" i="5"/>
  <c r="L19" i="5" s="1"/>
  <c r="W18" i="5"/>
  <c r="V18" i="5"/>
  <c r="S18" i="5"/>
  <c r="R18" i="5"/>
  <c r="Q18" i="5"/>
  <c r="P18" i="5"/>
  <c r="O18" i="5"/>
  <c r="L18" i="5"/>
  <c r="K18" i="5"/>
  <c r="F18" i="5" s="1"/>
  <c r="I18" i="5" s="1"/>
  <c r="H18" i="5"/>
  <c r="G18" i="5"/>
  <c r="W17" i="5"/>
  <c r="O17" i="5" s="1"/>
  <c r="V17" i="5"/>
  <c r="S17" i="5"/>
  <c r="R17" i="5"/>
  <c r="Q17" i="5"/>
  <c r="P17" i="5"/>
  <c r="L17" i="5"/>
  <c r="K17" i="5"/>
  <c r="J17" i="5"/>
  <c r="H17" i="5"/>
  <c r="G17" i="5"/>
  <c r="F17" i="5"/>
  <c r="I17" i="5" s="1"/>
  <c r="V16" i="5"/>
  <c r="W16" i="5" s="1"/>
  <c r="O16" i="5" s="1"/>
  <c r="S16" i="5"/>
  <c r="R16" i="5"/>
  <c r="Q16" i="5"/>
  <c r="P16" i="5"/>
  <c r="L16" i="5"/>
  <c r="K16" i="5"/>
  <c r="J16" i="5"/>
  <c r="H16" i="5"/>
  <c r="G16" i="5"/>
  <c r="F16" i="5"/>
  <c r="I16" i="5" s="1"/>
  <c r="V15" i="5"/>
  <c r="W15" i="5" s="1"/>
  <c r="O15" i="5" s="1"/>
  <c r="S15" i="5"/>
  <c r="Q15" i="5"/>
  <c r="R15" i="5" s="1"/>
  <c r="P15" i="5"/>
  <c r="L15" i="5"/>
  <c r="K15" i="5"/>
  <c r="H15" i="5" s="1"/>
  <c r="J15" i="5"/>
  <c r="I15" i="5"/>
  <c r="G15" i="5"/>
  <c r="F15" i="5"/>
  <c r="V14" i="5"/>
  <c r="W14" i="5" s="1"/>
  <c r="O14" i="5" s="1"/>
  <c r="S14" i="5"/>
  <c r="Q14" i="5"/>
  <c r="R14" i="5" s="1"/>
  <c r="P14" i="5"/>
  <c r="L14" i="5"/>
  <c r="K14" i="5"/>
  <c r="J14" i="5"/>
  <c r="I14" i="5"/>
  <c r="H14" i="5"/>
  <c r="G14" i="5"/>
  <c r="F14" i="5"/>
  <c r="V13" i="5"/>
  <c r="W13" i="5" s="1"/>
  <c r="O13" i="5" s="1"/>
  <c r="S13" i="5"/>
  <c r="Q13" i="5"/>
  <c r="R13" i="5" s="1"/>
  <c r="P13" i="5"/>
  <c r="L13" i="5"/>
  <c r="K13" i="5"/>
  <c r="G13" i="5" s="1"/>
  <c r="J13" i="5"/>
  <c r="H13" i="5"/>
  <c r="F13" i="5"/>
  <c r="I13" i="5" s="1"/>
  <c r="V12" i="5"/>
  <c r="W12" i="5" s="1"/>
  <c r="O12" i="5" s="1"/>
  <c r="S12" i="5"/>
  <c r="R12" i="5"/>
  <c r="Q12" i="5"/>
  <c r="P12" i="5"/>
  <c r="K12" i="5"/>
  <c r="J12" i="5" s="1"/>
  <c r="V11" i="5"/>
  <c r="W11" i="5" s="1"/>
  <c r="O11" i="5" s="1"/>
  <c r="S11" i="5"/>
  <c r="R11" i="5"/>
  <c r="Q11" i="5"/>
  <c r="P11" i="5"/>
  <c r="K11" i="5"/>
  <c r="L11" i="5" s="1"/>
  <c r="W10" i="5"/>
  <c r="O10" i="5" s="1"/>
  <c r="V10" i="5"/>
  <c r="S10" i="5"/>
  <c r="R10" i="5"/>
  <c r="Q10" i="5"/>
  <c r="P10" i="5"/>
  <c r="K10" i="5"/>
  <c r="L10" i="5" s="1"/>
  <c r="H10" i="5"/>
  <c r="F10" i="5"/>
  <c r="I10" i="5" s="1"/>
  <c r="V9" i="5"/>
  <c r="W9" i="5" s="1"/>
  <c r="O9" i="5" s="1"/>
  <c r="S9" i="5"/>
  <c r="R9" i="5"/>
  <c r="Q9" i="5"/>
  <c r="P9" i="5"/>
  <c r="K9" i="5"/>
  <c r="L9" i="5" s="1"/>
  <c r="W8" i="5"/>
  <c r="V8" i="5"/>
  <c r="S8" i="5"/>
  <c r="R8" i="5"/>
  <c r="Q8" i="5"/>
  <c r="P8" i="5"/>
  <c r="O8" i="5"/>
  <c r="L8" i="5"/>
  <c r="K8" i="5"/>
  <c r="F8" i="5" s="1"/>
  <c r="I8" i="5" s="1"/>
  <c r="H8" i="5"/>
  <c r="G8" i="5"/>
  <c r="V7" i="5"/>
  <c r="W7" i="5" s="1"/>
  <c r="O7" i="5" s="1"/>
  <c r="S7" i="5"/>
  <c r="R7" i="5"/>
  <c r="Q7" i="5"/>
  <c r="P7" i="5"/>
  <c r="L7" i="5"/>
  <c r="K7" i="5"/>
  <c r="J7" i="5"/>
  <c r="H7" i="5"/>
  <c r="G7" i="5"/>
  <c r="F7" i="5"/>
  <c r="I7" i="5" s="1"/>
  <c r="V6" i="5"/>
  <c r="W6" i="5" s="1"/>
  <c r="O6" i="5" s="1"/>
  <c r="S6" i="5"/>
  <c r="Q6" i="5"/>
  <c r="R6" i="5" s="1"/>
  <c r="P6" i="5"/>
  <c r="L6" i="5"/>
  <c r="K6" i="5"/>
  <c r="J6" i="5"/>
  <c r="H6" i="5"/>
  <c r="G6" i="5"/>
  <c r="F6" i="5"/>
  <c r="I6" i="5" s="1"/>
  <c r="V5" i="5"/>
  <c r="W5" i="5" s="1"/>
  <c r="S5" i="5"/>
  <c r="Q5" i="5"/>
  <c r="R5" i="5" s="1"/>
  <c r="P5" i="5"/>
  <c r="O5" i="5"/>
  <c r="L5" i="5"/>
  <c r="K5" i="5"/>
  <c r="H5" i="5" s="1"/>
  <c r="J5" i="5"/>
  <c r="I5" i="5"/>
  <c r="G5" i="5"/>
  <c r="F5" i="5"/>
  <c r="S4" i="5"/>
  <c r="K4" i="5"/>
  <c r="L4" i="5" s="1"/>
  <c r="S3" i="5"/>
  <c r="K3" i="5"/>
  <c r="G3" i="5" s="1"/>
  <c r="L3" i="5" l="1"/>
  <c r="G4" i="5"/>
  <c r="J3" i="5"/>
  <c r="H4" i="5"/>
  <c r="J4" i="5"/>
  <c r="G94" i="5"/>
  <c r="J94" i="5"/>
  <c r="L94" i="5"/>
  <c r="H3" i="5"/>
  <c r="J11" i="5"/>
  <c r="L21" i="5"/>
  <c r="G98" i="5"/>
  <c r="X82" i="6"/>
  <c r="W82" i="6"/>
  <c r="X88" i="6"/>
  <c r="W88" i="6"/>
  <c r="X373" i="6"/>
  <c r="W373" i="6"/>
  <c r="F21" i="5"/>
  <c r="I21" i="5" s="1"/>
  <c r="F61" i="5"/>
  <c r="I61" i="5" s="1"/>
  <c r="F71" i="5"/>
  <c r="I71" i="5" s="1"/>
  <c r="F81" i="5"/>
  <c r="I81" i="5" s="1"/>
  <c r="F91" i="5"/>
  <c r="I91" i="5" s="1"/>
  <c r="F101" i="5"/>
  <c r="I101" i="5" s="1"/>
  <c r="L71" i="5"/>
  <c r="F11" i="5"/>
  <c r="I11" i="5" s="1"/>
  <c r="L12" i="5"/>
  <c r="G11" i="5"/>
  <c r="G21" i="5"/>
  <c r="G61" i="5"/>
  <c r="G71" i="5"/>
  <c r="G81" i="5"/>
  <c r="G91" i="5"/>
  <c r="G101" i="5"/>
  <c r="X273" i="6"/>
  <c r="W273" i="6"/>
  <c r="J8" i="5"/>
  <c r="H11" i="5"/>
  <c r="J18" i="5"/>
  <c r="H21" i="5"/>
  <c r="J28" i="5"/>
  <c r="H61" i="5"/>
  <c r="H71" i="5"/>
  <c r="H81" i="5"/>
  <c r="H91" i="5"/>
  <c r="J98" i="5"/>
  <c r="H101" i="5"/>
  <c r="L105" i="5"/>
  <c r="Z5" i="6"/>
  <c r="X66" i="6"/>
  <c r="W66" i="6"/>
  <c r="W76" i="6"/>
  <c r="J61" i="5"/>
  <c r="X60" i="6"/>
  <c r="W60" i="6"/>
  <c r="X256" i="6"/>
  <c r="W256" i="6"/>
  <c r="R6" i="6"/>
  <c r="U6" i="6" s="1"/>
  <c r="W20" i="6"/>
  <c r="W24" i="6"/>
  <c r="W34" i="6"/>
  <c r="W44" i="6"/>
  <c r="W54" i="6"/>
  <c r="X252" i="6"/>
  <c r="W252" i="6"/>
  <c r="X267" i="6"/>
  <c r="W267" i="6"/>
  <c r="G10" i="5"/>
  <c r="G20" i="5"/>
  <c r="G60" i="5"/>
  <c r="G70" i="5"/>
  <c r="G80" i="5"/>
  <c r="G90" i="5"/>
  <c r="G100" i="5"/>
  <c r="W30" i="6"/>
  <c r="W40" i="6"/>
  <c r="W50" i="6"/>
  <c r="W128" i="6"/>
  <c r="X128" i="6"/>
  <c r="X191" i="6"/>
  <c r="W191" i="6"/>
  <c r="X206" i="6"/>
  <c r="W206" i="6"/>
  <c r="X105" i="6"/>
  <c r="W105" i="6"/>
  <c r="X139" i="6"/>
  <c r="W139" i="6"/>
  <c r="J10" i="5"/>
  <c r="J20" i="5"/>
  <c r="J60" i="5"/>
  <c r="J70" i="5"/>
  <c r="J80" i="5"/>
  <c r="J90" i="5"/>
  <c r="J100" i="5"/>
  <c r="W4" i="6"/>
  <c r="X91" i="6"/>
  <c r="W103" i="6"/>
  <c r="X219" i="6"/>
  <c r="W219" i="6"/>
  <c r="X81" i="6"/>
  <c r="W133" i="6"/>
  <c r="X133" i="6"/>
  <c r="X172" i="6"/>
  <c r="W172" i="6"/>
  <c r="F9" i="5"/>
  <c r="I9" i="5" s="1"/>
  <c r="F19" i="5"/>
  <c r="I19" i="5" s="1"/>
  <c r="F99" i="5"/>
  <c r="I99" i="5" s="1"/>
  <c r="W213" i="6"/>
  <c r="X213" i="6"/>
  <c r="G9" i="5"/>
  <c r="G19" i="5"/>
  <c r="G99" i="5"/>
  <c r="V7" i="6"/>
  <c r="R7" i="6"/>
  <c r="U7" i="6" s="1"/>
  <c r="W9" i="6"/>
  <c r="W65" i="6"/>
  <c r="X65" i="6"/>
  <c r="X146" i="6"/>
  <c r="W146" i="6"/>
  <c r="X202" i="6"/>
  <c r="W202" i="6"/>
  <c r="H9" i="5"/>
  <c r="F12" i="5"/>
  <c r="I12" i="5" s="1"/>
  <c r="F62" i="5"/>
  <c r="I62" i="5" s="1"/>
  <c r="F72" i="5"/>
  <c r="I72" i="5" s="1"/>
  <c r="F82" i="5"/>
  <c r="I82" i="5" s="1"/>
  <c r="F92" i="5"/>
  <c r="I92" i="5" s="1"/>
  <c r="H99" i="5"/>
  <c r="F102" i="5"/>
  <c r="I102" i="5" s="1"/>
  <c r="W69" i="6"/>
  <c r="W183" i="6"/>
  <c r="X183" i="6"/>
  <c r="H19" i="5"/>
  <c r="F22" i="5"/>
  <c r="I22" i="5" s="1"/>
  <c r="G12" i="5"/>
  <c r="G22" i="5"/>
  <c r="G62" i="5"/>
  <c r="G72" i="5"/>
  <c r="G82" i="5"/>
  <c r="G92" i="5"/>
  <c r="G102" i="5"/>
  <c r="J9" i="5"/>
  <c r="H12" i="5"/>
  <c r="J19" i="5"/>
  <c r="H22" i="5"/>
  <c r="H62" i="5"/>
  <c r="F65" i="5"/>
  <c r="I65" i="5" s="1"/>
  <c r="H72" i="5"/>
  <c r="F75" i="5"/>
  <c r="I75" i="5" s="1"/>
  <c r="H82" i="5"/>
  <c r="H92" i="5"/>
  <c r="F95" i="5"/>
  <c r="I95" i="5" s="1"/>
  <c r="J99" i="5"/>
  <c r="H102" i="5"/>
  <c r="F105" i="5"/>
  <c r="I105" i="5" s="1"/>
  <c r="X112" i="6"/>
  <c r="W112" i="6"/>
  <c r="X331" i="6"/>
  <c r="W331" i="6"/>
  <c r="X115" i="6"/>
  <c r="W115" i="6"/>
  <c r="X226" i="6"/>
  <c r="W226" i="6"/>
  <c r="X343" i="6"/>
  <c r="W343" i="6"/>
  <c r="X430" i="6"/>
  <c r="W430" i="6"/>
  <c r="X110" i="6"/>
  <c r="W110" i="6"/>
  <c r="W124" i="6"/>
  <c r="W159" i="6"/>
  <c r="W187" i="6"/>
  <c r="X241" i="6"/>
  <c r="W241" i="6"/>
  <c r="X288" i="6"/>
  <c r="W288" i="6"/>
  <c r="X148" i="6"/>
  <c r="W161" i="6"/>
  <c r="X271" i="6"/>
  <c r="W271" i="6"/>
  <c r="X290" i="6"/>
  <c r="W290" i="6"/>
  <c r="X304" i="6"/>
  <c r="W304" i="6"/>
  <c r="X333" i="6"/>
  <c r="W333" i="6"/>
  <c r="W341" i="6"/>
  <c r="W71" i="6"/>
  <c r="W93" i="6"/>
  <c r="W152" i="6"/>
  <c r="X163" i="6"/>
  <c r="W176" i="6"/>
  <c r="W189" i="6"/>
  <c r="W232" i="6"/>
  <c r="X243" i="6"/>
  <c r="X258" i="6"/>
  <c r="W258" i="6"/>
  <c r="X447" i="6"/>
  <c r="W447" i="6"/>
  <c r="R3" i="6"/>
  <c r="U3" i="6" s="1"/>
  <c r="R8" i="6"/>
  <c r="U8" i="6" s="1"/>
  <c r="Z8" i="6" s="1"/>
  <c r="V3" i="5" s="1"/>
  <c r="W3" i="5" s="1"/>
  <c r="O3" i="5" s="1"/>
  <c r="X100" i="6"/>
  <c r="W100" i="6"/>
  <c r="X130" i="6"/>
  <c r="W130" i="6"/>
  <c r="X221" i="6"/>
  <c r="W221" i="6"/>
  <c r="X365" i="6"/>
  <c r="W365" i="6"/>
  <c r="X405" i="6"/>
  <c r="W405" i="6"/>
  <c r="X466" i="6"/>
  <c r="W466" i="6"/>
  <c r="X317" i="6"/>
  <c r="W317" i="6"/>
  <c r="W78" i="6"/>
  <c r="W107" i="6"/>
  <c r="W121" i="6"/>
  <c r="W154" i="6"/>
  <c r="W197" i="6"/>
  <c r="W234" i="6"/>
  <c r="X236" i="6"/>
  <c r="W236" i="6"/>
  <c r="W262" i="6"/>
  <c r="W73" i="6"/>
  <c r="X95" i="6"/>
  <c r="W132" i="6"/>
  <c r="X143" i="6"/>
  <c r="W156" i="6"/>
  <c r="W182" i="6"/>
  <c r="W212" i="6"/>
  <c r="X223" i="6"/>
  <c r="W279" i="6"/>
  <c r="X281" i="6"/>
  <c r="W281" i="6"/>
  <c r="X315" i="6"/>
  <c r="W315" i="6"/>
  <c r="X201" i="6"/>
  <c r="W201" i="6"/>
  <c r="X251" i="6"/>
  <c r="W251" i="6"/>
  <c r="X266" i="6"/>
  <c r="W266" i="6"/>
  <c r="W13" i="6"/>
  <c r="W18" i="6"/>
  <c r="W23" i="6"/>
  <c r="W28" i="6"/>
  <c r="W33" i="6"/>
  <c r="W38" i="6"/>
  <c r="W43" i="6"/>
  <c r="W48" i="6"/>
  <c r="W53" i="6"/>
  <c r="W58" i="6"/>
  <c r="W63" i="6"/>
  <c r="X85" i="6"/>
  <c r="X123" i="6"/>
  <c r="X125" i="6"/>
  <c r="W125" i="6"/>
  <c r="W147" i="6"/>
  <c r="X158" i="6"/>
  <c r="W171" i="6"/>
  <c r="X186" i="6"/>
  <c r="W186" i="6"/>
  <c r="W199" i="6"/>
  <c r="W227" i="6"/>
  <c r="X238" i="6"/>
  <c r="X268" i="6"/>
  <c r="W268" i="6"/>
  <c r="W313" i="6"/>
  <c r="X80" i="6"/>
  <c r="X216" i="6"/>
  <c r="W216" i="6"/>
  <c r="W311" i="6"/>
  <c r="X355" i="6"/>
  <c r="W355" i="6"/>
  <c r="X422" i="6"/>
  <c r="W422" i="6"/>
  <c r="X231" i="6"/>
  <c r="W231" i="6"/>
  <c r="X328" i="6"/>
  <c r="W328" i="6"/>
  <c r="W118" i="6"/>
  <c r="X138" i="6"/>
  <c r="W151" i="6"/>
  <c r="W177" i="6"/>
  <c r="W192" i="6"/>
  <c r="W207" i="6"/>
  <c r="X218" i="6"/>
  <c r="W257" i="6"/>
  <c r="W291" i="6"/>
  <c r="W293" i="6"/>
  <c r="X295" i="6"/>
  <c r="X120" i="6"/>
  <c r="W120" i="6"/>
  <c r="X246" i="6"/>
  <c r="W246" i="6"/>
  <c r="X276" i="6"/>
  <c r="W276" i="6"/>
  <c r="W326" i="6"/>
  <c r="W349" i="6"/>
  <c r="X349" i="6"/>
  <c r="X351" i="6"/>
  <c r="W351" i="6"/>
  <c r="X441" i="6"/>
  <c r="W441" i="6"/>
  <c r="W72" i="6"/>
  <c r="W94" i="6"/>
  <c r="W129" i="6"/>
  <c r="W142" i="6"/>
  <c r="X153" i="6"/>
  <c r="W166" i="6"/>
  <c r="X196" i="6"/>
  <c r="W196" i="6"/>
  <c r="W222" i="6"/>
  <c r="X233" i="6"/>
  <c r="W259" i="6"/>
  <c r="X261" i="6"/>
  <c r="W261" i="6"/>
  <c r="X278" i="6"/>
  <c r="W278" i="6"/>
  <c r="W320" i="6"/>
  <c r="W324" i="6"/>
  <c r="X211" i="6"/>
  <c r="W211" i="6"/>
  <c r="X263" i="6"/>
  <c r="W263" i="6"/>
  <c r="W318" i="6"/>
  <c r="X381" i="6"/>
  <c r="W381" i="6"/>
  <c r="X481" i="6"/>
  <c r="W481" i="6"/>
  <c r="X396" i="6"/>
  <c r="W396" i="6"/>
  <c r="X496" i="6"/>
  <c r="W496" i="6"/>
  <c r="X411" i="6"/>
  <c r="W411" i="6"/>
  <c r="W445" i="6"/>
  <c r="W462" i="6"/>
  <c r="X426" i="6"/>
  <c r="W426" i="6"/>
  <c r="X353" i="6"/>
  <c r="W353" i="6"/>
  <c r="X363" i="6"/>
  <c r="W363" i="6"/>
  <c r="X456" i="6"/>
  <c r="W456" i="6"/>
  <c r="X471" i="6"/>
  <c r="W471" i="6"/>
  <c r="X386" i="6"/>
  <c r="W386" i="6"/>
  <c r="W420" i="6"/>
  <c r="X486" i="6"/>
  <c r="W486" i="6"/>
  <c r="W297" i="6"/>
  <c r="W306" i="6"/>
  <c r="W319" i="6"/>
  <c r="W332" i="6"/>
  <c r="X401" i="6"/>
  <c r="W401" i="6"/>
  <c r="W435" i="6"/>
  <c r="W452" i="6"/>
  <c r="W308" i="6"/>
  <c r="X334" i="6"/>
  <c r="X338" i="6"/>
  <c r="W338" i="6"/>
  <c r="X416" i="6"/>
  <c r="W416" i="6"/>
  <c r="W450" i="6"/>
  <c r="W467" i="6"/>
  <c r="X431" i="6"/>
  <c r="W431" i="6"/>
  <c r="W285" i="6"/>
  <c r="W310" i="6"/>
  <c r="W323" i="6"/>
  <c r="X446" i="6"/>
  <c r="W446" i="6"/>
  <c r="W497" i="6"/>
  <c r="W292" i="6"/>
  <c r="W312" i="6"/>
  <c r="W342" i="6"/>
  <c r="W395" i="6"/>
  <c r="W412" i="6"/>
  <c r="X461" i="6"/>
  <c r="W461" i="6"/>
  <c r="W495" i="6"/>
  <c r="W135" i="6"/>
  <c r="W140" i="6"/>
  <c r="W145" i="6"/>
  <c r="W150" i="6"/>
  <c r="W155" i="6"/>
  <c r="W160" i="6"/>
  <c r="W165" i="6"/>
  <c r="W170" i="6"/>
  <c r="W175" i="6"/>
  <c r="W180" i="6"/>
  <c r="W185" i="6"/>
  <c r="W190" i="6"/>
  <c r="W195" i="6"/>
  <c r="W200" i="6"/>
  <c r="W301" i="6"/>
  <c r="W325" i="6"/>
  <c r="X344" i="6"/>
  <c r="X348" i="6"/>
  <c r="W348" i="6"/>
  <c r="X376" i="6"/>
  <c r="W376" i="6"/>
  <c r="W410" i="6"/>
  <c r="X476" i="6"/>
  <c r="W476" i="6"/>
  <c r="W346" i="6"/>
  <c r="X391" i="6"/>
  <c r="W391" i="6"/>
  <c r="W425" i="6"/>
  <c r="W442" i="6"/>
  <c r="X491" i="6"/>
  <c r="W491" i="6"/>
  <c r="X358" i="6"/>
  <c r="W358" i="6"/>
  <c r="X368" i="6"/>
  <c r="W368" i="6"/>
  <c r="X406" i="6"/>
  <c r="W406" i="6"/>
  <c r="W440" i="6"/>
  <c r="W457" i="6"/>
  <c r="X421" i="6"/>
  <c r="W421" i="6"/>
  <c r="W455" i="6"/>
  <c r="W472" i="6"/>
  <c r="X354" i="6"/>
  <c r="X436" i="6"/>
  <c r="W436" i="6"/>
  <c r="W470" i="6"/>
  <c r="W487" i="6"/>
  <c r="X451" i="6"/>
  <c r="W451" i="6"/>
  <c r="W501" i="6"/>
  <c r="W378" i="6"/>
  <c r="W383" i="6"/>
  <c r="W388" i="6"/>
  <c r="W393" i="6"/>
  <c r="W398" i="6"/>
  <c r="W403" i="6"/>
  <c r="W408" i="6"/>
  <c r="W413" i="6"/>
  <c r="W418" i="6"/>
  <c r="W423" i="6"/>
  <c r="W428" i="6"/>
  <c r="W433" i="6"/>
  <c r="W438" i="6"/>
  <c r="W443" i="6"/>
  <c r="W448" i="6"/>
  <c r="W453" i="6"/>
  <c r="W458" i="6"/>
  <c r="W463" i="6"/>
  <c r="W468" i="6"/>
  <c r="W473" i="6"/>
  <c r="W478" i="6"/>
  <c r="W483" i="6"/>
  <c r="W488" i="6"/>
  <c r="W493" i="6"/>
  <c r="W498" i="6"/>
  <c r="W502" i="6"/>
  <c r="X6" i="6" l="1"/>
  <c r="W6" i="6"/>
  <c r="P3" i="5"/>
  <c r="F3" i="5" s="1"/>
  <c r="I3" i="5" s="1"/>
  <c r="X3" i="6"/>
  <c r="W3" i="6"/>
  <c r="Q3" i="5"/>
  <c r="R3" i="5" s="1"/>
  <c r="X7" i="6"/>
  <c r="W7" i="6"/>
  <c r="Q94" i="5"/>
  <c r="R94" i="5" s="1"/>
  <c r="Q4" i="5"/>
  <c r="R4" i="5" s="1"/>
  <c r="P94" i="5"/>
  <c r="F94" i="5" s="1"/>
  <c r="I94" i="5" s="1"/>
  <c r="P4" i="5"/>
  <c r="F4" i="5" s="1"/>
  <c r="I4" i="5" s="1"/>
  <c r="W5" i="6"/>
  <c r="Z7" i="6"/>
  <c r="X8" i="6"/>
  <c r="W8" i="6"/>
  <c r="V94" i="5"/>
  <c r="W94" i="5" s="1"/>
  <c r="O94" i="5" s="1"/>
  <c r="V4" i="5"/>
  <c r="W4" i="5" s="1"/>
  <c r="O4" i="5" s="1"/>
  <c r="X5" i="6"/>
  <c r="X4" i="6"/>
</calcChain>
</file>

<file path=xl/sharedStrings.xml><?xml version="1.0" encoding="utf-8"?>
<sst xmlns="http://schemas.openxmlformats.org/spreadsheetml/2006/main" count="532" uniqueCount="182">
  <si>
    <t>GPO Community Value List Template (Google Sheets-ready)</t>
  </si>
  <si>
    <t>What this workbook does</t>
  </si>
  <si>
    <t>- Maintain a master item list in the Items sheet.
- Collect community trade reports in Trade_Reports.
- Items auto-calculates values using APPROVED trades within windows set in Settings.
- Weighted median uses Effective_Weight (trust + recency + proof).</t>
  </si>
  <si>
    <t>Quick start</t>
  </si>
  <si>
    <t>1) Add items on Items (columns A–E). Leave F–L to calculate.
2) Add trade reports on Trade_Reports (row 3+). Verify proof, then set Approved_Status = APPROVED.
3) Check Items for Final_Value_Point, Trend, Confidence, Sample_Size.
4) Need more rows? Copy the last row down (Items up to 300, Trade_Reports up to 500).</t>
  </si>
  <si>
    <t>Change log</t>
  </si>
  <si>
    <t>Fixed demanded 5.0</t>
  </si>
  <si>
    <t>5.1 -changed file to google sheet</t>
  </si>
  <si>
    <t>2026-01-31T19:06:25.058Z</t>
  </si>
  <si>
    <t>hello from discord bot</t>
  </si>
  <si>
    <t>2026-01-31T19:23:01.226Z</t>
  </si>
  <si>
    <t>2026-01-31T19:48:02.679Z</t>
  </si>
  <si>
    <t>Settings</t>
  </si>
  <si>
    <t>Value windows (days)</t>
  </si>
  <si>
    <t>Window_7d</t>
  </si>
  <si>
    <t>Window_30d</t>
  </si>
  <si>
    <t>Recency multipliers (by age in days)</t>
  </si>
  <si>
    <t>Trust level multipliers</t>
  </si>
  <si>
    <t xml:space="preserve">Age &lt;= </t>
  </si>
  <si>
    <t>New</t>
  </si>
  <si>
    <t>Regular</t>
  </si>
  <si>
    <t>Trusted</t>
  </si>
  <si>
    <t>Flagged</t>
  </si>
  <si>
    <t>Else</t>
  </si>
  <si>
    <t>Minimum sample size for auto-value</t>
  </si>
  <si>
    <t>Proof multiplier when Proof_URL missing</t>
  </si>
  <si>
    <t>WIP</t>
  </si>
  <si>
    <t>Trend threshold (relative change)</t>
  </si>
  <si>
    <t>Categories</t>
  </si>
  <si>
    <t>Rarity_Tier</t>
  </si>
  <si>
    <t>Unit_Anchor</t>
  </si>
  <si>
    <t>Trend</t>
  </si>
  <si>
    <t>Publish</t>
  </si>
  <si>
    <t>Approved_Status</t>
  </si>
  <si>
    <t>Trust_Level</t>
  </si>
  <si>
    <t>Demand_Level</t>
  </si>
  <si>
    <t>Fruit</t>
  </si>
  <si>
    <t>Common</t>
  </si>
  <si>
    <t>POINT</t>
  </si>
  <si>
    <t>UP</t>
  </si>
  <si>
    <t>YES</t>
  </si>
  <si>
    <t>PENDING</t>
  </si>
  <si>
    <t>LOW</t>
  </si>
  <si>
    <t>Weapon</t>
  </si>
  <si>
    <t>Uncommon</t>
  </si>
  <si>
    <t>STABLE</t>
  </si>
  <si>
    <t>NO</t>
  </si>
  <si>
    <t>APPROVED</t>
  </si>
  <si>
    <t>MID</t>
  </si>
  <si>
    <t>Armor</t>
  </si>
  <si>
    <t>Rare</t>
  </si>
  <si>
    <t>DOWN</t>
  </si>
  <si>
    <t>REJECTED</t>
  </si>
  <si>
    <t>HIGH</t>
  </si>
  <si>
    <t>Accessory</t>
  </si>
  <si>
    <t>Epic</t>
  </si>
  <si>
    <t>Currency</t>
  </si>
  <si>
    <t>Legendary</t>
  </si>
  <si>
    <t>Ship</t>
  </si>
  <si>
    <t>Mythic</t>
  </si>
  <si>
    <t>Misc</t>
  </si>
  <si>
    <t>Limited</t>
  </si>
  <si>
    <t>Event</t>
  </si>
  <si>
    <t>ITEMS</t>
  </si>
  <si>
    <t>Item_ID</t>
  </si>
  <si>
    <t>Item_Name</t>
  </si>
  <si>
    <t>Category</t>
  </si>
  <si>
    <t>Rarity/Tier</t>
  </si>
  <si>
    <t>Final_Value_Point</t>
  </si>
  <si>
    <t>Value_Low</t>
  </si>
  <si>
    <t>Value_High</t>
  </si>
  <si>
    <t>Confidence_%</t>
  </si>
  <si>
    <t>Sample_Size</t>
  </si>
  <si>
    <t>Last_Updated</t>
  </si>
  <si>
    <t>Publish?</t>
  </si>
  <si>
    <t>Notes</t>
  </si>
  <si>
    <t>Demand</t>
  </si>
  <si>
    <t>TotalWeight_7d</t>
  </si>
  <si>
    <t>TotalWeight_30d</t>
  </si>
  <si>
    <t>WM_30d</t>
  </si>
  <si>
    <t>Sample_30d</t>
  </si>
  <si>
    <t>Min_7d</t>
  </si>
  <si>
    <t>Max_7d</t>
  </si>
  <si>
    <t>Avg_Demand</t>
  </si>
  <si>
    <t>Demand_Line</t>
  </si>
  <si>
    <t>FRUIT_GOMU</t>
  </si>
  <si>
    <t>Gomu</t>
  </si>
  <si>
    <t>WEAPON_BISENTO</t>
  </si>
  <si>
    <t>Bisento</t>
  </si>
  <si>
    <t xml:space="preserve"> Fruits</t>
  </si>
  <si>
    <t xml:space="preserve"> </t>
  </si>
  <si>
    <t>FRUIT_ITO</t>
  </si>
  <si>
    <t>FRUIT_PAW</t>
  </si>
  <si>
    <t>FRUIT_KAGE</t>
  </si>
  <si>
    <t>FRUIT_GURA</t>
  </si>
  <si>
    <t>FRUIT_GORO</t>
  </si>
  <si>
    <t>FRUIT_YAMI</t>
  </si>
  <si>
    <t>FRUIT_ZUZHI</t>
  </si>
  <si>
    <t>FRUIT_HIE</t>
  </si>
  <si>
    <t>FRUIT_SUNA</t>
  </si>
  <si>
    <t>FRUIT_YUKI</t>
  </si>
  <si>
    <t>FRUIT_MERA</t>
  </si>
  <si>
    <t>FRUIT_MAGU</t>
  </si>
  <si>
    <t>FRUIT_GOLD</t>
  </si>
  <si>
    <t>FRUIT_SMOKE</t>
  </si>
  <si>
    <t>FRUIT_PIKA</t>
  </si>
  <si>
    <t>FRUIT_OPE</t>
  </si>
  <si>
    <t>FRUIT_TORI</t>
  </si>
  <si>
    <t>FRUIT_BUDDHA</t>
  </si>
  <si>
    <t>FRUIT_PTERO</t>
  </si>
  <si>
    <t>FRUIT_VENOM</t>
  </si>
  <si>
    <t>FRUIT_MOCHI</t>
  </si>
  <si>
    <t>FRUIT_SOUL</t>
  </si>
  <si>
    <t>FRUIT_DRAGON</t>
  </si>
  <si>
    <t>CURRENCY_MPELI</t>
  </si>
  <si>
    <t>MISC_MYTHIC_CHEST</t>
  </si>
  <si>
    <t>MISC_SP_RESET</t>
  </si>
  <si>
    <t>MISC_DARK_ROOT</t>
  </si>
  <si>
    <t>MISC_SFB</t>
  </si>
  <si>
    <t>MISC_GOLDEN_HAMMER</t>
  </si>
  <si>
    <t>MISC_DF_JOURNAL</t>
  </si>
  <si>
    <t>MISC_KAROO</t>
  </si>
  <si>
    <t>ASE</t>
  </si>
  <si>
    <t>ASE_ASE</t>
  </si>
  <si>
    <t>ASE_CHROMATIC</t>
  </si>
  <si>
    <t>ASE_BLO</t>
  </si>
  <si>
    <t>ASE_HOLLY</t>
  </si>
  <si>
    <t>ASE_BAAL</t>
  </si>
  <si>
    <t>SHIP</t>
  </si>
  <si>
    <t>SHIP_THRILLER</t>
  </si>
  <si>
    <t>SHIP_HOVERBOARD</t>
  </si>
  <si>
    <t>SHIP_COFFIN</t>
  </si>
  <si>
    <t>SHIP_STRIKER</t>
  </si>
  <si>
    <t>WEAPON</t>
  </si>
  <si>
    <t>WEAPON_SOUL_CLEAVER</t>
  </si>
  <si>
    <t>WEAPON_JITTE</t>
  </si>
  <si>
    <t>WEAPON_GOLDEN_HOOK</t>
  </si>
  <si>
    <t>WEAPON_GRAVITY_CANE</t>
  </si>
  <si>
    <t>WEAPON_M_SCISSORS</t>
  </si>
  <si>
    <t>WEAPON_BORJ_GAUNTLETS</t>
  </si>
  <si>
    <t>WEAPON_SHUSUI</t>
  </si>
  <si>
    <t>WEAPON_CRAB_CUTLASS</t>
  </si>
  <si>
    <t>WEAPON_GOLDEN_POLE</t>
  </si>
  <si>
    <t>WEAPON_NEPTUNE'S TRIDENT</t>
  </si>
  <si>
    <t>WEAPON_BLACK_PITCHFORK</t>
  </si>
  <si>
    <t>WEAPON_VERA'S_WHIP</t>
  </si>
  <si>
    <t>WEAPON_RAIUI</t>
  </si>
  <si>
    <t>WEAPON_SOUL_CANE</t>
  </si>
  <si>
    <t>WEAPON_PIPE</t>
  </si>
  <si>
    <t>TRADE REPORTS</t>
  </si>
  <si>
    <t>Report_ID</t>
  </si>
  <si>
    <t>Trade_Date</t>
  </si>
  <si>
    <t>Reporter_Discord_ID</t>
  </si>
  <si>
    <t>Reporter_Tag</t>
  </si>
  <si>
    <t>Proof_URL</t>
  </si>
  <si>
    <t>Target_Item_ID</t>
  </si>
  <si>
    <t>Implied_Value_Point</t>
  </si>
  <si>
    <t>Side_Given (text)</t>
  </si>
  <si>
    <t>Side_Received (text)</t>
  </si>
  <si>
    <t>Adds/Notes</t>
  </si>
  <si>
    <t>Approved_By</t>
  </si>
  <si>
    <t>Approved_TS</t>
  </si>
  <si>
    <t>Days_Since_Trade</t>
  </si>
  <si>
    <t>Recency_Multiple</t>
  </si>
  <si>
    <t>Trust_Multiple</t>
  </si>
  <si>
    <t>Proof_Multiple</t>
  </si>
  <si>
    <t>Effective_Weight</t>
  </si>
  <si>
    <t>Flags</t>
  </si>
  <si>
    <t>CumWeight_7d</t>
  </si>
  <si>
    <t>CumWeight_30d</t>
  </si>
  <si>
    <t>Demand_Score</t>
  </si>
  <si>
    <t>Demand_x_Weight</t>
  </si>
  <si>
    <t>R00001</t>
  </si>
  <si>
    <t>123456789012345678</t>
  </si>
  <si>
    <t>JJJiang#0000</t>
  </si>
  <si>
    <t>https://example.com/proof</t>
  </si>
  <si>
    <t>Bisento + adds</t>
  </si>
  <si>
    <t>Example only</t>
  </si>
  <si>
    <t>Kevin</t>
  </si>
  <si>
    <t>kevin</t>
  </si>
  <si>
    <t>trusted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</si>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</sst>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\ hh:mm"/>
    <numFmt numFmtId="166" formatCode="yyyy\-mm\-dd"/>
  </numFmts>
  <fonts count="20" x14ac:knownFonts="1"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1F4E79"/>
      <name val="Calibri"/>
    </font>
    <font>
      <b/>
      <sz val="14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1F4E79"/>
      <name val="Calibri"/>
    </font>
    <font>
      <sz val="11"/>
      <color rgb="FFFFFFFF"/>
      <name val="Calibri"/>
    </font>
    <font>
      <sz val="11"/>
      <color theme="0"/>
      <name val="Calibri"/>
    </font>
    <font>
      <u/>
      <sz val="11"/>
      <color rgb="FF0000FF"/>
      <name val="Calibri"/>
    </font>
    <font>
      <u/>
      <sz val="11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2F4F"/>
        <bgColor rgb="FF0B2F4F"/>
      </patternFill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" fontId="9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2" fillId="0" borderId="4" xfId="0" applyNumberFormat="1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wrapText="1"/>
    </xf>
    <xf numFmtId="0" fontId="16" fillId="3" borderId="4" xfId="0" applyFont="1" applyFill="1" applyBorder="1" applyAlignment="1">
      <alignment wrapText="1"/>
    </xf>
    <xf numFmtId="0" fontId="17" fillId="3" borderId="4" xfId="0" applyFont="1" applyFill="1" applyBorder="1" applyAlignment="1">
      <alignment horizontal="left" vertical="center" wrapText="1"/>
    </xf>
    <xf numFmtId="2" fontId="2" fillId="0" borderId="0" xfId="0" applyNumberFormat="1" applyFont="1"/>
    <xf numFmtId="0" fontId="12" fillId="4" borderId="4" xfId="0" applyFont="1" applyFill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2" xfId="0" applyFont="1" applyBorder="1"/>
    <xf numFmtId="0" fontId="1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7" sqref="F7"/>
    </sheetView>
  </sheetViews>
  <sheetFormatPr defaultColWidth="14.44140625" defaultRowHeight="15" customHeight="1" x14ac:dyDescent="0.3"/>
  <cols>
    <col min="1" max="1" width="92" customWidth="1"/>
    <col min="2" max="6" width="8.6640625" customWidth="1"/>
  </cols>
  <sheetData>
    <row r="1" spans="1:26" ht="23.4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4.5" customHeight="1" x14ac:dyDescent="0.3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3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5" customHeight="1" x14ac:dyDescent="0.3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</row>
    <row r="222" spans="1:26" ht="15.75" customHeight="1" x14ac:dyDescent="0.3">
      <c r="A222" s="2"/>
      <c r="B222" s="2"/>
      <c r="C222" s="2"/>
      <c r="D222" s="2"/>
      <c r="E222" s="2"/>
      <c r="F222" s="2"/>
    </row>
    <row r="223" spans="1:26" ht="15.75" customHeight="1" x14ac:dyDescent="0.3">
      <c r="A223" s="2"/>
      <c r="B223" s="2"/>
      <c r="C223" s="2"/>
      <c r="D223" s="2"/>
      <c r="E223" s="2"/>
      <c r="F223" s="2"/>
    </row>
    <row r="224" spans="1:26" ht="15.75" customHeight="1" x14ac:dyDescent="0.3">
      <c r="A224" s="2"/>
      <c r="B224" s="2"/>
      <c r="C224" s="2"/>
      <c r="D224" s="2"/>
      <c r="E224" s="2"/>
      <c r="F224" s="2"/>
    </row>
    <row r="225" spans="1:6" ht="15.75" customHeight="1" x14ac:dyDescent="0.3">
      <c r="A225" s="2"/>
      <c r="B225" s="2"/>
      <c r="C225" s="2"/>
      <c r="D225" s="2"/>
      <c r="E225" s="2"/>
      <c r="F225" s="2"/>
    </row>
    <row r="226" spans="1:6" ht="15.75" customHeight="1" x14ac:dyDescent="0.3">
      <c r="A226" s="2"/>
      <c r="B226" s="2"/>
      <c r="C226" s="2"/>
      <c r="D226" s="2"/>
      <c r="E226" s="2"/>
      <c r="F226" s="2"/>
    </row>
    <row r="227" spans="1:6" ht="15.75" customHeight="1" x14ac:dyDescent="0.3">
      <c r="A227" s="2"/>
      <c r="B227" s="2"/>
      <c r="C227" s="2"/>
      <c r="D227" s="2"/>
      <c r="E227" s="2"/>
      <c r="F227" s="2"/>
    </row>
    <row r="228" spans="1:6" ht="15.75" customHeight="1" x14ac:dyDescent="0.3">
      <c r="A228" s="2"/>
      <c r="B228" s="2"/>
      <c r="C228" s="2"/>
      <c r="D228" s="2"/>
      <c r="E228" s="2"/>
      <c r="F228" s="2"/>
    </row>
    <row r="229" spans="1:6" ht="15.75" customHeight="1" x14ac:dyDescent="0.3">
      <c r="A229" s="2"/>
      <c r="B229" s="2"/>
      <c r="C229" s="2"/>
      <c r="D229" s="2"/>
      <c r="E229" s="2"/>
      <c r="F229" s="2"/>
    </row>
    <row r="230" spans="1:6" ht="15.75" customHeight="1" x14ac:dyDescent="0.3">
      <c r="A230" s="2"/>
      <c r="B230" s="2"/>
      <c r="C230" s="2"/>
      <c r="D230" s="2"/>
      <c r="E230" s="2"/>
      <c r="F230" s="2"/>
    </row>
    <row r="231" spans="1:6" ht="15.75" customHeight="1" x14ac:dyDescent="0.3">
      <c r="A231" s="2"/>
      <c r="B231" s="2"/>
      <c r="C231" s="2"/>
      <c r="D231" s="2"/>
      <c r="E231" s="2"/>
      <c r="F231" s="2"/>
    </row>
    <row r="232" spans="1:6" ht="15.75" customHeight="1" x14ac:dyDescent="0.3">
      <c r="A232" s="2"/>
      <c r="B232" s="2"/>
      <c r="C232" s="2"/>
      <c r="D232" s="2"/>
      <c r="E232" s="2"/>
      <c r="F232" s="2"/>
    </row>
    <row r="233" spans="1:6" ht="15.75" customHeight="1" x14ac:dyDescent="0.3">
      <c r="A233" s="2"/>
      <c r="B233" s="2"/>
      <c r="C233" s="2"/>
      <c r="D233" s="2"/>
      <c r="E233" s="2"/>
      <c r="F233" s="2"/>
    </row>
    <row r="234" spans="1:6" ht="15.75" customHeight="1" x14ac:dyDescent="0.3">
      <c r="A234" s="2"/>
      <c r="B234" s="2"/>
      <c r="C234" s="2"/>
      <c r="D234" s="2"/>
      <c r="E234" s="2"/>
      <c r="F234" s="2"/>
    </row>
    <row r="235" spans="1:6" ht="15.75" customHeight="1" x14ac:dyDescent="0.3">
      <c r="A235" s="2"/>
      <c r="B235" s="2"/>
      <c r="C235" s="2"/>
      <c r="D235" s="2"/>
      <c r="E235" s="2"/>
      <c r="F235" s="2"/>
    </row>
    <row r="236" spans="1:6" ht="15.75" customHeight="1" x14ac:dyDescent="0.3">
      <c r="A236" s="2"/>
      <c r="B236" s="2"/>
      <c r="C236" s="2"/>
      <c r="D236" s="2"/>
      <c r="E236" s="2"/>
      <c r="F236" s="2"/>
    </row>
    <row r="237" spans="1:6" ht="15.75" customHeight="1" x14ac:dyDescent="0.3">
      <c r="A237" s="2"/>
      <c r="B237" s="2"/>
      <c r="C237" s="2"/>
      <c r="D237" s="2"/>
      <c r="E237" s="2"/>
      <c r="F237" s="2"/>
    </row>
    <row r="238" spans="1:6" ht="15.75" customHeight="1" x14ac:dyDescent="0.3">
      <c r="A238" s="2"/>
      <c r="B238" s="2"/>
      <c r="C238" s="2"/>
      <c r="D238" s="2"/>
      <c r="E238" s="2"/>
      <c r="F238" s="2"/>
    </row>
    <row r="239" spans="1:6" ht="15.75" customHeight="1" x14ac:dyDescent="0.3">
      <c r="A239" s="2"/>
      <c r="B239" s="2"/>
      <c r="C239" s="2"/>
      <c r="D239" s="2"/>
      <c r="E239" s="2"/>
      <c r="F239" s="2"/>
    </row>
    <row r="240" spans="1:6" ht="15.75" customHeight="1" x14ac:dyDescent="0.3">
      <c r="A240" s="2"/>
      <c r="B240" s="2"/>
      <c r="C240" s="2"/>
      <c r="D240" s="2"/>
      <c r="E240" s="2"/>
      <c r="F240" s="2"/>
    </row>
    <row r="241" spans="1:6" ht="15.75" customHeight="1" x14ac:dyDescent="0.3">
      <c r="A241" s="2"/>
      <c r="B241" s="2"/>
      <c r="C241" s="2"/>
      <c r="D241" s="2"/>
      <c r="E241" s="2"/>
      <c r="F241" s="2"/>
    </row>
    <row r="242" spans="1:6" ht="15.75" customHeight="1" x14ac:dyDescent="0.3">
      <c r="A242" s="2"/>
      <c r="B242" s="2"/>
      <c r="C242" s="2"/>
      <c r="D242" s="2"/>
      <c r="E242" s="2"/>
      <c r="F242" s="2"/>
    </row>
    <row r="243" spans="1:6" ht="15.75" customHeight="1" x14ac:dyDescent="0.3">
      <c r="A243" s="2"/>
      <c r="B243" s="2"/>
      <c r="C243" s="2"/>
      <c r="D243" s="2"/>
      <c r="E243" s="2"/>
      <c r="F243" s="2"/>
    </row>
    <row r="244" spans="1:6" ht="15.75" customHeight="1" x14ac:dyDescent="0.3">
      <c r="A244" s="2"/>
      <c r="B244" s="2"/>
      <c r="C244" s="2"/>
      <c r="D244" s="2"/>
      <c r="E244" s="2"/>
      <c r="F244" s="2"/>
    </row>
    <row r="245" spans="1:6" ht="15.75" customHeight="1" x14ac:dyDescent="0.3">
      <c r="A245" s="2"/>
      <c r="B245" s="2"/>
      <c r="C245" s="2"/>
      <c r="D245" s="2"/>
      <c r="E245" s="2"/>
      <c r="F245" s="2"/>
    </row>
    <row r="246" spans="1:6" ht="15.75" customHeight="1" x14ac:dyDescent="0.3">
      <c r="A246" s="2"/>
      <c r="B246" s="2"/>
      <c r="C246" s="2"/>
      <c r="D246" s="2"/>
      <c r="E246" s="2"/>
      <c r="F246" s="2"/>
    </row>
    <row r="247" spans="1:6" ht="15.75" customHeight="1" x14ac:dyDescent="0.3">
      <c r="A247" s="2"/>
      <c r="B247" s="2"/>
      <c r="C247" s="2"/>
      <c r="D247" s="2"/>
      <c r="E247" s="2"/>
      <c r="F247" s="2"/>
    </row>
    <row r="248" spans="1:6" ht="15.75" customHeight="1" x14ac:dyDescent="0.3">
      <c r="A248" s="2"/>
      <c r="B248" s="2"/>
      <c r="C248" s="2"/>
      <c r="D248" s="2"/>
      <c r="E248" s="2"/>
      <c r="F248" s="2"/>
    </row>
    <row r="249" spans="1:6" ht="15.75" customHeight="1" x14ac:dyDescent="0.3">
      <c r="A249" s="2"/>
      <c r="B249" s="2"/>
      <c r="C249" s="2"/>
      <c r="D249" s="2"/>
      <c r="E249" s="2"/>
      <c r="F249" s="2"/>
    </row>
    <row r="250" spans="1:6" ht="15.75" customHeight="1" x14ac:dyDescent="0.3">
      <c r="A250" s="2"/>
      <c r="B250" s="2"/>
      <c r="C250" s="2"/>
      <c r="D250" s="2"/>
      <c r="E250" s="2"/>
      <c r="F250" s="2"/>
    </row>
    <row r="251" spans="1:6" ht="15.75" customHeight="1" x14ac:dyDescent="0.3">
      <c r="A251" s="2"/>
      <c r="B251" s="2"/>
      <c r="C251" s="2"/>
      <c r="D251" s="2"/>
      <c r="E251" s="2"/>
      <c r="F251" s="2"/>
    </row>
    <row r="252" spans="1:6" ht="15.75" customHeight="1" x14ac:dyDescent="0.3">
      <c r="A252" s="2"/>
      <c r="B252" s="2"/>
      <c r="C252" s="2"/>
      <c r="D252" s="2"/>
      <c r="E252" s="2"/>
      <c r="F252" s="2"/>
    </row>
    <row r="253" spans="1:6" ht="15.75" customHeight="1" x14ac:dyDescent="0.3">
      <c r="A253" s="2"/>
      <c r="B253" s="2"/>
      <c r="C253" s="2"/>
      <c r="D253" s="2"/>
      <c r="E253" s="2"/>
      <c r="F253" s="2"/>
    </row>
    <row r="254" spans="1:6" ht="15.75" customHeight="1" x14ac:dyDescent="0.3">
      <c r="A254" s="2"/>
      <c r="B254" s="2"/>
      <c r="C254" s="2"/>
      <c r="D254" s="2"/>
      <c r="E254" s="2"/>
      <c r="F254" s="2"/>
    </row>
    <row r="255" spans="1:6" ht="15.75" customHeight="1" x14ac:dyDescent="0.3">
      <c r="A255" s="2"/>
      <c r="B255" s="2"/>
      <c r="C255" s="2"/>
      <c r="D255" s="2"/>
      <c r="E255" s="2"/>
      <c r="F255" s="2"/>
    </row>
    <row r="256" spans="1:6" ht="15.75" customHeight="1" x14ac:dyDescent="0.3">
      <c r="A256" s="2"/>
      <c r="B256" s="2"/>
      <c r="C256" s="2"/>
      <c r="D256" s="2"/>
      <c r="E256" s="2"/>
      <c r="F256" s="2"/>
    </row>
    <row r="257" spans="1:6" ht="15.75" customHeight="1" x14ac:dyDescent="0.3">
      <c r="A257" s="2"/>
      <c r="B257" s="2"/>
      <c r="C257" s="2"/>
      <c r="D257" s="2"/>
      <c r="E257" s="2"/>
      <c r="F257" s="2"/>
    </row>
    <row r="258" spans="1:6" ht="15.75" customHeight="1" x14ac:dyDescent="0.3">
      <c r="A258" s="2"/>
      <c r="B258" s="2"/>
      <c r="C258" s="2"/>
      <c r="D258" s="2"/>
      <c r="E258" s="2"/>
      <c r="F258" s="2"/>
    </row>
    <row r="259" spans="1:6" ht="15.75" customHeight="1" x14ac:dyDescent="0.3">
      <c r="A259" s="2"/>
      <c r="B259" s="2"/>
      <c r="C259" s="2"/>
      <c r="D259" s="2"/>
      <c r="E259" s="2"/>
      <c r="F259" s="2"/>
    </row>
    <row r="260" spans="1:6" ht="15.75" customHeight="1" x14ac:dyDescent="0.3">
      <c r="A260" s="2"/>
      <c r="B260" s="2"/>
      <c r="C260" s="2"/>
      <c r="D260" s="2"/>
      <c r="E260" s="2"/>
      <c r="F260" s="2"/>
    </row>
    <row r="261" spans="1:6" ht="15.75" customHeight="1" x14ac:dyDescent="0.3">
      <c r="A261" s="2"/>
      <c r="B261" s="2"/>
      <c r="C261" s="2"/>
      <c r="D261" s="2"/>
      <c r="E261" s="2"/>
      <c r="F261" s="2"/>
    </row>
    <row r="262" spans="1:6" ht="15.75" customHeight="1" x14ac:dyDescent="0.3">
      <c r="A262" s="2"/>
      <c r="B262" s="2"/>
      <c r="C262" s="2"/>
      <c r="D262" s="2"/>
      <c r="E262" s="2"/>
      <c r="F262" s="2"/>
    </row>
    <row r="263" spans="1:6" ht="15.75" customHeight="1" x14ac:dyDescent="0.3">
      <c r="A263" s="2"/>
      <c r="B263" s="2"/>
      <c r="C263" s="2"/>
      <c r="D263" s="2"/>
      <c r="E263" s="2"/>
      <c r="F263" s="2"/>
    </row>
    <row r="264" spans="1:6" ht="15.75" customHeight="1" x14ac:dyDescent="0.3">
      <c r="A264" s="2"/>
      <c r="B264" s="2"/>
      <c r="C264" s="2"/>
      <c r="D264" s="2"/>
      <c r="E264" s="2"/>
      <c r="F264" s="2"/>
    </row>
    <row r="265" spans="1:6" ht="15.75" customHeight="1" x14ac:dyDescent="0.3">
      <c r="A265" s="2"/>
      <c r="B265" s="2"/>
      <c r="C265" s="2"/>
      <c r="D265" s="2"/>
      <c r="E265" s="2"/>
      <c r="F265" s="2"/>
    </row>
    <row r="266" spans="1:6" ht="15.75" customHeight="1" x14ac:dyDescent="0.3">
      <c r="A266" s="2"/>
      <c r="B266" s="2"/>
      <c r="C266" s="2"/>
      <c r="D266" s="2"/>
      <c r="E266" s="2"/>
      <c r="F266" s="2"/>
    </row>
    <row r="267" spans="1:6" ht="15.75" customHeight="1" x14ac:dyDescent="0.3">
      <c r="A267" s="2"/>
      <c r="B267" s="2"/>
      <c r="C267" s="2"/>
      <c r="D267" s="2"/>
      <c r="E267" s="2"/>
      <c r="F267" s="2"/>
    </row>
    <row r="268" spans="1:6" ht="15.75" customHeight="1" x14ac:dyDescent="0.3">
      <c r="A268" s="2"/>
      <c r="B268" s="2"/>
      <c r="C268" s="2"/>
      <c r="D268" s="2"/>
      <c r="E268" s="2"/>
      <c r="F268" s="2"/>
    </row>
    <row r="269" spans="1:6" ht="15.75" customHeight="1" x14ac:dyDescent="0.3">
      <c r="A269" s="2"/>
      <c r="B269" s="2"/>
      <c r="C269" s="2"/>
      <c r="D269" s="2"/>
      <c r="E269" s="2"/>
      <c r="F269" s="2"/>
    </row>
    <row r="270" spans="1:6" ht="15.75" customHeight="1" x14ac:dyDescent="0.3">
      <c r="A270" s="2"/>
      <c r="B270" s="2"/>
      <c r="C270" s="2"/>
      <c r="D270" s="2"/>
      <c r="E270" s="2"/>
      <c r="F270" s="2"/>
    </row>
    <row r="271" spans="1:6" ht="15.75" customHeight="1" x14ac:dyDescent="0.3">
      <c r="A271" s="2"/>
      <c r="B271" s="2"/>
      <c r="C271" s="2"/>
      <c r="D271" s="2"/>
      <c r="E271" s="2"/>
      <c r="F271" s="2"/>
    </row>
    <row r="272" spans="1:6" ht="15.75" customHeight="1" x14ac:dyDescent="0.3">
      <c r="A272" s="2"/>
      <c r="B272" s="2"/>
      <c r="C272" s="2"/>
      <c r="D272" s="2"/>
      <c r="E272" s="2"/>
      <c r="F272" s="2"/>
    </row>
    <row r="273" spans="1:6" ht="15.75" customHeight="1" x14ac:dyDescent="0.3">
      <c r="A273" s="2"/>
      <c r="B273" s="2"/>
      <c r="C273" s="2"/>
      <c r="D273" s="2"/>
      <c r="E273" s="2"/>
      <c r="F273" s="2"/>
    </row>
    <row r="274" spans="1:6" ht="15.75" customHeight="1" x14ac:dyDescent="0.3">
      <c r="A274" s="2"/>
      <c r="B274" s="2"/>
      <c r="C274" s="2"/>
      <c r="D274" s="2"/>
      <c r="E274" s="2"/>
      <c r="F274" s="2"/>
    </row>
    <row r="275" spans="1:6" ht="15.75" customHeight="1" x14ac:dyDescent="0.3">
      <c r="A275" s="2"/>
      <c r="B275" s="2"/>
      <c r="C275" s="2"/>
      <c r="D275" s="2"/>
      <c r="E275" s="2"/>
      <c r="F275" s="2"/>
    </row>
    <row r="276" spans="1:6" ht="15.75" customHeight="1" x14ac:dyDescent="0.3">
      <c r="A276" s="2"/>
      <c r="B276" s="2"/>
      <c r="C276" s="2"/>
      <c r="D276" s="2"/>
      <c r="E276" s="2"/>
      <c r="F276" s="2"/>
    </row>
    <row r="277" spans="1:6" ht="15.75" customHeight="1" x14ac:dyDescent="0.3">
      <c r="A277" s="2"/>
      <c r="B277" s="2"/>
      <c r="C277" s="2"/>
      <c r="D277" s="2"/>
      <c r="E277" s="2"/>
      <c r="F277" s="2"/>
    </row>
    <row r="278" spans="1:6" ht="15.75" customHeight="1" x14ac:dyDescent="0.3">
      <c r="A278" s="2"/>
      <c r="B278" s="2"/>
      <c r="C278" s="2"/>
      <c r="D278" s="2"/>
      <c r="E278" s="2"/>
      <c r="F278" s="2"/>
    </row>
    <row r="279" spans="1:6" ht="15.75" customHeight="1" x14ac:dyDescent="0.3">
      <c r="A279" s="2"/>
      <c r="B279" s="2"/>
      <c r="C279" s="2"/>
      <c r="D279" s="2"/>
      <c r="E279" s="2"/>
      <c r="F279" s="2"/>
    </row>
    <row r="280" spans="1:6" ht="15.75" customHeight="1" x14ac:dyDescent="0.3">
      <c r="A280" s="2"/>
      <c r="B280" s="2"/>
      <c r="C280" s="2"/>
      <c r="D280" s="2"/>
      <c r="E280" s="2"/>
      <c r="F280" s="2"/>
    </row>
    <row r="281" spans="1:6" ht="15.75" customHeight="1" x14ac:dyDescent="0.3">
      <c r="A281" s="2"/>
      <c r="B281" s="2"/>
      <c r="C281" s="2"/>
      <c r="D281" s="2"/>
      <c r="E281" s="2"/>
      <c r="F281" s="2"/>
    </row>
    <row r="282" spans="1:6" ht="15.75" customHeight="1" x14ac:dyDescent="0.3">
      <c r="A282" s="2"/>
      <c r="B282" s="2"/>
      <c r="C282" s="2"/>
      <c r="D282" s="2"/>
      <c r="E282" s="2"/>
      <c r="F282" s="2"/>
    </row>
    <row r="283" spans="1:6" ht="15.75" customHeight="1" x14ac:dyDescent="0.3">
      <c r="A283" s="2"/>
      <c r="B283" s="2"/>
      <c r="C283" s="2"/>
      <c r="D283" s="2"/>
      <c r="E283" s="2"/>
      <c r="F283" s="2"/>
    </row>
    <row r="284" spans="1:6" ht="15.75" customHeight="1" x14ac:dyDescent="0.3">
      <c r="A284" s="2"/>
      <c r="B284" s="2"/>
      <c r="C284" s="2"/>
      <c r="D284" s="2"/>
      <c r="E284" s="2"/>
      <c r="F284" s="2"/>
    </row>
    <row r="285" spans="1:6" ht="15.75" customHeight="1" x14ac:dyDescent="0.3">
      <c r="A285" s="2"/>
      <c r="B285" s="2"/>
      <c r="C285" s="2"/>
      <c r="D285" s="2"/>
      <c r="E285" s="2"/>
      <c r="F285" s="2"/>
    </row>
    <row r="286" spans="1:6" ht="15.75" customHeight="1" x14ac:dyDescent="0.3">
      <c r="A286" s="2"/>
      <c r="B286" s="2"/>
      <c r="C286" s="2"/>
      <c r="D286" s="2"/>
      <c r="E286" s="2"/>
      <c r="F286" s="2"/>
    </row>
    <row r="287" spans="1:6" ht="15.75" customHeight="1" x14ac:dyDescent="0.3">
      <c r="A287" s="2"/>
      <c r="B287" s="2"/>
      <c r="C287" s="2"/>
      <c r="D287" s="2"/>
      <c r="E287" s="2"/>
      <c r="F287" s="2"/>
    </row>
    <row r="288" spans="1:6" ht="15.75" customHeight="1" x14ac:dyDescent="0.3">
      <c r="A288" s="2"/>
      <c r="B288" s="2"/>
      <c r="C288" s="2"/>
      <c r="D288" s="2"/>
      <c r="E288" s="2"/>
      <c r="F288" s="2"/>
    </row>
    <row r="289" spans="1:6" ht="15.75" customHeight="1" x14ac:dyDescent="0.3">
      <c r="A289" s="2"/>
      <c r="B289" s="2"/>
      <c r="C289" s="2"/>
      <c r="D289" s="2"/>
      <c r="E289" s="2"/>
      <c r="F289" s="2"/>
    </row>
    <row r="290" spans="1:6" ht="15.75" customHeight="1" x14ac:dyDescent="0.3">
      <c r="A290" s="2"/>
      <c r="B290" s="2"/>
      <c r="C290" s="2"/>
      <c r="D290" s="2"/>
      <c r="E290" s="2"/>
      <c r="F290" s="2"/>
    </row>
    <row r="291" spans="1:6" ht="15.75" customHeight="1" x14ac:dyDescent="0.3">
      <c r="A291" s="2"/>
      <c r="B291" s="2"/>
      <c r="C291" s="2"/>
      <c r="D291" s="2"/>
      <c r="E291" s="2"/>
      <c r="F291" s="2"/>
    </row>
    <row r="292" spans="1:6" ht="15.75" customHeight="1" x14ac:dyDescent="0.3">
      <c r="A292" s="2"/>
      <c r="B292" s="2"/>
      <c r="C292" s="2"/>
      <c r="D292" s="2"/>
      <c r="E292" s="2"/>
      <c r="F292" s="2"/>
    </row>
    <row r="293" spans="1:6" ht="15.75" customHeight="1" x14ac:dyDescent="0.3">
      <c r="A293" s="2"/>
      <c r="B293" s="2"/>
      <c r="C293" s="2"/>
      <c r="D293" s="2"/>
      <c r="E293" s="2"/>
      <c r="F293" s="2"/>
    </row>
    <row r="294" spans="1:6" ht="15.75" customHeight="1" x14ac:dyDescent="0.3">
      <c r="A294" s="2"/>
      <c r="B294" s="2"/>
      <c r="C294" s="2"/>
      <c r="D294" s="2"/>
      <c r="E294" s="2"/>
      <c r="F294" s="2"/>
    </row>
    <row r="295" spans="1:6" ht="15.75" customHeight="1" x14ac:dyDescent="0.3">
      <c r="A295" s="2"/>
      <c r="B295" s="2"/>
      <c r="C295" s="2"/>
      <c r="D295" s="2"/>
      <c r="E295" s="2"/>
      <c r="F295" s="2"/>
    </row>
    <row r="296" spans="1:6" ht="15.75" customHeight="1" x14ac:dyDescent="0.3">
      <c r="A296" s="2"/>
      <c r="B296" s="2"/>
      <c r="C296" s="2"/>
      <c r="D296" s="2"/>
      <c r="E296" s="2"/>
      <c r="F296" s="2"/>
    </row>
    <row r="297" spans="1:6" ht="15.75" customHeight="1" x14ac:dyDescent="0.3">
      <c r="A297" s="2"/>
      <c r="B297" s="2"/>
      <c r="C297" s="2"/>
      <c r="D297" s="2"/>
      <c r="E297" s="2"/>
      <c r="F297" s="2"/>
    </row>
    <row r="298" spans="1:6" ht="15.75" customHeight="1" x14ac:dyDescent="0.3">
      <c r="A298" s="2"/>
      <c r="B298" s="2"/>
      <c r="C298" s="2"/>
      <c r="D298" s="2"/>
      <c r="E298" s="2"/>
      <c r="F298" s="2"/>
    </row>
    <row r="299" spans="1:6" ht="15.75" customHeight="1" x14ac:dyDescent="0.3">
      <c r="A299" s="2"/>
      <c r="B299" s="2"/>
      <c r="C299" s="2"/>
      <c r="D299" s="2"/>
      <c r="E299" s="2"/>
      <c r="F299" s="2"/>
    </row>
    <row r="300" spans="1:6" ht="15.75" customHeight="1" x14ac:dyDescent="0.3">
      <c r="A300" s="2"/>
      <c r="B300" s="2"/>
      <c r="C300" s="2"/>
      <c r="D300" s="2"/>
      <c r="E300" s="2"/>
      <c r="F300" s="2"/>
    </row>
    <row r="301" spans="1:6" ht="15.75" customHeight="1" x14ac:dyDescent="0.3">
      <c r="A301" s="2"/>
      <c r="B301" s="2"/>
      <c r="C301" s="2"/>
      <c r="D301" s="2"/>
      <c r="E301" s="2"/>
      <c r="F301" s="2"/>
    </row>
    <row r="302" spans="1:6" ht="15.75" customHeight="1" x14ac:dyDescent="0.3">
      <c r="A302" s="2"/>
      <c r="B302" s="2"/>
      <c r="C302" s="2"/>
      <c r="D302" s="2"/>
      <c r="E302" s="2"/>
      <c r="F302" s="2"/>
    </row>
    <row r="303" spans="1:6" ht="15.75" customHeight="1" x14ac:dyDescent="0.3">
      <c r="A303" s="2"/>
      <c r="B303" s="2"/>
      <c r="C303" s="2"/>
      <c r="D303" s="2"/>
      <c r="E303" s="2"/>
      <c r="F303" s="2"/>
    </row>
    <row r="304" spans="1:6" ht="15.75" customHeight="1" x14ac:dyDescent="0.3">
      <c r="A304" s="2"/>
      <c r="B304" s="2"/>
      <c r="C304" s="2"/>
      <c r="D304" s="2"/>
      <c r="E304" s="2"/>
      <c r="F304" s="2"/>
    </row>
    <row r="305" spans="1:6" ht="15.75" customHeight="1" x14ac:dyDescent="0.3">
      <c r="A305" s="2"/>
      <c r="B305" s="2"/>
      <c r="C305" s="2"/>
      <c r="D305" s="2"/>
      <c r="E305" s="2"/>
      <c r="F305" s="2"/>
    </row>
    <row r="306" spans="1:6" ht="15.75" customHeight="1" x14ac:dyDescent="0.3">
      <c r="A306" s="2"/>
      <c r="B306" s="2"/>
      <c r="C306" s="2"/>
      <c r="D306" s="2"/>
      <c r="E306" s="2"/>
      <c r="F306" s="2"/>
    </row>
    <row r="307" spans="1:6" ht="15.75" customHeight="1" x14ac:dyDescent="0.3">
      <c r="A307" s="2"/>
      <c r="B307" s="2"/>
      <c r="C307" s="2"/>
      <c r="D307" s="2"/>
      <c r="E307" s="2"/>
      <c r="F307" s="2"/>
    </row>
    <row r="308" spans="1:6" ht="15.75" customHeight="1" x14ac:dyDescent="0.3">
      <c r="A308" s="2"/>
      <c r="B308" s="2"/>
      <c r="C308" s="2"/>
      <c r="D308" s="2"/>
      <c r="E308" s="2"/>
      <c r="F308" s="2"/>
    </row>
    <row r="309" spans="1:6" ht="15.75" customHeight="1" x14ac:dyDescent="0.3">
      <c r="A309" s="2"/>
      <c r="B309" s="2"/>
      <c r="C309" s="2"/>
      <c r="D309" s="2"/>
      <c r="E309" s="2"/>
      <c r="F309" s="2"/>
    </row>
    <row r="310" spans="1:6" ht="15.75" customHeight="1" x14ac:dyDescent="0.3">
      <c r="A310" s="2"/>
      <c r="B310" s="2"/>
      <c r="C310" s="2"/>
      <c r="D310" s="2"/>
      <c r="E310" s="2"/>
      <c r="F310" s="2"/>
    </row>
    <row r="311" spans="1:6" ht="15.75" customHeight="1" x14ac:dyDescent="0.3">
      <c r="A311" s="2"/>
      <c r="B311" s="2"/>
      <c r="C311" s="2"/>
      <c r="D311" s="2"/>
      <c r="E311" s="2"/>
      <c r="F311" s="2"/>
    </row>
    <row r="312" spans="1:6" ht="15.75" customHeight="1" x14ac:dyDescent="0.3">
      <c r="A312" s="2"/>
      <c r="B312" s="2"/>
      <c r="C312" s="2"/>
      <c r="D312" s="2"/>
      <c r="E312" s="2"/>
      <c r="F312" s="2"/>
    </row>
    <row r="313" spans="1:6" ht="15.75" customHeight="1" x14ac:dyDescent="0.3">
      <c r="A313" s="2"/>
      <c r="B313" s="2"/>
      <c r="C313" s="2"/>
      <c r="D313" s="2"/>
      <c r="E313" s="2"/>
      <c r="F313" s="2"/>
    </row>
    <row r="314" spans="1:6" ht="15.75" customHeight="1" x14ac:dyDescent="0.3">
      <c r="A314" s="2"/>
      <c r="B314" s="2"/>
      <c r="C314" s="2"/>
      <c r="D314" s="2"/>
      <c r="E314" s="2"/>
      <c r="F314" s="2"/>
    </row>
    <row r="315" spans="1:6" ht="15.75" customHeight="1" x14ac:dyDescent="0.3">
      <c r="A315" s="2"/>
      <c r="B315" s="2"/>
      <c r="C315" s="2"/>
      <c r="D315" s="2"/>
      <c r="E315" s="2"/>
      <c r="F315" s="2"/>
    </row>
    <row r="316" spans="1:6" ht="15.75" customHeight="1" x14ac:dyDescent="0.3">
      <c r="A316" s="2"/>
      <c r="B316" s="2"/>
      <c r="C316" s="2"/>
      <c r="D316" s="2"/>
      <c r="E316" s="2"/>
      <c r="F316" s="2"/>
    </row>
    <row r="317" spans="1:6" ht="15.75" customHeight="1" x14ac:dyDescent="0.3">
      <c r="A317" s="2"/>
      <c r="B317" s="2"/>
      <c r="C317" s="2"/>
      <c r="D317" s="2"/>
      <c r="E317" s="2"/>
      <c r="F317" s="2"/>
    </row>
    <row r="318" spans="1:6" ht="15.75" customHeight="1" x14ac:dyDescent="0.3">
      <c r="A318" s="2"/>
      <c r="B318" s="2"/>
      <c r="C318" s="2"/>
      <c r="D318" s="2"/>
      <c r="E318" s="2"/>
      <c r="F318" s="2"/>
    </row>
    <row r="319" spans="1:6" ht="15.75" customHeight="1" x14ac:dyDescent="0.3">
      <c r="A319" s="2"/>
      <c r="B319" s="2"/>
      <c r="C319" s="2"/>
      <c r="D319" s="2"/>
      <c r="E319" s="2"/>
      <c r="F319" s="2"/>
    </row>
    <row r="320" spans="1:6" ht="15.75" customHeight="1" x14ac:dyDescent="0.3">
      <c r="A320" s="2"/>
      <c r="B320" s="2"/>
      <c r="C320" s="2"/>
      <c r="D320" s="2"/>
      <c r="E320" s="2"/>
      <c r="F320" s="2"/>
    </row>
    <row r="321" spans="1:6" ht="15.75" customHeight="1" x14ac:dyDescent="0.3">
      <c r="A321" s="2"/>
      <c r="B321" s="2"/>
      <c r="C321" s="2"/>
      <c r="D321" s="2"/>
      <c r="E321" s="2"/>
      <c r="F321" s="2"/>
    </row>
    <row r="322" spans="1:6" ht="15.75" customHeight="1" x14ac:dyDescent="0.3">
      <c r="A322" s="2"/>
      <c r="B322" s="2"/>
      <c r="C322" s="2"/>
      <c r="D322" s="2"/>
      <c r="E322" s="2"/>
      <c r="F322" s="2"/>
    </row>
    <row r="323" spans="1:6" ht="15.75" customHeight="1" x14ac:dyDescent="0.3">
      <c r="A323" s="2"/>
      <c r="B323" s="2"/>
      <c r="C323" s="2"/>
      <c r="D323" s="2"/>
      <c r="E323" s="2"/>
      <c r="F323" s="2"/>
    </row>
    <row r="324" spans="1:6" ht="15.75" customHeight="1" x14ac:dyDescent="0.3">
      <c r="A324" s="2"/>
      <c r="B324" s="2"/>
      <c r="C324" s="2"/>
      <c r="D324" s="2"/>
      <c r="E324" s="2"/>
      <c r="F324" s="2"/>
    </row>
    <row r="325" spans="1:6" ht="15.75" customHeight="1" x14ac:dyDescent="0.3">
      <c r="A325" s="2"/>
      <c r="B325" s="2"/>
      <c r="C325" s="2"/>
      <c r="D325" s="2"/>
      <c r="E325" s="2"/>
      <c r="F325" s="2"/>
    </row>
    <row r="326" spans="1:6" ht="15.75" customHeight="1" x14ac:dyDescent="0.3">
      <c r="A326" s="2"/>
      <c r="B326" s="2"/>
      <c r="C326" s="2"/>
      <c r="D326" s="2"/>
      <c r="E326" s="2"/>
      <c r="F326" s="2"/>
    </row>
    <row r="327" spans="1:6" ht="15.75" customHeight="1" x14ac:dyDescent="0.3">
      <c r="A327" s="2"/>
      <c r="B327" s="2"/>
      <c r="C327" s="2"/>
      <c r="D327" s="2"/>
      <c r="E327" s="2"/>
      <c r="F327" s="2"/>
    </row>
    <row r="328" spans="1:6" ht="15.75" customHeight="1" x14ac:dyDescent="0.3">
      <c r="A328" s="2"/>
      <c r="B328" s="2"/>
      <c r="C328" s="2"/>
      <c r="D328" s="2"/>
      <c r="E328" s="2"/>
      <c r="F328" s="2"/>
    </row>
    <row r="329" spans="1:6" ht="15.75" customHeight="1" x14ac:dyDescent="0.3">
      <c r="A329" s="2"/>
      <c r="B329" s="2"/>
      <c r="C329" s="2"/>
      <c r="D329" s="2"/>
      <c r="E329" s="2"/>
      <c r="F329" s="2"/>
    </row>
    <row r="330" spans="1:6" ht="15.75" customHeight="1" x14ac:dyDescent="0.3">
      <c r="A330" s="2"/>
      <c r="B330" s="2"/>
      <c r="C330" s="2"/>
      <c r="D330" s="2"/>
      <c r="E330" s="2"/>
      <c r="F330" s="2"/>
    </row>
    <row r="331" spans="1:6" ht="15.75" customHeight="1" x14ac:dyDescent="0.3">
      <c r="A331" s="2"/>
      <c r="B331" s="2"/>
      <c r="C331" s="2"/>
      <c r="D331" s="2"/>
      <c r="E331" s="2"/>
      <c r="F331" s="2"/>
    </row>
    <row r="332" spans="1:6" ht="15.75" customHeight="1" x14ac:dyDescent="0.3">
      <c r="A332" s="2"/>
      <c r="B332" s="2"/>
      <c r="C332" s="2"/>
      <c r="D332" s="2"/>
      <c r="E332" s="2"/>
      <c r="F332" s="2"/>
    </row>
    <row r="333" spans="1:6" ht="15.75" customHeight="1" x14ac:dyDescent="0.3">
      <c r="A333" s="2"/>
      <c r="B333" s="2"/>
      <c r="C333" s="2"/>
      <c r="D333" s="2"/>
      <c r="E333" s="2"/>
      <c r="F333" s="2"/>
    </row>
    <row r="334" spans="1:6" ht="15.75" customHeight="1" x14ac:dyDescent="0.3">
      <c r="A334" s="2"/>
      <c r="B334" s="2"/>
      <c r="C334" s="2"/>
      <c r="D334" s="2"/>
      <c r="E334" s="2"/>
      <c r="F334" s="2"/>
    </row>
    <row r="335" spans="1:6" ht="15.75" customHeight="1" x14ac:dyDescent="0.3">
      <c r="A335" s="2"/>
      <c r="B335" s="2"/>
      <c r="C335" s="2"/>
      <c r="D335" s="2"/>
      <c r="E335" s="2"/>
      <c r="F335" s="2"/>
    </row>
    <row r="336" spans="1:6" ht="15.75" customHeight="1" x14ac:dyDescent="0.3">
      <c r="A336" s="2"/>
      <c r="B336" s="2"/>
      <c r="C336" s="2"/>
      <c r="D336" s="2"/>
      <c r="E336" s="2"/>
      <c r="F336" s="2"/>
    </row>
    <row r="337" spans="1:6" ht="15.75" customHeight="1" x14ac:dyDescent="0.3">
      <c r="A337" s="2"/>
      <c r="B337" s="2"/>
      <c r="C337" s="2"/>
      <c r="D337" s="2"/>
      <c r="E337" s="2"/>
      <c r="F337" s="2"/>
    </row>
    <row r="338" spans="1:6" ht="15.75" customHeight="1" x14ac:dyDescent="0.3">
      <c r="A338" s="2"/>
      <c r="B338" s="2"/>
      <c r="C338" s="2"/>
      <c r="D338" s="2"/>
      <c r="E338" s="2"/>
      <c r="F338" s="2"/>
    </row>
    <row r="339" spans="1:6" ht="15.75" customHeight="1" x14ac:dyDescent="0.3">
      <c r="A339" s="2"/>
      <c r="B339" s="2"/>
      <c r="C339" s="2"/>
      <c r="D339" s="2"/>
      <c r="E339" s="2"/>
      <c r="F339" s="2"/>
    </row>
    <row r="340" spans="1:6" ht="15.75" customHeight="1" x14ac:dyDescent="0.3">
      <c r="A340" s="2"/>
      <c r="B340" s="2"/>
      <c r="C340" s="2"/>
      <c r="D340" s="2"/>
      <c r="E340" s="2"/>
      <c r="F340" s="2"/>
    </row>
    <row r="341" spans="1:6" ht="15.75" customHeight="1" x14ac:dyDescent="0.3">
      <c r="A341" s="2"/>
      <c r="B341" s="2"/>
      <c r="C341" s="2"/>
      <c r="D341" s="2"/>
      <c r="E341" s="2"/>
      <c r="F341" s="2"/>
    </row>
    <row r="342" spans="1:6" ht="15.75" customHeight="1" x14ac:dyDescent="0.3">
      <c r="A342" s="2"/>
      <c r="B342" s="2"/>
      <c r="C342" s="2"/>
      <c r="D342" s="2"/>
      <c r="E342" s="2"/>
      <c r="F342" s="2"/>
    </row>
    <row r="343" spans="1:6" ht="15.75" customHeight="1" x14ac:dyDescent="0.3">
      <c r="A343" s="2"/>
      <c r="B343" s="2"/>
      <c r="C343" s="2"/>
      <c r="D343" s="2"/>
      <c r="E343" s="2"/>
      <c r="F343" s="2"/>
    </row>
    <row r="344" spans="1:6" ht="15.75" customHeight="1" x14ac:dyDescent="0.3">
      <c r="A344" s="2"/>
      <c r="B344" s="2"/>
      <c r="C344" s="2"/>
      <c r="D344" s="2"/>
      <c r="E344" s="2"/>
      <c r="F344" s="2"/>
    </row>
    <row r="345" spans="1:6" ht="15.75" customHeight="1" x14ac:dyDescent="0.3">
      <c r="A345" s="2"/>
      <c r="B345" s="2"/>
      <c r="C345" s="2"/>
      <c r="D345" s="2"/>
      <c r="E345" s="2"/>
      <c r="F345" s="2"/>
    </row>
    <row r="346" spans="1:6" ht="15.75" customHeight="1" x14ac:dyDescent="0.3">
      <c r="A346" s="2"/>
      <c r="B346" s="2"/>
      <c r="C346" s="2"/>
      <c r="D346" s="2"/>
      <c r="E346" s="2"/>
      <c r="F346" s="2"/>
    </row>
    <row r="347" spans="1:6" ht="15.75" customHeight="1" x14ac:dyDescent="0.3">
      <c r="A347" s="2"/>
      <c r="B347" s="2"/>
      <c r="C347" s="2"/>
      <c r="D347" s="2"/>
      <c r="E347" s="2"/>
      <c r="F347" s="2"/>
    </row>
    <row r="348" spans="1:6" ht="15.75" customHeight="1" x14ac:dyDescent="0.3">
      <c r="A348" s="2"/>
      <c r="B348" s="2"/>
      <c r="C348" s="2"/>
      <c r="D348" s="2"/>
      <c r="E348" s="2"/>
      <c r="F348" s="2"/>
    </row>
    <row r="349" spans="1:6" ht="15.75" customHeight="1" x14ac:dyDescent="0.3">
      <c r="A349" s="2"/>
      <c r="B349" s="2"/>
      <c r="C349" s="2"/>
      <c r="D349" s="2"/>
      <c r="E349" s="2"/>
      <c r="F349" s="2"/>
    </row>
    <row r="350" spans="1:6" ht="15.75" customHeight="1" x14ac:dyDescent="0.3">
      <c r="A350" s="2"/>
      <c r="B350" s="2"/>
      <c r="C350" s="2"/>
      <c r="D350" s="2"/>
      <c r="E350" s="2"/>
      <c r="F350" s="2"/>
    </row>
    <row r="351" spans="1:6" ht="15.75" customHeight="1" x14ac:dyDescent="0.3">
      <c r="A351" s="2"/>
      <c r="B351" s="2"/>
      <c r="C351" s="2"/>
      <c r="D351" s="2"/>
      <c r="E351" s="2"/>
      <c r="F351" s="2"/>
    </row>
    <row r="352" spans="1:6" ht="15.75" customHeight="1" x14ac:dyDescent="0.3">
      <c r="A352" s="2"/>
      <c r="B352" s="2"/>
      <c r="C352" s="2"/>
      <c r="D352" s="2"/>
      <c r="E352" s="2"/>
      <c r="F352" s="2"/>
    </row>
    <row r="353" spans="1:6" ht="15.75" customHeight="1" x14ac:dyDescent="0.3">
      <c r="A353" s="2"/>
      <c r="B353" s="2"/>
      <c r="C353" s="2"/>
      <c r="D353" s="2"/>
      <c r="E353" s="2"/>
      <c r="F353" s="2"/>
    </row>
    <row r="354" spans="1:6" ht="15.75" customHeight="1" x14ac:dyDescent="0.3">
      <c r="A354" s="2"/>
      <c r="B354" s="2"/>
      <c r="C354" s="2"/>
      <c r="D354" s="2"/>
      <c r="E354" s="2"/>
      <c r="F354" s="2"/>
    </row>
    <row r="355" spans="1:6" ht="15.75" customHeight="1" x14ac:dyDescent="0.3">
      <c r="A355" s="2"/>
      <c r="B355" s="2"/>
      <c r="C355" s="2"/>
      <c r="D355" s="2"/>
      <c r="E355" s="2"/>
      <c r="F355" s="2"/>
    </row>
    <row r="356" spans="1:6" ht="15.75" customHeight="1" x14ac:dyDescent="0.3">
      <c r="A356" s="2"/>
      <c r="B356" s="2"/>
      <c r="C356" s="2"/>
      <c r="D356" s="2"/>
      <c r="E356" s="2"/>
      <c r="F356" s="2"/>
    </row>
    <row r="357" spans="1:6" ht="15.75" customHeight="1" x14ac:dyDescent="0.3">
      <c r="A357" s="2"/>
      <c r="B357" s="2"/>
      <c r="C357" s="2"/>
      <c r="D357" s="2"/>
      <c r="E357" s="2"/>
      <c r="F357" s="2"/>
    </row>
    <row r="358" spans="1:6" ht="15.75" customHeight="1" x14ac:dyDescent="0.3">
      <c r="A358" s="2"/>
      <c r="B358" s="2"/>
      <c r="C358" s="2"/>
      <c r="D358" s="2"/>
      <c r="E358" s="2"/>
      <c r="F358" s="2"/>
    </row>
    <row r="359" spans="1:6" ht="15.75" customHeight="1" x14ac:dyDescent="0.3">
      <c r="A359" s="2"/>
      <c r="B359" s="2"/>
      <c r="C359" s="2"/>
      <c r="D359" s="2"/>
      <c r="E359" s="2"/>
      <c r="F359" s="2"/>
    </row>
    <row r="360" spans="1:6" ht="15.75" customHeight="1" x14ac:dyDescent="0.3">
      <c r="A360" s="2"/>
      <c r="B360" s="2"/>
      <c r="C360" s="2"/>
      <c r="D360" s="2"/>
      <c r="E360" s="2"/>
      <c r="F360" s="2"/>
    </row>
    <row r="361" spans="1:6" ht="15.75" customHeight="1" x14ac:dyDescent="0.3">
      <c r="A361" s="2"/>
      <c r="B361" s="2"/>
      <c r="C361" s="2"/>
      <c r="D361" s="2"/>
      <c r="E361" s="2"/>
      <c r="F361" s="2"/>
    </row>
    <row r="362" spans="1:6" ht="15.75" customHeight="1" x14ac:dyDescent="0.3">
      <c r="A362" s="2"/>
      <c r="B362" s="2"/>
      <c r="C362" s="2"/>
      <c r="D362" s="2"/>
      <c r="E362" s="2"/>
      <c r="F362" s="2"/>
    </row>
    <row r="363" spans="1:6" ht="15.75" customHeight="1" x14ac:dyDescent="0.3">
      <c r="A363" s="2"/>
      <c r="B363" s="2"/>
      <c r="C363" s="2"/>
      <c r="D363" s="2"/>
      <c r="E363" s="2"/>
      <c r="F363" s="2"/>
    </row>
    <row r="364" spans="1:6" ht="15.75" customHeight="1" x14ac:dyDescent="0.3">
      <c r="A364" s="2"/>
      <c r="B364" s="2"/>
      <c r="C364" s="2"/>
      <c r="D364" s="2"/>
      <c r="E364" s="2"/>
      <c r="F364" s="2"/>
    </row>
    <row r="365" spans="1:6" ht="15.75" customHeight="1" x14ac:dyDescent="0.3">
      <c r="A365" s="2"/>
      <c r="B365" s="2"/>
      <c r="C365" s="2"/>
      <c r="D365" s="2"/>
      <c r="E365" s="2"/>
      <c r="F365" s="2"/>
    </row>
    <row r="366" spans="1:6" ht="15.75" customHeight="1" x14ac:dyDescent="0.3">
      <c r="A366" s="2"/>
      <c r="B366" s="2"/>
      <c r="C366" s="2"/>
      <c r="D366" s="2"/>
      <c r="E366" s="2"/>
      <c r="F366" s="2"/>
    </row>
    <row r="367" spans="1:6" ht="15.75" customHeight="1" x14ac:dyDescent="0.3">
      <c r="A367" s="2"/>
      <c r="B367" s="2"/>
      <c r="C367" s="2"/>
      <c r="D367" s="2"/>
      <c r="E367" s="2"/>
      <c r="F367" s="2"/>
    </row>
    <row r="368" spans="1:6" ht="15.75" customHeight="1" x14ac:dyDescent="0.3">
      <c r="A368" s="2"/>
      <c r="B368" s="2"/>
      <c r="C368" s="2"/>
      <c r="D368" s="2"/>
      <c r="E368" s="2"/>
      <c r="F368" s="2"/>
    </row>
    <row r="369" spans="1:6" ht="15.75" customHeight="1" x14ac:dyDescent="0.3">
      <c r="A369" s="2"/>
      <c r="B369" s="2"/>
      <c r="C369" s="2"/>
      <c r="D369" s="2"/>
      <c r="E369" s="2"/>
      <c r="F369" s="2"/>
    </row>
    <row r="370" spans="1:6" ht="15.75" customHeight="1" x14ac:dyDescent="0.3">
      <c r="A370" s="2"/>
      <c r="B370" s="2"/>
      <c r="C370" s="2"/>
      <c r="D370" s="2"/>
      <c r="E370" s="2"/>
      <c r="F370" s="2"/>
    </row>
    <row r="371" spans="1:6" ht="15.75" customHeight="1" x14ac:dyDescent="0.3">
      <c r="A371" s="2"/>
      <c r="B371" s="2"/>
      <c r="C371" s="2"/>
      <c r="D371" s="2"/>
      <c r="E371" s="2"/>
      <c r="F371" s="2"/>
    </row>
    <row r="372" spans="1:6" ht="15.75" customHeight="1" x14ac:dyDescent="0.3">
      <c r="A372" s="2"/>
      <c r="B372" s="2"/>
      <c r="C372" s="2"/>
      <c r="D372" s="2"/>
      <c r="E372" s="2"/>
      <c r="F372" s="2"/>
    </row>
    <row r="373" spans="1:6" ht="15.75" customHeight="1" x14ac:dyDescent="0.3">
      <c r="A373" s="2"/>
      <c r="B373" s="2"/>
      <c r="C373" s="2"/>
      <c r="D373" s="2"/>
      <c r="E373" s="2"/>
      <c r="F373" s="2"/>
    </row>
    <row r="374" spans="1:6" ht="15.75" customHeight="1" x14ac:dyDescent="0.3">
      <c r="A374" s="2"/>
      <c r="B374" s="2"/>
      <c r="C374" s="2"/>
      <c r="D374" s="2"/>
      <c r="E374" s="2"/>
      <c r="F374" s="2"/>
    </row>
    <row r="375" spans="1:6" ht="15.75" customHeight="1" x14ac:dyDescent="0.3">
      <c r="A375" s="2"/>
      <c r="B375" s="2"/>
      <c r="C375" s="2"/>
      <c r="D375" s="2"/>
      <c r="E375" s="2"/>
      <c r="F375" s="2"/>
    </row>
    <row r="376" spans="1:6" ht="15.75" customHeight="1" x14ac:dyDescent="0.3">
      <c r="A376" s="2"/>
      <c r="B376" s="2"/>
      <c r="C376" s="2"/>
      <c r="D376" s="2"/>
      <c r="E376" s="2"/>
      <c r="F376" s="2"/>
    </row>
    <row r="377" spans="1:6" ht="15.75" customHeight="1" x14ac:dyDescent="0.3">
      <c r="A377" s="2"/>
      <c r="B377" s="2"/>
      <c r="C377" s="2"/>
      <c r="D377" s="2"/>
      <c r="E377" s="2"/>
      <c r="F377" s="2"/>
    </row>
    <row r="378" spans="1:6" ht="15.75" customHeight="1" x14ac:dyDescent="0.3">
      <c r="A378" s="2"/>
      <c r="B378" s="2"/>
      <c r="C378" s="2"/>
      <c r="D378" s="2"/>
      <c r="E378" s="2"/>
      <c r="F378" s="2"/>
    </row>
    <row r="379" spans="1:6" ht="15.75" customHeight="1" x14ac:dyDescent="0.3">
      <c r="A379" s="2"/>
      <c r="B379" s="2"/>
      <c r="C379" s="2"/>
      <c r="D379" s="2"/>
      <c r="E379" s="2"/>
      <c r="F379" s="2"/>
    </row>
    <row r="380" spans="1:6" ht="15.75" customHeight="1" x14ac:dyDescent="0.3">
      <c r="A380" s="2"/>
      <c r="B380" s="2"/>
      <c r="C380" s="2"/>
      <c r="D380" s="2"/>
      <c r="E380" s="2"/>
      <c r="F380" s="2"/>
    </row>
    <row r="381" spans="1:6" ht="15.75" customHeight="1" x14ac:dyDescent="0.3">
      <c r="A381" s="2"/>
      <c r="B381" s="2"/>
      <c r="C381" s="2"/>
      <c r="D381" s="2"/>
      <c r="E381" s="2"/>
      <c r="F381" s="2"/>
    </row>
    <row r="382" spans="1:6" ht="15.75" customHeight="1" x14ac:dyDescent="0.3">
      <c r="A382" s="2"/>
      <c r="B382" s="2"/>
      <c r="C382" s="2"/>
      <c r="D382" s="2"/>
      <c r="E382" s="2"/>
      <c r="F382" s="2"/>
    </row>
    <row r="383" spans="1:6" ht="15.75" customHeight="1" x14ac:dyDescent="0.3">
      <c r="A383" s="2"/>
      <c r="B383" s="2"/>
      <c r="C383" s="2"/>
      <c r="D383" s="2"/>
      <c r="E383" s="2"/>
      <c r="F383" s="2"/>
    </row>
    <row r="384" spans="1:6" ht="15.75" customHeight="1" x14ac:dyDescent="0.3">
      <c r="A384" s="2"/>
      <c r="B384" s="2"/>
      <c r="C384" s="2"/>
      <c r="D384" s="2"/>
      <c r="E384" s="2"/>
      <c r="F384" s="2"/>
    </row>
    <row r="385" spans="1:6" ht="15.75" customHeight="1" x14ac:dyDescent="0.3">
      <c r="A385" s="2"/>
      <c r="B385" s="2"/>
      <c r="C385" s="2"/>
      <c r="D385" s="2"/>
      <c r="E385" s="2"/>
      <c r="F385" s="2"/>
    </row>
    <row r="386" spans="1:6" ht="15.75" customHeight="1" x14ac:dyDescent="0.3">
      <c r="A386" s="2"/>
      <c r="B386" s="2"/>
      <c r="C386" s="2"/>
      <c r="D386" s="2"/>
      <c r="E386" s="2"/>
      <c r="F386" s="2"/>
    </row>
    <row r="387" spans="1:6" ht="15.75" customHeight="1" x14ac:dyDescent="0.3">
      <c r="A387" s="2"/>
      <c r="B387" s="2"/>
      <c r="C387" s="2"/>
      <c r="D387" s="2"/>
      <c r="E387" s="2"/>
      <c r="F387" s="2"/>
    </row>
    <row r="388" spans="1:6" ht="15.75" customHeight="1" x14ac:dyDescent="0.3">
      <c r="A388" s="2"/>
      <c r="B388" s="2"/>
      <c r="C388" s="2"/>
      <c r="D388" s="2"/>
      <c r="E388" s="2"/>
      <c r="F388" s="2"/>
    </row>
    <row r="389" spans="1:6" ht="15.75" customHeight="1" x14ac:dyDescent="0.3">
      <c r="A389" s="2"/>
      <c r="B389" s="2"/>
      <c r="C389" s="2"/>
      <c r="D389" s="2"/>
      <c r="E389" s="2"/>
      <c r="F389" s="2"/>
    </row>
    <row r="390" spans="1:6" ht="15.75" customHeight="1" x14ac:dyDescent="0.3">
      <c r="A390" s="2"/>
      <c r="B390" s="2"/>
      <c r="C390" s="2"/>
      <c r="D390" s="2"/>
      <c r="E390" s="2"/>
      <c r="F390" s="2"/>
    </row>
    <row r="391" spans="1:6" ht="15.75" customHeight="1" x14ac:dyDescent="0.3">
      <c r="A391" s="2"/>
      <c r="B391" s="2"/>
      <c r="C391" s="2"/>
      <c r="D391" s="2"/>
      <c r="E391" s="2"/>
      <c r="F391" s="2"/>
    </row>
    <row r="392" spans="1:6" ht="15.75" customHeight="1" x14ac:dyDescent="0.3">
      <c r="A392" s="2"/>
      <c r="B392" s="2"/>
      <c r="C392" s="2"/>
      <c r="D392" s="2"/>
      <c r="E392" s="2"/>
      <c r="F392" s="2"/>
    </row>
    <row r="393" spans="1:6" ht="15.75" customHeight="1" x14ac:dyDescent="0.3">
      <c r="A393" s="2"/>
      <c r="B393" s="2"/>
      <c r="C393" s="2"/>
      <c r="D393" s="2"/>
      <c r="E393" s="2"/>
      <c r="F393" s="2"/>
    </row>
    <row r="394" spans="1:6" ht="15.75" customHeight="1" x14ac:dyDescent="0.3">
      <c r="A394" s="2"/>
      <c r="B394" s="2"/>
      <c r="C394" s="2"/>
      <c r="D394" s="2"/>
      <c r="E394" s="2"/>
      <c r="F394" s="2"/>
    </row>
    <row r="395" spans="1:6" ht="15.75" customHeight="1" x14ac:dyDescent="0.3">
      <c r="A395" s="2"/>
      <c r="B395" s="2"/>
      <c r="C395" s="2"/>
      <c r="D395" s="2"/>
      <c r="E395" s="2"/>
      <c r="F395" s="2"/>
    </row>
    <row r="396" spans="1:6" ht="15.75" customHeight="1" x14ac:dyDescent="0.3">
      <c r="A396" s="2"/>
      <c r="B396" s="2"/>
      <c r="C396" s="2"/>
      <c r="D396" s="2"/>
      <c r="E396" s="2"/>
      <c r="F396" s="2"/>
    </row>
    <row r="397" spans="1:6" ht="15.75" customHeight="1" x14ac:dyDescent="0.3">
      <c r="A397" s="2"/>
      <c r="B397" s="2"/>
      <c r="C397" s="2"/>
      <c r="D397" s="2"/>
      <c r="E397" s="2"/>
      <c r="F397" s="2"/>
    </row>
    <row r="398" spans="1:6" ht="15.75" customHeight="1" x14ac:dyDescent="0.3">
      <c r="A398" s="2"/>
      <c r="B398" s="2"/>
      <c r="C398" s="2"/>
      <c r="D398" s="2"/>
      <c r="E398" s="2"/>
      <c r="F398" s="2"/>
    </row>
    <row r="399" spans="1:6" ht="15.75" customHeight="1" x14ac:dyDescent="0.3">
      <c r="A399" s="2"/>
      <c r="B399" s="2"/>
      <c r="C399" s="2"/>
      <c r="D399" s="2"/>
      <c r="E399" s="2"/>
      <c r="F399" s="2"/>
    </row>
    <row r="400" spans="1:6" ht="15.75" customHeight="1" x14ac:dyDescent="0.3">
      <c r="A400" s="2"/>
      <c r="B400" s="2"/>
      <c r="C400" s="2"/>
      <c r="D400" s="2"/>
      <c r="E400" s="2"/>
      <c r="F400" s="2"/>
    </row>
    <row r="401" spans="1:6" ht="15.75" customHeight="1" x14ac:dyDescent="0.3">
      <c r="A401" s="2"/>
      <c r="B401" s="2"/>
      <c r="C401" s="2"/>
      <c r="D401" s="2"/>
      <c r="E401" s="2"/>
      <c r="F401" s="2"/>
    </row>
    <row r="402" spans="1:6" ht="15.75" customHeight="1" x14ac:dyDescent="0.3">
      <c r="A402" s="2"/>
      <c r="B402" s="2"/>
      <c r="C402" s="2"/>
      <c r="D402" s="2"/>
      <c r="E402" s="2"/>
      <c r="F402" s="2"/>
    </row>
    <row r="403" spans="1:6" ht="15.75" customHeight="1" x14ac:dyDescent="0.3">
      <c r="A403" s="2"/>
      <c r="B403" s="2"/>
      <c r="C403" s="2"/>
      <c r="D403" s="2"/>
      <c r="E403" s="2"/>
      <c r="F403" s="2"/>
    </row>
    <row r="404" spans="1:6" ht="15.75" customHeight="1" x14ac:dyDescent="0.3">
      <c r="A404" s="2"/>
      <c r="B404" s="2"/>
      <c r="C404" s="2"/>
      <c r="D404" s="2"/>
      <c r="E404" s="2"/>
      <c r="F404" s="2"/>
    </row>
    <row r="405" spans="1:6" ht="15.75" customHeight="1" x14ac:dyDescent="0.3">
      <c r="A405" s="2"/>
      <c r="B405" s="2"/>
      <c r="C405" s="2"/>
      <c r="D405" s="2"/>
      <c r="E405" s="2"/>
      <c r="F405" s="2"/>
    </row>
    <row r="406" spans="1:6" ht="15.75" customHeight="1" x14ac:dyDescent="0.3">
      <c r="A406" s="2"/>
      <c r="B406" s="2"/>
      <c r="C406" s="2"/>
      <c r="D406" s="2"/>
      <c r="E406" s="2"/>
      <c r="F406" s="2"/>
    </row>
    <row r="407" spans="1:6" ht="15.75" customHeight="1" x14ac:dyDescent="0.3">
      <c r="A407" s="2"/>
      <c r="B407" s="2"/>
      <c r="C407" s="2"/>
      <c r="D407" s="2"/>
      <c r="E407" s="2"/>
      <c r="F407" s="2"/>
    </row>
    <row r="408" spans="1:6" ht="15.75" customHeight="1" x14ac:dyDescent="0.3">
      <c r="A408" s="2"/>
      <c r="B408" s="2"/>
      <c r="C408" s="2"/>
      <c r="D408" s="2"/>
      <c r="E408" s="2"/>
      <c r="F408" s="2"/>
    </row>
    <row r="409" spans="1:6" ht="15.75" customHeight="1" x14ac:dyDescent="0.3">
      <c r="A409" s="2"/>
      <c r="B409" s="2"/>
      <c r="C409" s="2"/>
      <c r="D409" s="2"/>
      <c r="E409" s="2"/>
      <c r="F409" s="2"/>
    </row>
    <row r="410" spans="1:6" ht="15.75" customHeight="1" x14ac:dyDescent="0.3">
      <c r="A410" s="2"/>
      <c r="B410" s="2"/>
      <c r="C410" s="2"/>
      <c r="D410" s="2"/>
      <c r="E410" s="2"/>
      <c r="F410" s="2"/>
    </row>
    <row r="411" spans="1:6" ht="15.75" customHeight="1" x14ac:dyDescent="0.3">
      <c r="A411" s="2"/>
      <c r="B411" s="2"/>
      <c r="C411" s="2"/>
      <c r="D411" s="2"/>
      <c r="E411" s="2"/>
      <c r="F411" s="2"/>
    </row>
    <row r="412" spans="1:6" ht="15.75" customHeight="1" x14ac:dyDescent="0.3">
      <c r="A412" s="2"/>
      <c r="B412" s="2"/>
      <c r="C412" s="2"/>
      <c r="D412" s="2"/>
      <c r="E412" s="2"/>
      <c r="F412" s="2"/>
    </row>
    <row r="413" spans="1:6" ht="15.75" customHeight="1" x14ac:dyDescent="0.3">
      <c r="A413" s="2"/>
      <c r="B413" s="2"/>
      <c r="C413" s="2"/>
      <c r="D413" s="2"/>
      <c r="E413" s="2"/>
      <c r="F413" s="2"/>
    </row>
    <row r="414" spans="1:6" ht="15.75" customHeight="1" x14ac:dyDescent="0.3">
      <c r="A414" s="2"/>
      <c r="B414" s="2"/>
      <c r="C414" s="2"/>
      <c r="D414" s="2"/>
      <c r="E414" s="2"/>
      <c r="F414" s="2"/>
    </row>
    <row r="415" spans="1:6" ht="15.75" customHeight="1" x14ac:dyDescent="0.3">
      <c r="A415" s="2"/>
      <c r="B415" s="2"/>
      <c r="C415" s="2"/>
      <c r="D415" s="2"/>
      <c r="E415" s="2"/>
      <c r="F415" s="2"/>
    </row>
    <row r="416" spans="1:6" ht="15.75" customHeight="1" x14ac:dyDescent="0.3">
      <c r="A416" s="2"/>
      <c r="B416" s="2"/>
      <c r="C416" s="2"/>
      <c r="D416" s="2"/>
      <c r="E416" s="2"/>
      <c r="F416" s="2"/>
    </row>
    <row r="417" spans="1:6" ht="15.75" customHeight="1" x14ac:dyDescent="0.3">
      <c r="A417" s="2"/>
      <c r="B417" s="2"/>
      <c r="C417" s="2"/>
      <c r="D417" s="2"/>
      <c r="E417" s="2"/>
      <c r="F417" s="2"/>
    </row>
    <row r="418" spans="1:6" ht="15.75" customHeight="1" x14ac:dyDescent="0.3">
      <c r="A418" s="2"/>
      <c r="B418" s="2"/>
      <c r="C418" s="2"/>
      <c r="D418" s="2"/>
      <c r="E418" s="2"/>
      <c r="F418" s="2"/>
    </row>
    <row r="419" spans="1:6" ht="15.75" customHeight="1" x14ac:dyDescent="0.3">
      <c r="A419" s="2"/>
      <c r="B419" s="2"/>
      <c r="C419" s="2"/>
      <c r="D419" s="2"/>
      <c r="E419" s="2"/>
      <c r="F419" s="2"/>
    </row>
    <row r="420" spans="1:6" ht="15.75" customHeight="1" x14ac:dyDescent="0.3">
      <c r="A420" s="2"/>
      <c r="B420" s="2"/>
      <c r="C420" s="2"/>
      <c r="D420" s="2"/>
      <c r="E420" s="2"/>
      <c r="F420" s="2"/>
    </row>
    <row r="421" spans="1:6" ht="15.75" customHeight="1" x14ac:dyDescent="0.3">
      <c r="A421" s="2"/>
      <c r="B421" s="2"/>
      <c r="C421" s="2"/>
      <c r="D421" s="2"/>
      <c r="E421" s="2"/>
      <c r="F421" s="2"/>
    </row>
    <row r="422" spans="1:6" ht="15.75" customHeight="1" x14ac:dyDescent="0.3">
      <c r="A422" s="2"/>
      <c r="B422" s="2"/>
      <c r="C422" s="2"/>
      <c r="D422" s="2"/>
      <c r="E422" s="2"/>
      <c r="F422" s="2"/>
    </row>
    <row r="423" spans="1:6" ht="15.75" customHeight="1" x14ac:dyDescent="0.3">
      <c r="A423" s="2"/>
      <c r="B423" s="2"/>
      <c r="C423" s="2"/>
      <c r="D423" s="2"/>
      <c r="E423" s="2"/>
      <c r="F423" s="2"/>
    </row>
    <row r="424" spans="1:6" ht="15.75" customHeight="1" x14ac:dyDescent="0.3">
      <c r="A424" s="2"/>
      <c r="B424" s="2"/>
      <c r="C424" s="2"/>
      <c r="D424" s="2"/>
      <c r="E424" s="2"/>
      <c r="F424" s="2"/>
    </row>
    <row r="425" spans="1:6" ht="15.75" customHeight="1" x14ac:dyDescent="0.3">
      <c r="A425" s="2"/>
      <c r="B425" s="2"/>
      <c r="C425" s="2"/>
      <c r="D425" s="2"/>
      <c r="E425" s="2"/>
      <c r="F425" s="2"/>
    </row>
    <row r="426" spans="1:6" ht="15.75" customHeight="1" x14ac:dyDescent="0.3">
      <c r="A426" s="2"/>
      <c r="B426" s="2"/>
      <c r="C426" s="2"/>
      <c r="D426" s="2"/>
      <c r="E426" s="2"/>
      <c r="F426" s="2"/>
    </row>
    <row r="427" spans="1:6" ht="15.75" customHeight="1" x14ac:dyDescent="0.3">
      <c r="A427" s="2"/>
      <c r="B427" s="2"/>
      <c r="C427" s="2"/>
      <c r="D427" s="2"/>
      <c r="E427" s="2"/>
      <c r="F427" s="2"/>
    </row>
    <row r="428" spans="1:6" ht="15.75" customHeight="1" x14ac:dyDescent="0.3">
      <c r="A428" s="2"/>
      <c r="B428" s="2"/>
      <c r="C428" s="2"/>
      <c r="D428" s="2"/>
      <c r="E428" s="2"/>
      <c r="F428" s="2"/>
    </row>
    <row r="429" spans="1:6" ht="15.75" customHeight="1" x14ac:dyDescent="0.3">
      <c r="A429" s="2"/>
      <c r="B429" s="2"/>
      <c r="C429" s="2"/>
      <c r="D429" s="2"/>
      <c r="E429" s="2"/>
      <c r="F429" s="2"/>
    </row>
    <row r="430" spans="1:6" ht="15.75" customHeight="1" x14ac:dyDescent="0.3">
      <c r="A430" s="2"/>
      <c r="B430" s="2"/>
      <c r="C430" s="2"/>
      <c r="D430" s="2"/>
      <c r="E430" s="2"/>
      <c r="F430" s="2"/>
    </row>
    <row r="431" spans="1:6" ht="15.75" customHeight="1" x14ac:dyDescent="0.3">
      <c r="A431" s="2"/>
      <c r="B431" s="2"/>
      <c r="C431" s="2"/>
      <c r="D431" s="2"/>
      <c r="E431" s="2"/>
      <c r="F431" s="2"/>
    </row>
    <row r="432" spans="1:6" ht="15.75" customHeight="1" x14ac:dyDescent="0.3">
      <c r="A432" s="2"/>
      <c r="B432" s="2"/>
      <c r="C432" s="2"/>
      <c r="D432" s="2"/>
      <c r="E432" s="2"/>
      <c r="F432" s="2"/>
    </row>
    <row r="433" spans="1:6" ht="15.75" customHeight="1" x14ac:dyDescent="0.3">
      <c r="A433" s="2"/>
      <c r="B433" s="2"/>
      <c r="C433" s="2"/>
      <c r="D433" s="2"/>
      <c r="E433" s="2"/>
      <c r="F433" s="2"/>
    </row>
    <row r="434" spans="1:6" ht="15.75" customHeight="1" x14ac:dyDescent="0.3">
      <c r="A434" s="2"/>
      <c r="B434" s="2"/>
      <c r="C434" s="2"/>
      <c r="D434" s="2"/>
      <c r="E434" s="2"/>
      <c r="F434" s="2"/>
    </row>
    <row r="435" spans="1:6" ht="15.75" customHeight="1" x14ac:dyDescent="0.3">
      <c r="A435" s="2"/>
      <c r="B435" s="2"/>
      <c r="C435" s="2"/>
      <c r="D435" s="2"/>
      <c r="E435" s="2"/>
      <c r="F435" s="2"/>
    </row>
    <row r="436" spans="1:6" ht="15.75" customHeight="1" x14ac:dyDescent="0.3">
      <c r="A436" s="2"/>
      <c r="B436" s="2"/>
      <c r="C436" s="2"/>
      <c r="D436" s="2"/>
      <c r="E436" s="2"/>
      <c r="F436" s="2"/>
    </row>
    <row r="437" spans="1:6" ht="15.75" customHeight="1" x14ac:dyDescent="0.3">
      <c r="A437" s="2"/>
      <c r="B437" s="2"/>
      <c r="C437" s="2"/>
      <c r="D437" s="2"/>
      <c r="E437" s="2"/>
      <c r="F437" s="2"/>
    </row>
    <row r="438" spans="1:6" ht="15.75" customHeight="1" x14ac:dyDescent="0.3">
      <c r="A438" s="2"/>
      <c r="B438" s="2"/>
      <c r="C438" s="2"/>
      <c r="D438" s="2"/>
      <c r="E438" s="2"/>
      <c r="F438" s="2"/>
    </row>
    <row r="439" spans="1:6" ht="15.75" customHeight="1" x14ac:dyDescent="0.3">
      <c r="A439" s="2"/>
      <c r="B439" s="2"/>
      <c r="C439" s="2"/>
      <c r="D439" s="2"/>
      <c r="E439" s="2"/>
      <c r="F439" s="2"/>
    </row>
    <row r="440" spans="1:6" ht="15.75" customHeight="1" x14ac:dyDescent="0.3">
      <c r="A440" s="2"/>
      <c r="B440" s="2"/>
      <c r="C440" s="2"/>
      <c r="D440" s="2"/>
      <c r="E440" s="2"/>
      <c r="F440" s="2"/>
    </row>
    <row r="441" spans="1:6" ht="15.75" customHeight="1" x14ac:dyDescent="0.3">
      <c r="A441" s="2"/>
      <c r="B441" s="2"/>
      <c r="C441" s="2"/>
      <c r="D441" s="2"/>
      <c r="E441" s="2"/>
      <c r="F441" s="2"/>
    </row>
    <row r="442" spans="1:6" ht="15.75" customHeight="1" x14ac:dyDescent="0.3">
      <c r="A442" s="2"/>
      <c r="B442" s="2"/>
      <c r="C442" s="2"/>
      <c r="D442" s="2"/>
      <c r="E442" s="2"/>
      <c r="F442" s="2"/>
    </row>
    <row r="443" spans="1:6" ht="15.75" customHeight="1" x14ac:dyDescent="0.3">
      <c r="A443" s="2"/>
      <c r="B443" s="2"/>
      <c r="C443" s="2"/>
      <c r="D443" s="2"/>
      <c r="E443" s="2"/>
      <c r="F443" s="2"/>
    </row>
    <row r="444" spans="1:6" ht="15.75" customHeight="1" x14ac:dyDescent="0.3">
      <c r="A444" s="2"/>
      <c r="B444" s="2"/>
      <c r="C444" s="2"/>
      <c r="D444" s="2"/>
      <c r="E444" s="2"/>
      <c r="F444" s="2"/>
    </row>
    <row r="445" spans="1:6" ht="15.75" customHeight="1" x14ac:dyDescent="0.3">
      <c r="A445" s="2"/>
      <c r="B445" s="2"/>
      <c r="C445" s="2"/>
      <c r="D445" s="2"/>
      <c r="E445" s="2"/>
      <c r="F445" s="2"/>
    </row>
    <row r="446" spans="1:6" ht="15.75" customHeight="1" x14ac:dyDescent="0.3">
      <c r="A446" s="2"/>
      <c r="B446" s="2"/>
      <c r="C446" s="2"/>
      <c r="D446" s="2"/>
      <c r="E446" s="2"/>
      <c r="F446" s="2"/>
    </row>
    <row r="447" spans="1:6" ht="15.75" customHeight="1" x14ac:dyDescent="0.3">
      <c r="A447" s="2"/>
      <c r="B447" s="2"/>
      <c r="C447" s="2"/>
      <c r="D447" s="2"/>
      <c r="E447" s="2"/>
      <c r="F447" s="2"/>
    </row>
    <row r="448" spans="1:6" ht="15.75" customHeight="1" x14ac:dyDescent="0.3">
      <c r="A448" s="2"/>
      <c r="B448" s="2"/>
      <c r="C448" s="2"/>
      <c r="D448" s="2"/>
      <c r="E448" s="2"/>
      <c r="F448" s="2"/>
    </row>
    <row r="449" spans="1:6" ht="15.75" customHeight="1" x14ac:dyDescent="0.3">
      <c r="A449" s="2"/>
      <c r="B449" s="2"/>
      <c r="C449" s="2"/>
      <c r="D449" s="2"/>
      <c r="E449" s="2"/>
      <c r="F449" s="2"/>
    </row>
    <row r="450" spans="1:6" ht="15.75" customHeight="1" x14ac:dyDescent="0.3">
      <c r="A450" s="2"/>
      <c r="B450" s="2"/>
      <c r="C450" s="2"/>
      <c r="D450" s="2"/>
      <c r="E450" s="2"/>
      <c r="F450" s="2"/>
    </row>
    <row r="451" spans="1:6" ht="15.75" customHeight="1" x14ac:dyDescent="0.3">
      <c r="A451" s="2"/>
      <c r="B451" s="2"/>
      <c r="C451" s="2"/>
      <c r="D451" s="2"/>
      <c r="E451" s="2"/>
      <c r="F451" s="2"/>
    </row>
    <row r="452" spans="1:6" ht="15.75" customHeight="1" x14ac:dyDescent="0.3">
      <c r="A452" s="2"/>
      <c r="B452" s="2"/>
      <c r="C452" s="2"/>
      <c r="D452" s="2"/>
      <c r="E452" s="2"/>
      <c r="F452" s="2"/>
    </row>
    <row r="453" spans="1:6" ht="15.75" customHeight="1" x14ac:dyDescent="0.3">
      <c r="A453" s="2"/>
      <c r="B453" s="2"/>
      <c r="C453" s="2"/>
      <c r="D453" s="2"/>
      <c r="E453" s="2"/>
      <c r="F453" s="2"/>
    </row>
    <row r="454" spans="1:6" ht="15.75" customHeight="1" x14ac:dyDescent="0.3">
      <c r="A454" s="2"/>
      <c r="B454" s="2"/>
      <c r="C454" s="2"/>
      <c r="D454" s="2"/>
      <c r="E454" s="2"/>
      <c r="F454" s="2"/>
    </row>
    <row r="455" spans="1:6" ht="15.75" customHeight="1" x14ac:dyDescent="0.3">
      <c r="A455" s="2"/>
      <c r="B455" s="2"/>
      <c r="C455" s="2"/>
      <c r="D455" s="2"/>
      <c r="E455" s="2"/>
      <c r="F455" s="2"/>
    </row>
    <row r="456" spans="1:6" ht="15.75" customHeight="1" x14ac:dyDescent="0.3">
      <c r="A456" s="2"/>
      <c r="B456" s="2"/>
      <c r="C456" s="2"/>
      <c r="D456" s="2"/>
      <c r="E456" s="2"/>
      <c r="F456" s="2"/>
    </row>
    <row r="457" spans="1:6" ht="15.75" customHeight="1" x14ac:dyDescent="0.3">
      <c r="A457" s="2"/>
      <c r="B457" s="2"/>
      <c r="C457" s="2"/>
      <c r="D457" s="2"/>
      <c r="E457" s="2"/>
      <c r="F457" s="2"/>
    </row>
    <row r="458" spans="1:6" ht="15.75" customHeight="1" x14ac:dyDescent="0.3">
      <c r="A458" s="2"/>
      <c r="B458" s="2"/>
      <c r="C458" s="2"/>
      <c r="D458" s="2"/>
      <c r="E458" s="2"/>
      <c r="F458" s="2"/>
    </row>
    <row r="459" spans="1:6" ht="15.75" customHeight="1" x14ac:dyDescent="0.3">
      <c r="A459" s="2"/>
      <c r="B459" s="2"/>
      <c r="C459" s="2"/>
      <c r="D459" s="2"/>
      <c r="E459" s="2"/>
      <c r="F459" s="2"/>
    </row>
    <row r="460" spans="1:6" ht="15.75" customHeight="1" x14ac:dyDescent="0.3">
      <c r="A460" s="2"/>
      <c r="B460" s="2"/>
      <c r="C460" s="2"/>
      <c r="D460" s="2"/>
      <c r="E460" s="2"/>
      <c r="F460" s="2"/>
    </row>
    <row r="461" spans="1:6" ht="15.75" customHeight="1" x14ac:dyDescent="0.3">
      <c r="A461" s="2"/>
      <c r="B461" s="2"/>
      <c r="C461" s="2"/>
      <c r="D461" s="2"/>
      <c r="E461" s="2"/>
      <c r="F461" s="2"/>
    </row>
    <row r="462" spans="1:6" ht="15.75" customHeight="1" x14ac:dyDescent="0.3">
      <c r="A462" s="2"/>
      <c r="B462" s="2"/>
      <c r="C462" s="2"/>
      <c r="D462" s="2"/>
      <c r="E462" s="2"/>
      <c r="F462" s="2"/>
    </row>
    <row r="463" spans="1:6" ht="15.75" customHeight="1" x14ac:dyDescent="0.3">
      <c r="A463" s="2"/>
      <c r="B463" s="2"/>
      <c r="C463" s="2"/>
      <c r="D463" s="2"/>
      <c r="E463" s="2"/>
      <c r="F463" s="2"/>
    </row>
    <row r="464" spans="1:6" ht="15.75" customHeight="1" x14ac:dyDescent="0.3">
      <c r="A464" s="2"/>
      <c r="B464" s="2"/>
      <c r="C464" s="2"/>
      <c r="D464" s="2"/>
      <c r="E464" s="2"/>
      <c r="F464" s="2"/>
    </row>
    <row r="465" spans="1:6" ht="15.75" customHeight="1" x14ac:dyDescent="0.3">
      <c r="A465" s="2"/>
      <c r="B465" s="2"/>
      <c r="C465" s="2"/>
      <c r="D465" s="2"/>
      <c r="E465" s="2"/>
      <c r="F465" s="2"/>
    </row>
    <row r="466" spans="1:6" ht="15.75" customHeight="1" x14ac:dyDescent="0.3">
      <c r="A466" s="2"/>
      <c r="B466" s="2"/>
      <c r="C466" s="2"/>
      <c r="D466" s="2"/>
      <c r="E466" s="2"/>
      <c r="F466" s="2"/>
    </row>
    <row r="467" spans="1:6" ht="15.75" customHeight="1" x14ac:dyDescent="0.3">
      <c r="A467" s="2"/>
      <c r="B467" s="2"/>
      <c r="C467" s="2"/>
      <c r="D467" s="2"/>
      <c r="E467" s="2"/>
      <c r="F467" s="2"/>
    </row>
    <row r="468" spans="1:6" ht="15.75" customHeight="1" x14ac:dyDescent="0.3">
      <c r="A468" s="2"/>
      <c r="B468" s="2"/>
      <c r="C468" s="2"/>
      <c r="D468" s="2"/>
      <c r="E468" s="2"/>
      <c r="F468" s="2"/>
    </row>
    <row r="469" spans="1:6" ht="15.75" customHeight="1" x14ac:dyDescent="0.3">
      <c r="A469" s="2"/>
      <c r="B469" s="2"/>
      <c r="C469" s="2"/>
      <c r="D469" s="2"/>
      <c r="E469" s="2"/>
      <c r="F469" s="2"/>
    </row>
    <row r="470" spans="1:6" ht="15.75" customHeight="1" x14ac:dyDescent="0.3">
      <c r="A470" s="2"/>
      <c r="B470" s="2"/>
      <c r="C470" s="2"/>
      <c r="D470" s="2"/>
      <c r="E470" s="2"/>
      <c r="F470" s="2"/>
    </row>
    <row r="471" spans="1:6" ht="15.75" customHeight="1" x14ac:dyDescent="0.3">
      <c r="A471" s="2"/>
      <c r="B471" s="2"/>
      <c r="C471" s="2"/>
      <c r="D471" s="2"/>
      <c r="E471" s="2"/>
      <c r="F471" s="2"/>
    </row>
    <row r="472" spans="1:6" ht="15.75" customHeight="1" x14ac:dyDescent="0.3">
      <c r="A472" s="2"/>
      <c r="B472" s="2"/>
      <c r="C472" s="2"/>
      <c r="D472" s="2"/>
      <c r="E472" s="2"/>
      <c r="F472" s="2"/>
    </row>
    <row r="473" spans="1:6" ht="15.75" customHeight="1" x14ac:dyDescent="0.3">
      <c r="A473" s="2"/>
      <c r="B473" s="2"/>
      <c r="C473" s="2"/>
      <c r="D473" s="2"/>
      <c r="E473" s="2"/>
      <c r="F473" s="2"/>
    </row>
    <row r="474" spans="1:6" ht="15.75" customHeight="1" x14ac:dyDescent="0.3">
      <c r="A474" s="2"/>
      <c r="B474" s="2"/>
      <c r="C474" s="2"/>
      <c r="D474" s="2"/>
      <c r="E474" s="2"/>
      <c r="F474" s="2"/>
    </row>
    <row r="475" spans="1:6" ht="15.75" customHeight="1" x14ac:dyDescent="0.3">
      <c r="A475" s="2"/>
      <c r="B475" s="2"/>
      <c r="C475" s="2"/>
      <c r="D475" s="2"/>
      <c r="E475" s="2"/>
      <c r="F475" s="2"/>
    </row>
    <row r="476" spans="1:6" ht="15.75" customHeight="1" x14ac:dyDescent="0.3">
      <c r="A476" s="2"/>
      <c r="B476" s="2"/>
      <c r="C476" s="2"/>
      <c r="D476" s="2"/>
      <c r="E476" s="2"/>
      <c r="F476" s="2"/>
    </row>
    <row r="477" spans="1:6" ht="15.75" customHeight="1" x14ac:dyDescent="0.3">
      <c r="A477" s="2"/>
      <c r="B477" s="2"/>
      <c r="C477" s="2"/>
      <c r="D477" s="2"/>
      <c r="E477" s="2"/>
      <c r="F477" s="2"/>
    </row>
    <row r="478" spans="1:6" ht="15.75" customHeight="1" x14ac:dyDescent="0.3">
      <c r="A478" s="2"/>
      <c r="B478" s="2"/>
      <c r="C478" s="2"/>
      <c r="D478" s="2"/>
      <c r="E478" s="2"/>
      <c r="F478" s="2"/>
    </row>
    <row r="479" spans="1:6" ht="15.75" customHeight="1" x14ac:dyDescent="0.3">
      <c r="A479" s="2"/>
      <c r="B479" s="2"/>
      <c r="C479" s="2"/>
      <c r="D479" s="2"/>
      <c r="E479" s="2"/>
      <c r="F479" s="2"/>
    </row>
    <row r="480" spans="1:6" ht="15.75" customHeight="1" x14ac:dyDescent="0.3">
      <c r="A480" s="2"/>
      <c r="B480" s="2"/>
      <c r="C480" s="2"/>
      <c r="D480" s="2"/>
      <c r="E480" s="2"/>
      <c r="F480" s="2"/>
    </row>
    <row r="481" spans="1:6" ht="15.75" customHeight="1" x14ac:dyDescent="0.3">
      <c r="A481" s="2"/>
      <c r="B481" s="2"/>
      <c r="C481" s="2"/>
      <c r="D481" s="2"/>
      <c r="E481" s="2"/>
      <c r="F481" s="2"/>
    </row>
    <row r="482" spans="1:6" ht="15.75" customHeight="1" x14ac:dyDescent="0.3">
      <c r="A482" s="2"/>
      <c r="B482" s="2"/>
      <c r="C482" s="2"/>
      <c r="D482" s="2"/>
      <c r="E482" s="2"/>
      <c r="F482" s="2"/>
    </row>
    <row r="483" spans="1:6" ht="15.75" customHeight="1" x14ac:dyDescent="0.3">
      <c r="A483" s="2"/>
      <c r="B483" s="2"/>
      <c r="C483" s="2"/>
      <c r="D483" s="2"/>
      <c r="E483" s="2"/>
      <c r="F483" s="2"/>
    </row>
    <row r="484" spans="1:6" ht="15.75" customHeight="1" x14ac:dyDescent="0.3">
      <c r="A484" s="2"/>
      <c r="B484" s="2"/>
      <c r="C484" s="2"/>
      <c r="D484" s="2"/>
      <c r="E484" s="2"/>
      <c r="F484" s="2"/>
    </row>
    <row r="485" spans="1:6" ht="15.75" customHeight="1" x14ac:dyDescent="0.3">
      <c r="A485" s="2"/>
      <c r="B485" s="2"/>
      <c r="C485" s="2"/>
      <c r="D485" s="2"/>
      <c r="E485" s="2"/>
      <c r="F485" s="2"/>
    </row>
    <row r="486" spans="1:6" ht="15.75" customHeight="1" x14ac:dyDescent="0.3">
      <c r="A486" s="2"/>
      <c r="B486" s="2"/>
      <c r="C486" s="2"/>
      <c r="D486" s="2"/>
      <c r="E486" s="2"/>
      <c r="F486" s="2"/>
    </row>
    <row r="487" spans="1:6" ht="15.75" customHeight="1" x14ac:dyDescent="0.3">
      <c r="A487" s="2"/>
      <c r="B487" s="2"/>
      <c r="C487" s="2"/>
      <c r="D487" s="2"/>
      <c r="E487" s="2"/>
      <c r="F487" s="2"/>
    </row>
    <row r="488" spans="1:6" ht="15.75" customHeight="1" x14ac:dyDescent="0.3">
      <c r="A488" s="2"/>
      <c r="B488" s="2"/>
      <c r="C488" s="2"/>
      <c r="D488" s="2"/>
      <c r="E488" s="2"/>
      <c r="F488" s="2"/>
    </row>
    <row r="489" spans="1:6" ht="15.75" customHeight="1" x14ac:dyDescent="0.3">
      <c r="A489" s="2"/>
      <c r="B489" s="2"/>
      <c r="C489" s="2"/>
      <c r="D489" s="2"/>
      <c r="E489" s="2"/>
      <c r="F489" s="2"/>
    </row>
    <row r="490" spans="1:6" ht="15.75" customHeight="1" x14ac:dyDescent="0.3">
      <c r="A490" s="2"/>
      <c r="B490" s="2"/>
      <c r="C490" s="2"/>
      <c r="D490" s="2"/>
      <c r="E490" s="2"/>
      <c r="F490" s="2"/>
    </row>
    <row r="491" spans="1:6" ht="15.75" customHeight="1" x14ac:dyDescent="0.3">
      <c r="A491" s="2"/>
      <c r="B491" s="2"/>
      <c r="C491" s="2"/>
      <c r="D491" s="2"/>
      <c r="E491" s="2"/>
      <c r="F491" s="2"/>
    </row>
    <row r="492" spans="1:6" ht="15.75" customHeight="1" x14ac:dyDescent="0.3">
      <c r="A492" s="2"/>
      <c r="B492" s="2"/>
      <c r="C492" s="2"/>
      <c r="D492" s="2"/>
      <c r="E492" s="2"/>
      <c r="F492" s="2"/>
    </row>
    <row r="493" spans="1:6" ht="15.75" customHeight="1" x14ac:dyDescent="0.3">
      <c r="A493" s="2"/>
      <c r="B493" s="2"/>
      <c r="C493" s="2"/>
      <c r="D493" s="2"/>
      <c r="E493" s="2"/>
      <c r="F493" s="2"/>
    </row>
    <row r="494" spans="1:6" ht="15.75" customHeight="1" x14ac:dyDescent="0.3">
      <c r="A494" s="2"/>
      <c r="B494" s="2"/>
      <c r="C494" s="2"/>
      <c r="D494" s="2"/>
      <c r="E494" s="2"/>
      <c r="F494" s="2"/>
    </row>
    <row r="495" spans="1:6" ht="15.75" customHeight="1" x14ac:dyDescent="0.3">
      <c r="A495" s="2"/>
      <c r="B495" s="2"/>
      <c r="C495" s="2"/>
      <c r="D495" s="2"/>
      <c r="E495" s="2"/>
      <c r="F495" s="2"/>
    </row>
    <row r="496" spans="1:6" ht="15.75" customHeight="1" x14ac:dyDescent="0.3">
      <c r="A496" s="2"/>
      <c r="B496" s="2"/>
      <c r="C496" s="2"/>
      <c r="D496" s="2"/>
      <c r="E496" s="2"/>
      <c r="F496" s="2"/>
    </row>
    <row r="497" spans="1:6" ht="15.75" customHeight="1" x14ac:dyDescent="0.3">
      <c r="A497" s="2"/>
      <c r="B497" s="2"/>
      <c r="C497" s="2"/>
      <c r="D497" s="2"/>
      <c r="E497" s="2"/>
      <c r="F497" s="2"/>
    </row>
    <row r="498" spans="1:6" ht="15.75" customHeight="1" x14ac:dyDescent="0.3">
      <c r="A498" s="2"/>
      <c r="B498" s="2"/>
      <c r="C498" s="2"/>
      <c r="D498" s="2"/>
      <c r="E498" s="2"/>
      <c r="F498" s="2"/>
    </row>
    <row r="499" spans="1:6" ht="15.75" customHeight="1" x14ac:dyDescent="0.3">
      <c r="A499" s="2"/>
      <c r="B499" s="2"/>
      <c r="C499" s="2"/>
      <c r="D499" s="2"/>
      <c r="E499" s="2"/>
      <c r="F499" s="2"/>
    </row>
    <row r="500" spans="1:6" ht="15.75" customHeight="1" x14ac:dyDescent="0.3">
      <c r="A500" s="2"/>
      <c r="B500" s="2"/>
      <c r="C500" s="2"/>
      <c r="D500" s="2"/>
      <c r="E500" s="2"/>
      <c r="F500" s="2"/>
    </row>
    <row r="501" spans="1:6" ht="15.75" customHeight="1" x14ac:dyDescent="0.3">
      <c r="A501" s="2"/>
      <c r="B501" s="2"/>
      <c r="C501" s="2"/>
      <c r="D501" s="2"/>
      <c r="E501" s="2"/>
      <c r="F501" s="2"/>
    </row>
    <row r="502" spans="1:6" ht="15.75" customHeight="1" x14ac:dyDescent="0.3">
      <c r="A502" s="2"/>
      <c r="B502" s="2"/>
      <c r="C502" s="2"/>
      <c r="D502" s="2"/>
      <c r="E502" s="2"/>
      <c r="F502" s="2"/>
    </row>
    <row r="503" spans="1:6" ht="15.75" customHeight="1" x14ac:dyDescent="0.3">
      <c r="A503" s="2"/>
      <c r="B503" s="2"/>
      <c r="C503" s="2"/>
      <c r="D503" s="2"/>
      <c r="E503" s="2"/>
      <c r="F503" s="2"/>
    </row>
    <row r="504" spans="1:6" ht="15.75" customHeight="1" x14ac:dyDescent="0.3">
      <c r="A504" s="2"/>
      <c r="B504" s="2"/>
      <c r="C504" s="2"/>
      <c r="D504" s="2"/>
      <c r="E504" s="2"/>
      <c r="F504" s="2"/>
    </row>
    <row r="505" spans="1:6" ht="15.75" customHeight="1" x14ac:dyDescent="0.3">
      <c r="A505" s="2"/>
      <c r="B505" s="2"/>
      <c r="C505" s="2"/>
      <c r="D505" s="2"/>
      <c r="E505" s="2"/>
      <c r="F505" s="2"/>
    </row>
    <row r="506" spans="1:6" ht="15.75" customHeight="1" x14ac:dyDescent="0.3">
      <c r="A506" s="2"/>
      <c r="B506" s="2"/>
      <c r="C506" s="2"/>
      <c r="D506" s="2"/>
      <c r="E506" s="2"/>
      <c r="F506" s="2"/>
    </row>
    <row r="507" spans="1:6" ht="15.75" customHeight="1" x14ac:dyDescent="0.3">
      <c r="A507" s="2"/>
      <c r="B507" s="2"/>
      <c r="C507" s="2"/>
      <c r="D507" s="2"/>
      <c r="E507" s="2"/>
      <c r="F507" s="2"/>
    </row>
    <row r="508" spans="1:6" ht="15.75" customHeight="1" x14ac:dyDescent="0.3">
      <c r="A508" s="2"/>
      <c r="B508" s="2"/>
      <c r="C508" s="2"/>
      <c r="D508" s="2"/>
      <c r="E508" s="2"/>
      <c r="F508" s="2"/>
    </row>
    <row r="509" spans="1:6" ht="15.75" customHeight="1" x14ac:dyDescent="0.3">
      <c r="A509" s="2"/>
      <c r="B509" s="2"/>
      <c r="C509" s="2"/>
      <c r="D509" s="2"/>
      <c r="E509" s="2"/>
      <c r="F509" s="2"/>
    </row>
    <row r="510" spans="1:6" ht="15.75" customHeight="1" x14ac:dyDescent="0.3">
      <c r="A510" s="2"/>
      <c r="B510" s="2"/>
      <c r="C510" s="2"/>
      <c r="D510" s="2"/>
      <c r="E510" s="2"/>
      <c r="F510" s="2"/>
    </row>
    <row r="511" spans="1:6" ht="15.75" customHeight="1" x14ac:dyDescent="0.3">
      <c r="A511" s="2"/>
      <c r="B511" s="2"/>
      <c r="C511" s="2"/>
      <c r="D511" s="2"/>
      <c r="E511" s="2"/>
      <c r="F511" s="2"/>
    </row>
    <row r="512" spans="1:6" ht="15.75" customHeight="1" x14ac:dyDescent="0.3">
      <c r="A512" s="2"/>
      <c r="B512" s="2"/>
      <c r="C512" s="2"/>
      <c r="D512" s="2"/>
      <c r="E512" s="2"/>
      <c r="F512" s="2"/>
    </row>
    <row r="513" spans="1:6" ht="15.75" customHeight="1" x14ac:dyDescent="0.3">
      <c r="A513" s="2"/>
      <c r="B513" s="2"/>
      <c r="C513" s="2"/>
      <c r="D513" s="2"/>
      <c r="E513" s="2"/>
      <c r="F513" s="2"/>
    </row>
    <row r="514" spans="1:6" ht="15.75" customHeight="1" x14ac:dyDescent="0.3">
      <c r="A514" s="2"/>
      <c r="B514" s="2"/>
      <c r="C514" s="2"/>
      <c r="D514" s="2"/>
      <c r="E514" s="2"/>
      <c r="F514" s="2"/>
    </row>
    <row r="515" spans="1:6" ht="15.75" customHeight="1" x14ac:dyDescent="0.3">
      <c r="A515" s="2"/>
      <c r="B515" s="2"/>
      <c r="C515" s="2"/>
      <c r="D515" s="2"/>
      <c r="E515" s="2"/>
      <c r="F515" s="2"/>
    </row>
    <row r="516" spans="1:6" ht="15.75" customHeight="1" x14ac:dyDescent="0.3">
      <c r="A516" s="2"/>
      <c r="B516" s="2"/>
      <c r="C516" s="2"/>
      <c r="D516" s="2"/>
      <c r="E516" s="2"/>
      <c r="F516" s="2"/>
    </row>
    <row r="517" spans="1:6" ht="15.75" customHeight="1" x14ac:dyDescent="0.3">
      <c r="A517" s="2"/>
      <c r="B517" s="2"/>
      <c r="C517" s="2"/>
      <c r="D517" s="2"/>
      <c r="E517" s="2"/>
      <c r="F517" s="2"/>
    </row>
    <row r="518" spans="1:6" ht="15.75" customHeight="1" x14ac:dyDescent="0.3">
      <c r="A518" s="2"/>
      <c r="B518" s="2"/>
      <c r="C518" s="2"/>
      <c r="D518" s="2"/>
      <c r="E518" s="2"/>
      <c r="F518" s="2"/>
    </row>
    <row r="519" spans="1:6" ht="15.75" customHeight="1" x14ac:dyDescent="0.3">
      <c r="A519" s="2"/>
      <c r="B519" s="2"/>
      <c r="C519" s="2"/>
      <c r="D519" s="2"/>
      <c r="E519" s="2"/>
      <c r="F519" s="2"/>
    </row>
    <row r="520" spans="1:6" ht="15.75" customHeight="1" x14ac:dyDescent="0.3">
      <c r="A520" s="2"/>
      <c r="B520" s="2"/>
      <c r="C520" s="2"/>
      <c r="D520" s="2"/>
      <c r="E520" s="2"/>
      <c r="F520" s="2"/>
    </row>
    <row r="521" spans="1:6" ht="15.75" customHeight="1" x14ac:dyDescent="0.3">
      <c r="A521" s="2"/>
      <c r="B521" s="2"/>
      <c r="C521" s="2"/>
      <c r="D521" s="2"/>
      <c r="E521" s="2"/>
      <c r="F521" s="2"/>
    </row>
    <row r="522" spans="1:6" ht="15.75" customHeight="1" x14ac:dyDescent="0.3">
      <c r="A522" s="2"/>
      <c r="B522" s="2"/>
      <c r="C522" s="2"/>
      <c r="D522" s="2"/>
      <c r="E522" s="2"/>
      <c r="F522" s="2"/>
    </row>
    <row r="523" spans="1:6" ht="15.75" customHeight="1" x14ac:dyDescent="0.3">
      <c r="A523" s="2"/>
      <c r="B523" s="2"/>
      <c r="C523" s="2"/>
      <c r="D523" s="2"/>
      <c r="E523" s="2"/>
      <c r="F523" s="2"/>
    </row>
    <row r="524" spans="1:6" ht="15.75" customHeight="1" x14ac:dyDescent="0.3">
      <c r="A524" s="2"/>
      <c r="B524" s="2"/>
      <c r="C524" s="2"/>
      <c r="D524" s="2"/>
      <c r="E524" s="2"/>
      <c r="F524" s="2"/>
    </row>
    <row r="525" spans="1:6" ht="15.75" customHeight="1" x14ac:dyDescent="0.3">
      <c r="A525" s="2"/>
      <c r="B525" s="2"/>
      <c r="C525" s="2"/>
      <c r="D525" s="2"/>
      <c r="E525" s="2"/>
      <c r="F525" s="2"/>
    </row>
    <row r="526" spans="1:6" ht="15.75" customHeight="1" x14ac:dyDescent="0.3">
      <c r="A526" s="2"/>
      <c r="B526" s="2"/>
      <c r="C526" s="2"/>
      <c r="D526" s="2"/>
      <c r="E526" s="2"/>
      <c r="F526" s="2"/>
    </row>
    <row r="527" spans="1:6" ht="15.75" customHeight="1" x14ac:dyDescent="0.3">
      <c r="A527" s="2"/>
      <c r="B527" s="2"/>
      <c r="C527" s="2"/>
      <c r="D527" s="2"/>
      <c r="E527" s="2"/>
      <c r="F527" s="2"/>
    </row>
    <row r="528" spans="1:6" ht="15.75" customHeight="1" x14ac:dyDescent="0.3">
      <c r="A528" s="2"/>
      <c r="B528" s="2"/>
      <c r="C528" s="2"/>
      <c r="D528" s="2"/>
      <c r="E528" s="2"/>
      <c r="F528" s="2"/>
    </row>
    <row r="529" spans="1:6" ht="15.75" customHeight="1" x14ac:dyDescent="0.3">
      <c r="A529" s="2"/>
      <c r="B529" s="2"/>
      <c r="C529" s="2"/>
      <c r="D529" s="2"/>
      <c r="E529" s="2"/>
      <c r="F529" s="2"/>
    </row>
    <row r="530" spans="1:6" ht="15.75" customHeight="1" x14ac:dyDescent="0.3">
      <c r="A530" s="2"/>
      <c r="B530" s="2"/>
      <c r="C530" s="2"/>
      <c r="D530" s="2"/>
      <c r="E530" s="2"/>
      <c r="F530" s="2"/>
    </row>
    <row r="531" spans="1:6" ht="15.75" customHeight="1" x14ac:dyDescent="0.3">
      <c r="A531" s="2"/>
      <c r="B531" s="2"/>
      <c r="C531" s="2"/>
      <c r="D531" s="2"/>
      <c r="E531" s="2"/>
      <c r="F531" s="2"/>
    </row>
    <row r="532" spans="1:6" ht="15.75" customHeight="1" x14ac:dyDescent="0.3">
      <c r="A532" s="2"/>
      <c r="B532" s="2"/>
      <c r="C532" s="2"/>
      <c r="D532" s="2"/>
      <c r="E532" s="2"/>
      <c r="F532" s="2"/>
    </row>
    <row r="533" spans="1:6" ht="15.75" customHeight="1" x14ac:dyDescent="0.3">
      <c r="A533" s="2"/>
      <c r="B533" s="2"/>
      <c r="C533" s="2"/>
      <c r="D533" s="2"/>
      <c r="E533" s="2"/>
      <c r="F533" s="2"/>
    </row>
    <row r="534" spans="1:6" ht="15.75" customHeight="1" x14ac:dyDescent="0.3">
      <c r="A534" s="2"/>
      <c r="B534" s="2"/>
      <c r="C534" s="2"/>
      <c r="D534" s="2"/>
      <c r="E534" s="2"/>
      <c r="F534" s="2"/>
    </row>
    <row r="535" spans="1:6" ht="15.75" customHeight="1" x14ac:dyDescent="0.3">
      <c r="A535" s="2"/>
      <c r="B535" s="2"/>
      <c r="C535" s="2"/>
      <c r="D535" s="2"/>
      <c r="E535" s="2"/>
      <c r="F535" s="2"/>
    </row>
    <row r="536" spans="1:6" ht="15.75" customHeight="1" x14ac:dyDescent="0.3">
      <c r="A536" s="2"/>
      <c r="B536" s="2"/>
      <c r="C536" s="2"/>
      <c r="D536" s="2"/>
      <c r="E536" s="2"/>
      <c r="F536" s="2"/>
    </row>
    <row r="537" spans="1:6" ht="15.75" customHeight="1" x14ac:dyDescent="0.3">
      <c r="A537" s="2"/>
      <c r="B537" s="2"/>
      <c r="C537" s="2"/>
      <c r="D537" s="2"/>
      <c r="E537" s="2"/>
      <c r="F537" s="2"/>
    </row>
    <row r="538" spans="1:6" ht="15.75" customHeight="1" x14ac:dyDescent="0.3">
      <c r="A538" s="2"/>
      <c r="B538" s="2"/>
      <c r="C538" s="2"/>
      <c r="D538" s="2"/>
      <c r="E538" s="2"/>
      <c r="F538" s="2"/>
    </row>
    <row r="539" spans="1:6" ht="15.75" customHeight="1" x14ac:dyDescent="0.3">
      <c r="A539" s="2"/>
      <c r="B539" s="2"/>
      <c r="C539" s="2"/>
      <c r="D539" s="2"/>
      <c r="E539" s="2"/>
      <c r="F539" s="2"/>
    </row>
    <row r="540" spans="1:6" ht="15.75" customHeight="1" x14ac:dyDescent="0.3">
      <c r="A540" s="2"/>
      <c r="B540" s="2"/>
      <c r="C540" s="2"/>
      <c r="D540" s="2"/>
      <c r="E540" s="2"/>
      <c r="F540" s="2"/>
    </row>
    <row r="541" spans="1:6" ht="15.75" customHeight="1" x14ac:dyDescent="0.3">
      <c r="A541" s="2"/>
      <c r="B541" s="2"/>
      <c r="C541" s="2"/>
      <c r="D541" s="2"/>
      <c r="E541" s="2"/>
      <c r="F541" s="2"/>
    </row>
    <row r="542" spans="1:6" ht="15.75" customHeight="1" x14ac:dyDescent="0.3">
      <c r="A542" s="2"/>
      <c r="B542" s="2"/>
      <c r="C542" s="2"/>
      <c r="D542" s="2"/>
      <c r="E542" s="2"/>
      <c r="F542" s="2"/>
    </row>
    <row r="543" spans="1:6" ht="15.75" customHeight="1" x14ac:dyDescent="0.3">
      <c r="A543" s="2"/>
      <c r="B543" s="2"/>
      <c r="C543" s="2"/>
      <c r="D543" s="2"/>
      <c r="E543" s="2"/>
      <c r="F543" s="2"/>
    </row>
    <row r="544" spans="1:6" ht="15.75" customHeight="1" x14ac:dyDescent="0.3">
      <c r="A544" s="2"/>
      <c r="B544" s="2"/>
      <c r="C544" s="2"/>
      <c r="D544" s="2"/>
      <c r="E544" s="2"/>
      <c r="F544" s="2"/>
    </row>
    <row r="545" spans="1:6" ht="15.75" customHeight="1" x14ac:dyDescent="0.3">
      <c r="A545" s="2"/>
      <c r="B545" s="2"/>
      <c r="C545" s="2"/>
      <c r="D545" s="2"/>
      <c r="E545" s="2"/>
      <c r="F545" s="2"/>
    </row>
    <row r="546" spans="1:6" ht="15.75" customHeight="1" x14ac:dyDescent="0.3">
      <c r="A546" s="2"/>
      <c r="B546" s="2"/>
      <c r="C546" s="2"/>
      <c r="D546" s="2"/>
      <c r="E546" s="2"/>
      <c r="F546" s="2"/>
    </row>
    <row r="547" spans="1:6" ht="15.75" customHeight="1" x14ac:dyDescent="0.3">
      <c r="A547" s="2"/>
      <c r="B547" s="2"/>
      <c r="C547" s="2"/>
      <c r="D547" s="2"/>
      <c r="E547" s="2"/>
      <c r="F547" s="2"/>
    </row>
    <row r="548" spans="1:6" ht="15.75" customHeight="1" x14ac:dyDescent="0.3">
      <c r="A548" s="2"/>
      <c r="B548" s="2"/>
      <c r="C548" s="2"/>
      <c r="D548" s="2"/>
      <c r="E548" s="2"/>
      <c r="F548" s="2"/>
    </row>
    <row r="549" spans="1:6" ht="15.75" customHeight="1" x14ac:dyDescent="0.3">
      <c r="A549" s="2"/>
      <c r="B549" s="2"/>
      <c r="C549" s="2"/>
      <c r="D549" s="2"/>
      <c r="E549" s="2"/>
      <c r="F549" s="2"/>
    </row>
    <row r="550" spans="1:6" ht="15.75" customHeight="1" x14ac:dyDescent="0.3">
      <c r="A550" s="2"/>
      <c r="B550" s="2"/>
      <c r="C550" s="2"/>
      <c r="D550" s="2"/>
      <c r="E550" s="2"/>
      <c r="F550" s="2"/>
    </row>
    <row r="551" spans="1:6" ht="15.75" customHeight="1" x14ac:dyDescent="0.3">
      <c r="A551" s="2"/>
      <c r="B551" s="2"/>
      <c r="C551" s="2"/>
      <c r="D551" s="2"/>
      <c r="E551" s="2"/>
      <c r="F551" s="2"/>
    </row>
    <row r="552" spans="1:6" ht="15.75" customHeight="1" x14ac:dyDescent="0.3">
      <c r="A552" s="2"/>
      <c r="B552" s="2"/>
      <c r="C552" s="2"/>
      <c r="D552" s="2"/>
      <c r="E552" s="2"/>
      <c r="F552" s="2"/>
    </row>
    <row r="553" spans="1:6" ht="15.75" customHeight="1" x14ac:dyDescent="0.3">
      <c r="A553" s="2"/>
      <c r="B553" s="2"/>
      <c r="C553" s="2"/>
      <c r="D553" s="2"/>
      <c r="E553" s="2"/>
      <c r="F553" s="2"/>
    </row>
    <row r="554" spans="1:6" ht="15.75" customHeight="1" x14ac:dyDescent="0.3">
      <c r="A554" s="2"/>
      <c r="B554" s="2"/>
      <c r="C554" s="2"/>
      <c r="D554" s="2"/>
      <c r="E554" s="2"/>
      <c r="F554" s="2"/>
    </row>
    <row r="555" spans="1:6" ht="15.75" customHeight="1" x14ac:dyDescent="0.3">
      <c r="A555" s="2"/>
      <c r="B555" s="2"/>
      <c r="C555" s="2"/>
      <c r="D555" s="2"/>
      <c r="E555" s="2"/>
      <c r="F555" s="2"/>
    </row>
    <row r="556" spans="1:6" ht="15.75" customHeight="1" x14ac:dyDescent="0.3">
      <c r="A556" s="2"/>
      <c r="B556" s="2"/>
      <c r="C556" s="2"/>
      <c r="D556" s="2"/>
      <c r="E556" s="2"/>
      <c r="F556" s="2"/>
    </row>
    <row r="557" spans="1:6" ht="15.75" customHeight="1" x14ac:dyDescent="0.3">
      <c r="A557" s="2"/>
      <c r="B557" s="2"/>
      <c r="C557" s="2"/>
      <c r="D557" s="2"/>
      <c r="E557" s="2"/>
      <c r="F557" s="2"/>
    </row>
    <row r="558" spans="1:6" ht="15.75" customHeight="1" x14ac:dyDescent="0.3">
      <c r="A558" s="2"/>
      <c r="B558" s="2"/>
      <c r="C558" s="2"/>
      <c r="D558" s="2"/>
      <c r="E558" s="2"/>
      <c r="F558" s="2"/>
    </row>
    <row r="559" spans="1:6" ht="15.75" customHeight="1" x14ac:dyDescent="0.3">
      <c r="A559" s="2"/>
      <c r="B559" s="2"/>
      <c r="C559" s="2"/>
      <c r="D559" s="2"/>
      <c r="E559" s="2"/>
      <c r="F559" s="2"/>
    </row>
    <row r="560" spans="1:6" ht="15.75" customHeight="1" x14ac:dyDescent="0.3">
      <c r="A560" s="2"/>
      <c r="B560" s="2"/>
      <c r="C560" s="2"/>
      <c r="D560" s="2"/>
      <c r="E560" s="2"/>
      <c r="F560" s="2"/>
    </row>
    <row r="561" spans="1:6" ht="15.75" customHeight="1" x14ac:dyDescent="0.3">
      <c r="A561" s="2"/>
      <c r="B561" s="2"/>
      <c r="C561" s="2"/>
      <c r="D561" s="2"/>
      <c r="E561" s="2"/>
      <c r="F561" s="2"/>
    </row>
    <row r="562" spans="1:6" ht="15.75" customHeight="1" x14ac:dyDescent="0.3">
      <c r="A562" s="2"/>
      <c r="B562" s="2"/>
      <c r="C562" s="2"/>
      <c r="D562" s="2"/>
      <c r="E562" s="2"/>
      <c r="F562" s="2"/>
    </row>
    <row r="563" spans="1:6" ht="15.75" customHeight="1" x14ac:dyDescent="0.3">
      <c r="A563" s="2"/>
      <c r="B563" s="2"/>
      <c r="C563" s="2"/>
      <c r="D563" s="2"/>
      <c r="E563" s="2"/>
      <c r="F563" s="2"/>
    </row>
    <row r="564" spans="1:6" ht="15.75" customHeight="1" x14ac:dyDescent="0.3">
      <c r="A564" s="2"/>
      <c r="B564" s="2"/>
      <c r="C564" s="2"/>
      <c r="D564" s="2"/>
      <c r="E564" s="2"/>
      <c r="F564" s="2"/>
    </row>
    <row r="565" spans="1:6" ht="15.75" customHeight="1" x14ac:dyDescent="0.3">
      <c r="A565" s="2"/>
      <c r="B565" s="2"/>
      <c r="C565" s="2"/>
      <c r="D565" s="2"/>
      <c r="E565" s="2"/>
      <c r="F565" s="2"/>
    </row>
    <row r="566" spans="1:6" ht="15.75" customHeight="1" x14ac:dyDescent="0.3">
      <c r="A566" s="2"/>
      <c r="B566" s="2"/>
      <c r="C566" s="2"/>
      <c r="D566" s="2"/>
      <c r="E566" s="2"/>
      <c r="F566" s="2"/>
    </row>
    <row r="567" spans="1:6" ht="15.75" customHeight="1" x14ac:dyDescent="0.3">
      <c r="A567" s="2"/>
      <c r="B567" s="2"/>
      <c r="C567" s="2"/>
      <c r="D567" s="2"/>
      <c r="E567" s="2"/>
      <c r="F567" s="2"/>
    </row>
    <row r="568" spans="1:6" ht="15.75" customHeight="1" x14ac:dyDescent="0.3">
      <c r="A568" s="2"/>
      <c r="B568" s="2"/>
      <c r="C568" s="2"/>
      <c r="D568" s="2"/>
      <c r="E568" s="2"/>
      <c r="F568" s="2"/>
    </row>
    <row r="569" spans="1:6" ht="15.75" customHeight="1" x14ac:dyDescent="0.3">
      <c r="A569" s="2"/>
      <c r="B569" s="2"/>
      <c r="C569" s="2"/>
      <c r="D569" s="2"/>
      <c r="E569" s="2"/>
      <c r="F569" s="2"/>
    </row>
    <row r="570" spans="1:6" ht="15.75" customHeight="1" x14ac:dyDescent="0.3">
      <c r="A570" s="2"/>
      <c r="B570" s="2"/>
      <c r="C570" s="2"/>
      <c r="D570" s="2"/>
      <c r="E570" s="2"/>
      <c r="F570" s="2"/>
    </row>
    <row r="571" spans="1:6" ht="15.75" customHeight="1" x14ac:dyDescent="0.3">
      <c r="A571" s="2"/>
      <c r="B571" s="2"/>
      <c r="C571" s="2"/>
      <c r="D571" s="2"/>
      <c r="E571" s="2"/>
      <c r="F571" s="2"/>
    </row>
    <row r="572" spans="1:6" ht="15.75" customHeight="1" x14ac:dyDescent="0.3">
      <c r="A572" s="2"/>
      <c r="B572" s="2"/>
      <c r="C572" s="2"/>
      <c r="D572" s="2"/>
      <c r="E572" s="2"/>
      <c r="F572" s="2"/>
    </row>
    <row r="573" spans="1:6" ht="15.75" customHeight="1" x14ac:dyDescent="0.3">
      <c r="A573" s="2"/>
      <c r="B573" s="2"/>
      <c r="C573" s="2"/>
      <c r="D573" s="2"/>
      <c r="E573" s="2"/>
      <c r="F573" s="2"/>
    </row>
    <row r="574" spans="1:6" ht="15.75" customHeight="1" x14ac:dyDescent="0.3">
      <c r="A574" s="2"/>
      <c r="B574" s="2"/>
      <c r="C574" s="2"/>
      <c r="D574" s="2"/>
      <c r="E574" s="2"/>
      <c r="F574" s="2"/>
    </row>
    <row r="575" spans="1:6" ht="15.75" customHeight="1" x14ac:dyDescent="0.3">
      <c r="A575" s="2"/>
      <c r="B575" s="2"/>
      <c r="C575" s="2"/>
      <c r="D575" s="2"/>
      <c r="E575" s="2"/>
      <c r="F575" s="2"/>
    </row>
    <row r="576" spans="1:6" ht="15.75" customHeight="1" x14ac:dyDescent="0.3">
      <c r="A576" s="2"/>
      <c r="B576" s="2"/>
      <c r="C576" s="2"/>
      <c r="D576" s="2"/>
      <c r="E576" s="2"/>
      <c r="F576" s="2"/>
    </row>
    <row r="577" spans="1:6" ht="15.75" customHeight="1" x14ac:dyDescent="0.3">
      <c r="A577" s="2"/>
      <c r="B577" s="2"/>
      <c r="C577" s="2"/>
      <c r="D577" s="2"/>
      <c r="E577" s="2"/>
      <c r="F577" s="2"/>
    </row>
    <row r="578" spans="1:6" ht="15.75" customHeight="1" x14ac:dyDescent="0.3">
      <c r="A578" s="2"/>
      <c r="B578" s="2"/>
      <c r="C578" s="2"/>
      <c r="D578" s="2"/>
      <c r="E578" s="2"/>
      <c r="F578" s="2"/>
    </row>
    <row r="579" spans="1:6" ht="15.75" customHeight="1" x14ac:dyDescent="0.3">
      <c r="A579" s="2"/>
      <c r="B579" s="2"/>
      <c r="C579" s="2"/>
      <c r="D579" s="2"/>
      <c r="E579" s="2"/>
      <c r="F579" s="2"/>
    </row>
    <row r="580" spans="1:6" ht="15.75" customHeight="1" x14ac:dyDescent="0.3">
      <c r="A580" s="2"/>
      <c r="B580" s="2"/>
      <c r="C580" s="2"/>
      <c r="D580" s="2"/>
      <c r="E580" s="2"/>
      <c r="F580" s="2"/>
    </row>
    <row r="581" spans="1:6" ht="15.75" customHeight="1" x14ac:dyDescent="0.3">
      <c r="A581" s="2"/>
      <c r="B581" s="2"/>
      <c r="C581" s="2"/>
      <c r="D581" s="2"/>
      <c r="E581" s="2"/>
      <c r="F581" s="2"/>
    </row>
    <row r="582" spans="1:6" ht="15.75" customHeight="1" x14ac:dyDescent="0.3">
      <c r="A582" s="2"/>
      <c r="B582" s="2"/>
      <c r="C582" s="2"/>
      <c r="D582" s="2"/>
      <c r="E582" s="2"/>
      <c r="F582" s="2"/>
    </row>
    <row r="583" spans="1:6" ht="15.75" customHeight="1" x14ac:dyDescent="0.3">
      <c r="A583" s="2"/>
      <c r="B583" s="2"/>
      <c r="C583" s="2"/>
      <c r="D583" s="2"/>
      <c r="E583" s="2"/>
      <c r="F583" s="2"/>
    </row>
    <row r="584" spans="1:6" ht="15.75" customHeight="1" x14ac:dyDescent="0.3">
      <c r="A584" s="2"/>
      <c r="B584" s="2"/>
      <c r="C584" s="2"/>
      <c r="D584" s="2"/>
      <c r="E584" s="2"/>
      <c r="F584" s="2"/>
    </row>
    <row r="585" spans="1:6" ht="15.75" customHeight="1" x14ac:dyDescent="0.3">
      <c r="A585" s="2"/>
      <c r="B585" s="2"/>
      <c r="C585" s="2"/>
      <c r="D585" s="2"/>
      <c r="E585" s="2"/>
      <c r="F585" s="2"/>
    </row>
    <row r="586" spans="1:6" ht="15.75" customHeight="1" x14ac:dyDescent="0.3">
      <c r="A586" s="2"/>
      <c r="B586" s="2"/>
      <c r="C586" s="2"/>
      <c r="D586" s="2"/>
      <c r="E586" s="2"/>
      <c r="F586" s="2"/>
    </row>
    <row r="587" spans="1:6" ht="15.75" customHeight="1" x14ac:dyDescent="0.3">
      <c r="A587" s="2"/>
      <c r="B587" s="2"/>
      <c r="C587" s="2"/>
      <c r="D587" s="2"/>
      <c r="E587" s="2"/>
      <c r="F587" s="2"/>
    </row>
    <row r="588" spans="1:6" ht="15.75" customHeight="1" x14ac:dyDescent="0.3">
      <c r="A588" s="2"/>
      <c r="B588" s="2"/>
      <c r="C588" s="2"/>
      <c r="D588" s="2"/>
      <c r="E588" s="2"/>
      <c r="F588" s="2"/>
    </row>
    <row r="589" spans="1:6" ht="15.75" customHeight="1" x14ac:dyDescent="0.3">
      <c r="A589" s="2"/>
      <c r="B589" s="2"/>
      <c r="C589" s="2"/>
      <c r="D589" s="2"/>
      <c r="E589" s="2"/>
      <c r="F589" s="2"/>
    </row>
    <row r="590" spans="1:6" ht="15.75" customHeight="1" x14ac:dyDescent="0.3">
      <c r="A590" s="2"/>
      <c r="B590" s="2"/>
      <c r="C590" s="2"/>
      <c r="D590" s="2"/>
      <c r="E590" s="2"/>
      <c r="F590" s="2"/>
    </row>
    <row r="591" spans="1:6" ht="15.75" customHeight="1" x14ac:dyDescent="0.3">
      <c r="A591" s="2"/>
      <c r="B591" s="2"/>
      <c r="C591" s="2"/>
      <c r="D591" s="2"/>
      <c r="E591" s="2"/>
      <c r="F591" s="2"/>
    </row>
    <row r="592" spans="1:6" ht="15.75" customHeight="1" x14ac:dyDescent="0.3">
      <c r="A592" s="2"/>
      <c r="B592" s="2"/>
      <c r="C592" s="2"/>
      <c r="D592" s="2"/>
      <c r="E592" s="2"/>
      <c r="F592" s="2"/>
    </row>
    <row r="593" spans="1:6" ht="15.75" customHeight="1" x14ac:dyDescent="0.3">
      <c r="A593" s="2"/>
      <c r="B593" s="2"/>
      <c r="C593" s="2"/>
      <c r="D593" s="2"/>
      <c r="E593" s="2"/>
      <c r="F593" s="2"/>
    </row>
    <row r="594" spans="1:6" ht="15.75" customHeight="1" x14ac:dyDescent="0.3">
      <c r="A594" s="2"/>
      <c r="B594" s="2"/>
      <c r="C594" s="2"/>
      <c r="D594" s="2"/>
      <c r="E594" s="2"/>
      <c r="F594" s="2"/>
    </row>
    <row r="595" spans="1:6" ht="15.75" customHeight="1" x14ac:dyDescent="0.3">
      <c r="A595" s="2"/>
      <c r="B595" s="2"/>
      <c r="C595" s="2"/>
      <c r="D595" s="2"/>
      <c r="E595" s="2"/>
      <c r="F595" s="2"/>
    </row>
    <row r="596" spans="1:6" ht="15.75" customHeight="1" x14ac:dyDescent="0.3">
      <c r="A596" s="2"/>
      <c r="B596" s="2"/>
      <c r="C596" s="2"/>
      <c r="D596" s="2"/>
      <c r="E596" s="2"/>
      <c r="F596" s="2"/>
    </row>
    <row r="597" spans="1:6" ht="15.75" customHeight="1" x14ac:dyDescent="0.3">
      <c r="A597" s="2"/>
      <c r="B597" s="2"/>
      <c r="C597" s="2"/>
      <c r="D597" s="2"/>
      <c r="E597" s="2"/>
      <c r="F597" s="2"/>
    </row>
    <row r="598" spans="1:6" ht="15.75" customHeight="1" x14ac:dyDescent="0.3">
      <c r="A598" s="2"/>
      <c r="B598" s="2"/>
      <c r="C598" s="2"/>
      <c r="D598" s="2"/>
      <c r="E598" s="2"/>
      <c r="F598" s="2"/>
    </row>
    <row r="599" spans="1:6" ht="15.75" customHeight="1" x14ac:dyDescent="0.3">
      <c r="A599" s="2"/>
      <c r="B599" s="2"/>
      <c r="C599" s="2"/>
      <c r="D599" s="2"/>
      <c r="E599" s="2"/>
      <c r="F599" s="2"/>
    </row>
    <row r="600" spans="1:6" ht="15.75" customHeight="1" x14ac:dyDescent="0.3">
      <c r="A600" s="2"/>
      <c r="B600" s="2"/>
      <c r="C600" s="2"/>
      <c r="D600" s="2"/>
      <c r="E600" s="2"/>
      <c r="F600" s="2"/>
    </row>
    <row r="601" spans="1:6" ht="15.75" customHeight="1" x14ac:dyDescent="0.3">
      <c r="A601" s="2"/>
      <c r="B601" s="2"/>
      <c r="C601" s="2"/>
      <c r="D601" s="2"/>
      <c r="E601" s="2"/>
      <c r="F601" s="2"/>
    </row>
    <row r="602" spans="1:6" ht="15.75" customHeight="1" x14ac:dyDescent="0.3">
      <c r="A602" s="2"/>
      <c r="B602" s="2"/>
      <c r="C602" s="2"/>
      <c r="D602" s="2"/>
      <c r="E602" s="2"/>
      <c r="F602" s="2"/>
    </row>
    <row r="603" spans="1:6" ht="15.75" customHeight="1" x14ac:dyDescent="0.3">
      <c r="A603" s="2"/>
      <c r="B603" s="2"/>
      <c r="C603" s="2"/>
      <c r="D603" s="2"/>
      <c r="E603" s="2"/>
      <c r="F603" s="2"/>
    </row>
    <row r="604" spans="1:6" ht="15.75" customHeight="1" x14ac:dyDescent="0.3">
      <c r="A604" s="2"/>
      <c r="B604" s="2"/>
      <c r="C604" s="2"/>
      <c r="D604" s="2"/>
      <c r="E604" s="2"/>
      <c r="F604" s="2"/>
    </row>
    <row r="605" spans="1:6" ht="15.75" customHeight="1" x14ac:dyDescent="0.3">
      <c r="A605" s="2"/>
      <c r="B605" s="2"/>
      <c r="C605" s="2"/>
      <c r="D605" s="2"/>
      <c r="E605" s="2"/>
      <c r="F605" s="2"/>
    </row>
    <row r="606" spans="1:6" ht="15.75" customHeight="1" x14ac:dyDescent="0.3">
      <c r="A606" s="2"/>
      <c r="B606" s="2"/>
      <c r="C606" s="2"/>
      <c r="D606" s="2"/>
      <c r="E606" s="2"/>
      <c r="F606" s="2"/>
    </row>
    <row r="607" spans="1:6" ht="15.75" customHeight="1" x14ac:dyDescent="0.3">
      <c r="A607" s="2"/>
      <c r="B607" s="2"/>
      <c r="C607" s="2"/>
      <c r="D607" s="2"/>
      <c r="E607" s="2"/>
      <c r="F607" s="2"/>
    </row>
    <row r="608" spans="1:6" ht="15.75" customHeight="1" x14ac:dyDescent="0.3">
      <c r="A608" s="2"/>
      <c r="B608" s="2"/>
      <c r="C608" s="2"/>
      <c r="D608" s="2"/>
      <c r="E608" s="2"/>
      <c r="F608" s="2"/>
    </row>
    <row r="609" spans="1:6" ht="15.75" customHeight="1" x14ac:dyDescent="0.3">
      <c r="A609" s="2"/>
      <c r="B609" s="2"/>
      <c r="C609" s="2"/>
      <c r="D609" s="2"/>
      <c r="E609" s="2"/>
      <c r="F609" s="2"/>
    </row>
    <row r="610" spans="1:6" ht="15.75" customHeight="1" x14ac:dyDescent="0.3">
      <c r="A610" s="2"/>
      <c r="B610" s="2"/>
      <c r="C610" s="2"/>
      <c r="D610" s="2"/>
      <c r="E610" s="2"/>
      <c r="F610" s="2"/>
    </row>
    <row r="611" spans="1:6" ht="15.75" customHeight="1" x14ac:dyDescent="0.3">
      <c r="A611" s="2"/>
      <c r="B611" s="2"/>
      <c r="C611" s="2"/>
      <c r="D611" s="2"/>
      <c r="E611" s="2"/>
      <c r="F611" s="2"/>
    </row>
    <row r="612" spans="1:6" ht="15.75" customHeight="1" x14ac:dyDescent="0.3">
      <c r="A612" s="2"/>
      <c r="B612" s="2"/>
      <c r="C612" s="2"/>
      <c r="D612" s="2"/>
      <c r="E612" s="2"/>
      <c r="F612" s="2"/>
    </row>
    <row r="613" spans="1:6" ht="15.75" customHeight="1" x14ac:dyDescent="0.3">
      <c r="A613" s="2"/>
      <c r="B613" s="2"/>
      <c r="C613" s="2"/>
      <c r="D613" s="2"/>
      <c r="E613" s="2"/>
      <c r="F613" s="2"/>
    </row>
    <row r="614" spans="1:6" ht="15.75" customHeight="1" x14ac:dyDescent="0.3">
      <c r="A614" s="2"/>
      <c r="B614" s="2"/>
      <c r="C614" s="2"/>
      <c r="D614" s="2"/>
      <c r="E614" s="2"/>
      <c r="F614" s="2"/>
    </row>
    <row r="615" spans="1:6" ht="15.75" customHeight="1" x14ac:dyDescent="0.3">
      <c r="A615" s="2"/>
      <c r="B615" s="2"/>
      <c r="C615" s="2"/>
      <c r="D615" s="2"/>
      <c r="E615" s="2"/>
      <c r="F615" s="2"/>
    </row>
    <row r="616" spans="1:6" ht="15.75" customHeight="1" x14ac:dyDescent="0.3">
      <c r="A616" s="2"/>
      <c r="B616" s="2"/>
      <c r="C616" s="2"/>
      <c r="D616" s="2"/>
      <c r="E616" s="2"/>
      <c r="F616" s="2"/>
    </row>
    <row r="617" spans="1:6" ht="15.75" customHeight="1" x14ac:dyDescent="0.3">
      <c r="A617" s="2"/>
      <c r="B617" s="2"/>
      <c r="C617" s="2"/>
      <c r="D617" s="2"/>
      <c r="E617" s="2"/>
      <c r="F617" s="2"/>
    </row>
    <row r="618" spans="1:6" ht="15.75" customHeight="1" x14ac:dyDescent="0.3">
      <c r="A618" s="2"/>
      <c r="B618" s="2"/>
      <c r="C618" s="2"/>
      <c r="D618" s="2"/>
      <c r="E618" s="2"/>
      <c r="F618" s="2"/>
    </row>
    <row r="619" spans="1:6" ht="15.75" customHeight="1" x14ac:dyDescent="0.3">
      <c r="A619" s="2"/>
      <c r="B619" s="2"/>
      <c r="C619" s="2"/>
      <c r="D619" s="2"/>
      <c r="E619" s="2"/>
      <c r="F619" s="2"/>
    </row>
    <row r="620" spans="1:6" ht="15.75" customHeight="1" x14ac:dyDescent="0.3">
      <c r="A620" s="2"/>
      <c r="B620" s="2"/>
      <c r="C620" s="2"/>
      <c r="D620" s="2"/>
      <c r="E620" s="2"/>
      <c r="F620" s="2"/>
    </row>
    <row r="621" spans="1:6" ht="15.75" customHeight="1" x14ac:dyDescent="0.3">
      <c r="A621" s="2"/>
      <c r="B621" s="2"/>
      <c r="C621" s="2"/>
      <c r="D621" s="2"/>
      <c r="E621" s="2"/>
      <c r="F621" s="2"/>
    </row>
    <row r="622" spans="1:6" ht="15.75" customHeight="1" x14ac:dyDescent="0.3">
      <c r="A622" s="2"/>
      <c r="B622" s="2"/>
      <c r="C622" s="2"/>
      <c r="D622" s="2"/>
      <c r="E622" s="2"/>
      <c r="F622" s="2"/>
    </row>
    <row r="623" spans="1:6" ht="15.75" customHeight="1" x14ac:dyDescent="0.3">
      <c r="A623" s="2"/>
      <c r="B623" s="2"/>
      <c r="C623" s="2"/>
      <c r="D623" s="2"/>
      <c r="E623" s="2"/>
      <c r="F623" s="2"/>
    </row>
    <row r="624" spans="1:6" ht="15.75" customHeight="1" x14ac:dyDescent="0.3">
      <c r="A624" s="2"/>
      <c r="B624" s="2"/>
      <c r="C624" s="2"/>
      <c r="D624" s="2"/>
      <c r="E624" s="2"/>
      <c r="F624" s="2"/>
    </row>
    <row r="625" spans="1:6" ht="15.75" customHeight="1" x14ac:dyDescent="0.3">
      <c r="A625" s="2"/>
      <c r="B625" s="2"/>
      <c r="C625" s="2"/>
      <c r="D625" s="2"/>
      <c r="E625" s="2"/>
      <c r="F625" s="2"/>
    </row>
    <row r="626" spans="1:6" ht="15.75" customHeight="1" x14ac:dyDescent="0.3">
      <c r="A626" s="2"/>
      <c r="B626" s="2"/>
      <c r="C626" s="2"/>
      <c r="D626" s="2"/>
      <c r="E626" s="2"/>
      <c r="F626" s="2"/>
    </row>
    <row r="627" spans="1:6" ht="15.75" customHeight="1" x14ac:dyDescent="0.3">
      <c r="A627" s="2"/>
      <c r="B627" s="2"/>
      <c r="C627" s="2"/>
      <c r="D627" s="2"/>
      <c r="E627" s="2"/>
      <c r="F627" s="2"/>
    </row>
    <row r="628" spans="1:6" ht="15.75" customHeight="1" x14ac:dyDescent="0.3">
      <c r="A628" s="2"/>
      <c r="B628" s="2"/>
      <c r="C628" s="2"/>
      <c r="D628" s="2"/>
      <c r="E628" s="2"/>
      <c r="F628" s="2"/>
    </row>
    <row r="629" spans="1:6" ht="15.75" customHeight="1" x14ac:dyDescent="0.3">
      <c r="A629" s="2"/>
      <c r="B629" s="2"/>
      <c r="C629" s="2"/>
      <c r="D629" s="2"/>
      <c r="E629" s="2"/>
      <c r="F629" s="2"/>
    </row>
    <row r="630" spans="1:6" ht="15.75" customHeight="1" x14ac:dyDescent="0.3">
      <c r="A630" s="2"/>
      <c r="B630" s="2"/>
      <c r="C630" s="2"/>
      <c r="D630" s="2"/>
      <c r="E630" s="2"/>
      <c r="F630" s="2"/>
    </row>
    <row r="631" spans="1:6" ht="15.75" customHeight="1" x14ac:dyDescent="0.3">
      <c r="A631" s="2"/>
      <c r="B631" s="2"/>
      <c r="C631" s="2"/>
      <c r="D631" s="2"/>
      <c r="E631" s="2"/>
      <c r="F631" s="2"/>
    </row>
    <row r="632" spans="1:6" ht="15.75" customHeight="1" x14ac:dyDescent="0.3">
      <c r="A632" s="2"/>
      <c r="B632" s="2"/>
      <c r="C632" s="2"/>
      <c r="D632" s="2"/>
      <c r="E632" s="2"/>
      <c r="F632" s="2"/>
    </row>
    <row r="633" spans="1:6" ht="15.75" customHeight="1" x14ac:dyDescent="0.3">
      <c r="A633" s="2"/>
      <c r="B633" s="2"/>
      <c r="C633" s="2"/>
      <c r="D633" s="2"/>
      <c r="E633" s="2"/>
      <c r="F633" s="2"/>
    </row>
    <row r="634" spans="1:6" ht="15.75" customHeight="1" x14ac:dyDescent="0.3">
      <c r="A634" s="2"/>
      <c r="B634" s="2"/>
      <c r="C634" s="2"/>
      <c r="D634" s="2"/>
      <c r="E634" s="2"/>
      <c r="F634" s="2"/>
    </row>
    <row r="635" spans="1:6" ht="15.75" customHeight="1" x14ac:dyDescent="0.3">
      <c r="A635" s="2"/>
      <c r="B635" s="2"/>
      <c r="C635" s="2"/>
      <c r="D635" s="2"/>
      <c r="E635" s="2"/>
      <c r="F635" s="2"/>
    </row>
    <row r="636" spans="1:6" ht="15.75" customHeight="1" x14ac:dyDescent="0.3">
      <c r="A636" s="2"/>
      <c r="B636" s="2"/>
      <c r="C636" s="2"/>
      <c r="D636" s="2"/>
      <c r="E636" s="2"/>
      <c r="F636" s="2"/>
    </row>
    <row r="637" spans="1:6" ht="15.75" customHeight="1" x14ac:dyDescent="0.3">
      <c r="A637" s="2"/>
      <c r="B637" s="2"/>
      <c r="C637" s="2"/>
      <c r="D637" s="2"/>
      <c r="E637" s="2"/>
      <c r="F637" s="2"/>
    </row>
    <row r="638" spans="1:6" ht="15.75" customHeight="1" x14ac:dyDescent="0.3">
      <c r="A638" s="2"/>
      <c r="B638" s="2"/>
      <c r="C638" s="2"/>
      <c r="D638" s="2"/>
      <c r="E638" s="2"/>
      <c r="F638" s="2"/>
    </row>
    <row r="639" spans="1:6" ht="15.75" customHeight="1" x14ac:dyDescent="0.3">
      <c r="A639" s="2"/>
      <c r="B639" s="2"/>
      <c r="C639" s="2"/>
      <c r="D639" s="2"/>
      <c r="E639" s="2"/>
      <c r="F639" s="2"/>
    </row>
    <row r="640" spans="1:6" ht="15.75" customHeight="1" x14ac:dyDescent="0.3">
      <c r="A640" s="2"/>
      <c r="B640" s="2"/>
      <c r="C640" s="2"/>
      <c r="D640" s="2"/>
      <c r="E640" s="2"/>
      <c r="F640" s="2"/>
    </row>
    <row r="641" spans="1:6" ht="15.75" customHeight="1" x14ac:dyDescent="0.3">
      <c r="A641" s="2"/>
      <c r="B641" s="2"/>
      <c r="C641" s="2"/>
      <c r="D641" s="2"/>
      <c r="E641" s="2"/>
      <c r="F641" s="2"/>
    </row>
    <row r="642" spans="1:6" ht="15.75" customHeight="1" x14ac:dyDescent="0.3">
      <c r="A642" s="2"/>
      <c r="B642" s="2"/>
      <c r="C642" s="2"/>
      <c r="D642" s="2"/>
      <c r="E642" s="2"/>
      <c r="F642" s="2"/>
    </row>
    <row r="643" spans="1:6" ht="15.75" customHeight="1" x14ac:dyDescent="0.3">
      <c r="A643" s="2"/>
      <c r="B643" s="2"/>
      <c r="C643" s="2"/>
      <c r="D643" s="2"/>
      <c r="E643" s="2"/>
      <c r="F643" s="2"/>
    </row>
    <row r="644" spans="1:6" ht="15.75" customHeight="1" x14ac:dyDescent="0.3">
      <c r="A644" s="2"/>
      <c r="B644" s="2"/>
      <c r="C644" s="2"/>
      <c r="D644" s="2"/>
      <c r="E644" s="2"/>
      <c r="F644" s="2"/>
    </row>
    <row r="645" spans="1:6" ht="15.75" customHeight="1" x14ac:dyDescent="0.3">
      <c r="A645" s="2"/>
      <c r="B645" s="2"/>
      <c r="C645" s="2"/>
      <c r="D645" s="2"/>
      <c r="E645" s="2"/>
      <c r="F645" s="2"/>
    </row>
    <row r="646" spans="1:6" ht="15.75" customHeight="1" x14ac:dyDescent="0.3">
      <c r="A646" s="2"/>
      <c r="B646" s="2"/>
      <c r="C646" s="2"/>
      <c r="D646" s="2"/>
      <c r="E646" s="2"/>
      <c r="F646" s="2"/>
    </row>
    <row r="647" spans="1:6" ht="15.75" customHeight="1" x14ac:dyDescent="0.3">
      <c r="A647" s="2"/>
      <c r="B647" s="2"/>
      <c r="C647" s="2"/>
      <c r="D647" s="2"/>
      <c r="E647" s="2"/>
      <c r="F647" s="2"/>
    </row>
    <row r="648" spans="1:6" ht="15.75" customHeight="1" x14ac:dyDescent="0.3">
      <c r="A648" s="2"/>
      <c r="B648" s="2"/>
      <c r="C648" s="2"/>
      <c r="D648" s="2"/>
      <c r="E648" s="2"/>
      <c r="F648" s="2"/>
    </row>
    <row r="649" spans="1:6" ht="15.75" customHeight="1" x14ac:dyDescent="0.3">
      <c r="A649" s="2"/>
      <c r="B649" s="2"/>
      <c r="C649" s="2"/>
      <c r="D649" s="2"/>
      <c r="E649" s="2"/>
      <c r="F649" s="2"/>
    </row>
    <row r="650" spans="1:6" ht="15.75" customHeight="1" x14ac:dyDescent="0.3">
      <c r="A650" s="2"/>
      <c r="B650" s="2"/>
      <c r="C650" s="2"/>
      <c r="D650" s="2"/>
      <c r="E650" s="2"/>
      <c r="F650" s="2"/>
    </row>
    <row r="651" spans="1:6" ht="15.75" customHeight="1" x14ac:dyDescent="0.3">
      <c r="A651" s="2"/>
      <c r="B651" s="2"/>
      <c r="C651" s="2"/>
      <c r="D651" s="2"/>
      <c r="E651" s="2"/>
      <c r="F651" s="2"/>
    </row>
    <row r="652" spans="1:6" ht="15.75" customHeight="1" x14ac:dyDescent="0.3">
      <c r="A652" s="2"/>
      <c r="B652" s="2"/>
      <c r="C652" s="2"/>
      <c r="D652" s="2"/>
      <c r="E652" s="2"/>
      <c r="F652" s="2"/>
    </row>
    <row r="653" spans="1:6" ht="15.75" customHeight="1" x14ac:dyDescent="0.3">
      <c r="A653" s="2"/>
      <c r="B653" s="2"/>
      <c r="C653" s="2"/>
      <c r="D653" s="2"/>
      <c r="E653" s="2"/>
      <c r="F653" s="2"/>
    </row>
    <row r="654" spans="1:6" ht="15.75" customHeight="1" x14ac:dyDescent="0.3">
      <c r="A654" s="2"/>
      <c r="B654" s="2"/>
      <c r="C654" s="2"/>
      <c r="D654" s="2"/>
      <c r="E654" s="2"/>
      <c r="F654" s="2"/>
    </row>
    <row r="655" spans="1:6" ht="15.75" customHeight="1" x14ac:dyDescent="0.3">
      <c r="A655" s="2"/>
      <c r="B655" s="2"/>
      <c r="C655" s="2"/>
      <c r="D655" s="2"/>
      <c r="E655" s="2"/>
      <c r="F655" s="2"/>
    </row>
    <row r="656" spans="1:6" ht="15.75" customHeight="1" x14ac:dyDescent="0.3">
      <c r="A656" s="2"/>
      <c r="B656" s="2"/>
      <c r="C656" s="2"/>
      <c r="D656" s="2"/>
      <c r="E656" s="2"/>
      <c r="F656" s="2"/>
    </row>
    <row r="657" spans="1:6" ht="15.75" customHeight="1" x14ac:dyDescent="0.3">
      <c r="A657" s="2"/>
      <c r="B657" s="2"/>
      <c r="C657" s="2"/>
      <c r="D657" s="2"/>
      <c r="E657" s="2"/>
      <c r="F657" s="2"/>
    </row>
    <row r="658" spans="1:6" ht="15.75" customHeight="1" x14ac:dyDescent="0.3">
      <c r="A658" s="2"/>
      <c r="B658" s="2"/>
      <c r="C658" s="2"/>
      <c r="D658" s="2"/>
      <c r="E658" s="2"/>
      <c r="F658" s="2"/>
    </row>
    <row r="659" spans="1:6" ht="15.75" customHeight="1" x14ac:dyDescent="0.3">
      <c r="A659" s="2"/>
      <c r="B659" s="2"/>
      <c r="C659" s="2"/>
      <c r="D659" s="2"/>
      <c r="E659" s="2"/>
      <c r="F659" s="2"/>
    </row>
    <row r="660" spans="1:6" ht="15.75" customHeight="1" x14ac:dyDescent="0.3">
      <c r="A660" s="2"/>
      <c r="B660" s="2"/>
      <c r="C660" s="2"/>
      <c r="D660" s="2"/>
      <c r="E660" s="2"/>
      <c r="F660" s="2"/>
    </row>
    <row r="661" spans="1:6" ht="15.75" customHeight="1" x14ac:dyDescent="0.3">
      <c r="A661" s="2"/>
      <c r="B661" s="2"/>
      <c r="C661" s="2"/>
      <c r="D661" s="2"/>
      <c r="E661" s="2"/>
      <c r="F661" s="2"/>
    </row>
    <row r="662" spans="1:6" ht="15.75" customHeight="1" x14ac:dyDescent="0.3">
      <c r="A662" s="2"/>
      <c r="B662" s="2"/>
      <c r="C662" s="2"/>
      <c r="D662" s="2"/>
      <c r="E662" s="2"/>
      <c r="F662" s="2"/>
    </row>
    <row r="663" spans="1:6" ht="15.75" customHeight="1" x14ac:dyDescent="0.3">
      <c r="A663" s="2"/>
      <c r="B663" s="2"/>
      <c r="C663" s="2"/>
      <c r="D663" s="2"/>
      <c r="E663" s="2"/>
      <c r="F663" s="2"/>
    </row>
    <row r="664" spans="1:6" ht="15.75" customHeight="1" x14ac:dyDescent="0.3">
      <c r="A664" s="2"/>
      <c r="B664" s="2"/>
      <c r="C664" s="2"/>
      <c r="D664" s="2"/>
      <c r="E664" s="2"/>
      <c r="F664" s="2"/>
    </row>
    <row r="665" spans="1:6" ht="15.75" customHeight="1" x14ac:dyDescent="0.3">
      <c r="A665" s="2"/>
      <c r="B665" s="2"/>
      <c r="C665" s="2"/>
      <c r="D665" s="2"/>
      <c r="E665" s="2"/>
      <c r="F665" s="2"/>
    </row>
    <row r="666" spans="1:6" ht="15.75" customHeight="1" x14ac:dyDescent="0.3">
      <c r="A666" s="2"/>
      <c r="B666" s="2"/>
      <c r="C666" s="2"/>
      <c r="D666" s="2"/>
      <c r="E666" s="2"/>
      <c r="F666" s="2"/>
    </row>
    <row r="667" spans="1:6" ht="15.75" customHeight="1" x14ac:dyDescent="0.3">
      <c r="A667" s="2"/>
      <c r="B667" s="2"/>
      <c r="C667" s="2"/>
      <c r="D667" s="2"/>
      <c r="E667" s="2"/>
      <c r="F667" s="2"/>
    </row>
    <row r="668" spans="1:6" ht="15.75" customHeight="1" x14ac:dyDescent="0.3">
      <c r="A668" s="2"/>
      <c r="B668" s="2"/>
      <c r="C668" s="2"/>
      <c r="D668" s="2"/>
      <c r="E668" s="2"/>
      <c r="F668" s="2"/>
    </row>
    <row r="669" spans="1:6" ht="15.75" customHeight="1" x14ac:dyDescent="0.3">
      <c r="A669" s="2"/>
      <c r="B669" s="2"/>
      <c r="C669" s="2"/>
      <c r="D669" s="2"/>
      <c r="E669" s="2"/>
      <c r="F669" s="2"/>
    </row>
    <row r="670" spans="1:6" ht="15.75" customHeight="1" x14ac:dyDescent="0.3">
      <c r="A670" s="2"/>
      <c r="B670" s="2"/>
      <c r="C670" s="2"/>
      <c r="D670" s="2"/>
      <c r="E670" s="2"/>
      <c r="F670" s="2"/>
    </row>
    <row r="671" spans="1:6" ht="15.75" customHeight="1" x14ac:dyDescent="0.3">
      <c r="A671" s="2"/>
      <c r="B671" s="2"/>
      <c r="C671" s="2"/>
      <c r="D671" s="2"/>
      <c r="E671" s="2"/>
      <c r="F671" s="2"/>
    </row>
    <row r="672" spans="1:6" ht="15.75" customHeight="1" x14ac:dyDescent="0.3">
      <c r="A672" s="2"/>
      <c r="B672" s="2"/>
      <c r="C672" s="2"/>
      <c r="D672" s="2"/>
      <c r="E672" s="2"/>
      <c r="F672" s="2"/>
    </row>
    <row r="673" spans="1:6" ht="15.75" customHeight="1" x14ac:dyDescent="0.3">
      <c r="A673" s="2"/>
      <c r="B673" s="2"/>
      <c r="C673" s="2"/>
      <c r="D673" s="2"/>
      <c r="E673" s="2"/>
      <c r="F673" s="2"/>
    </row>
    <row r="674" spans="1:6" ht="15.75" customHeight="1" x14ac:dyDescent="0.3">
      <c r="A674" s="2"/>
      <c r="B674" s="2"/>
      <c r="C674" s="2"/>
      <c r="D674" s="2"/>
      <c r="E674" s="2"/>
      <c r="F674" s="2"/>
    </row>
    <row r="675" spans="1:6" ht="15.75" customHeight="1" x14ac:dyDescent="0.3">
      <c r="A675" s="2"/>
      <c r="B675" s="2"/>
      <c r="C675" s="2"/>
      <c r="D675" s="2"/>
      <c r="E675" s="2"/>
      <c r="F675" s="2"/>
    </row>
    <row r="676" spans="1:6" ht="15.75" customHeight="1" x14ac:dyDescent="0.3">
      <c r="A676" s="2"/>
      <c r="B676" s="2"/>
      <c r="C676" s="2"/>
      <c r="D676" s="2"/>
      <c r="E676" s="2"/>
      <c r="F676" s="2"/>
    </row>
    <row r="677" spans="1:6" ht="15.75" customHeight="1" x14ac:dyDescent="0.3">
      <c r="A677" s="2"/>
      <c r="B677" s="2"/>
      <c r="C677" s="2"/>
      <c r="D677" s="2"/>
      <c r="E677" s="2"/>
      <c r="F677" s="2"/>
    </row>
    <row r="678" spans="1:6" ht="15.75" customHeight="1" x14ac:dyDescent="0.3">
      <c r="A678" s="2"/>
      <c r="B678" s="2"/>
      <c r="C678" s="2"/>
      <c r="D678" s="2"/>
      <c r="E678" s="2"/>
      <c r="F678" s="2"/>
    </row>
    <row r="679" spans="1:6" ht="15.75" customHeight="1" x14ac:dyDescent="0.3">
      <c r="A679" s="2"/>
      <c r="B679" s="2"/>
      <c r="C679" s="2"/>
      <c r="D679" s="2"/>
      <c r="E679" s="2"/>
      <c r="F679" s="2"/>
    </row>
    <row r="680" spans="1:6" ht="15.75" customHeight="1" x14ac:dyDescent="0.3">
      <c r="A680" s="2"/>
      <c r="B680" s="2"/>
      <c r="C680" s="2"/>
      <c r="D680" s="2"/>
      <c r="E680" s="2"/>
      <c r="F680" s="2"/>
    </row>
    <row r="681" spans="1:6" ht="15.75" customHeight="1" x14ac:dyDescent="0.3">
      <c r="A681" s="2"/>
      <c r="B681" s="2"/>
      <c r="C681" s="2"/>
      <c r="D681" s="2"/>
      <c r="E681" s="2"/>
      <c r="F681" s="2"/>
    </row>
    <row r="682" spans="1:6" ht="15.75" customHeight="1" x14ac:dyDescent="0.3">
      <c r="A682" s="2"/>
      <c r="B682" s="2"/>
      <c r="C682" s="2"/>
      <c r="D682" s="2"/>
      <c r="E682" s="2"/>
      <c r="F682" s="2"/>
    </row>
    <row r="683" spans="1:6" ht="15.75" customHeight="1" x14ac:dyDescent="0.3">
      <c r="A683" s="2"/>
      <c r="B683" s="2"/>
      <c r="C683" s="2"/>
      <c r="D683" s="2"/>
      <c r="E683" s="2"/>
      <c r="F683" s="2"/>
    </row>
    <row r="684" spans="1:6" ht="15.75" customHeight="1" x14ac:dyDescent="0.3">
      <c r="A684" s="2"/>
      <c r="B684" s="2"/>
      <c r="C684" s="2"/>
      <c r="D684" s="2"/>
      <c r="E684" s="2"/>
      <c r="F684" s="2"/>
    </row>
    <row r="685" spans="1:6" ht="15.75" customHeight="1" x14ac:dyDescent="0.3">
      <c r="A685" s="2"/>
      <c r="B685" s="2"/>
      <c r="C685" s="2"/>
      <c r="D685" s="2"/>
      <c r="E685" s="2"/>
      <c r="F685" s="2"/>
    </row>
    <row r="686" spans="1:6" ht="15.75" customHeight="1" x14ac:dyDescent="0.3">
      <c r="A686" s="2"/>
      <c r="B686" s="2"/>
      <c r="C686" s="2"/>
      <c r="D686" s="2"/>
      <c r="E686" s="2"/>
      <c r="F686" s="2"/>
    </row>
    <row r="687" spans="1:6" ht="15.75" customHeight="1" x14ac:dyDescent="0.3">
      <c r="A687" s="2"/>
      <c r="B687" s="2"/>
      <c r="C687" s="2"/>
      <c r="D687" s="2"/>
      <c r="E687" s="2"/>
      <c r="F687" s="2"/>
    </row>
    <row r="688" spans="1:6" ht="15.75" customHeight="1" x14ac:dyDescent="0.3">
      <c r="A688" s="2"/>
      <c r="B688" s="2"/>
      <c r="C688" s="2"/>
      <c r="D688" s="2"/>
      <c r="E688" s="2"/>
      <c r="F688" s="2"/>
    </row>
    <row r="689" spans="1:6" ht="15.75" customHeight="1" x14ac:dyDescent="0.3">
      <c r="A689" s="2"/>
      <c r="B689" s="2"/>
      <c r="C689" s="2"/>
      <c r="D689" s="2"/>
      <c r="E689" s="2"/>
      <c r="F689" s="2"/>
    </row>
    <row r="690" spans="1:6" ht="15.75" customHeight="1" x14ac:dyDescent="0.3">
      <c r="A690" s="2"/>
      <c r="B690" s="2"/>
      <c r="C690" s="2"/>
      <c r="D690" s="2"/>
      <c r="E690" s="2"/>
      <c r="F690" s="2"/>
    </row>
    <row r="691" spans="1:6" ht="15.75" customHeight="1" x14ac:dyDescent="0.3">
      <c r="A691" s="2"/>
      <c r="B691" s="2"/>
      <c r="C691" s="2"/>
      <c r="D691" s="2"/>
      <c r="E691" s="2"/>
      <c r="F691" s="2"/>
    </row>
    <row r="692" spans="1:6" ht="15.75" customHeight="1" x14ac:dyDescent="0.3">
      <c r="A692" s="2"/>
      <c r="B692" s="2"/>
      <c r="C692" s="2"/>
      <c r="D692" s="2"/>
      <c r="E692" s="2"/>
      <c r="F692" s="2"/>
    </row>
    <row r="693" spans="1:6" ht="15.75" customHeight="1" x14ac:dyDescent="0.3">
      <c r="A693" s="2"/>
      <c r="B693" s="2"/>
      <c r="C693" s="2"/>
      <c r="D693" s="2"/>
      <c r="E693" s="2"/>
      <c r="F693" s="2"/>
    </row>
    <row r="694" spans="1:6" ht="15.75" customHeight="1" x14ac:dyDescent="0.3">
      <c r="A694" s="2"/>
      <c r="B694" s="2"/>
      <c r="C694" s="2"/>
      <c r="D694" s="2"/>
      <c r="E694" s="2"/>
      <c r="F694" s="2"/>
    </row>
    <row r="695" spans="1:6" ht="15.75" customHeight="1" x14ac:dyDescent="0.3">
      <c r="A695" s="2"/>
      <c r="B695" s="2"/>
      <c r="C695" s="2"/>
      <c r="D695" s="2"/>
      <c r="E695" s="2"/>
      <c r="F695" s="2"/>
    </row>
    <row r="696" spans="1:6" ht="15.75" customHeight="1" x14ac:dyDescent="0.3">
      <c r="A696" s="2"/>
      <c r="B696" s="2"/>
      <c r="C696" s="2"/>
      <c r="D696" s="2"/>
      <c r="E696" s="2"/>
      <c r="F696" s="2"/>
    </row>
    <row r="697" spans="1:6" ht="15.75" customHeight="1" x14ac:dyDescent="0.3">
      <c r="A697" s="2"/>
      <c r="B697" s="2"/>
      <c r="C697" s="2"/>
      <c r="D697" s="2"/>
      <c r="E697" s="2"/>
      <c r="F697" s="2"/>
    </row>
    <row r="698" spans="1:6" ht="15.75" customHeight="1" x14ac:dyDescent="0.3">
      <c r="A698" s="2"/>
      <c r="B698" s="2"/>
      <c r="C698" s="2"/>
      <c r="D698" s="2"/>
      <c r="E698" s="2"/>
      <c r="F698" s="2"/>
    </row>
    <row r="699" spans="1:6" ht="15.75" customHeight="1" x14ac:dyDescent="0.3">
      <c r="A699" s="2"/>
      <c r="B699" s="2"/>
      <c r="C699" s="2"/>
      <c r="D699" s="2"/>
      <c r="E699" s="2"/>
      <c r="F699" s="2"/>
    </row>
    <row r="700" spans="1:6" ht="15.75" customHeight="1" x14ac:dyDescent="0.3">
      <c r="A700" s="2"/>
      <c r="B700" s="2"/>
      <c r="C700" s="2"/>
      <c r="D700" s="2"/>
      <c r="E700" s="2"/>
      <c r="F700" s="2"/>
    </row>
    <row r="701" spans="1:6" ht="15.75" customHeight="1" x14ac:dyDescent="0.3">
      <c r="A701" s="2"/>
      <c r="B701" s="2"/>
      <c r="C701" s="2"/>
      <c r="D701" s="2"/>
      <c r="E701" s="2"/>
      <c r="F701" s="2"/>
    </row>
    <row r="702" spans="1:6" ht="15.75" customHeight="1" x14ac:dyDescent="0.3">
      <c r="A702" s="2"/>
      <c r="B702" s="2"/>
      <c r="C702" s="2"/>
      <c r="D702" s="2"/>
      <c r="E702" s="2"/>
      <c r="F702" s="2"/>
    </row>
    <row r="703" spans="1:6" ht="15.75" customHeight="1" x14ac:dyDescent="0.3">
      <c r="A703" s="2"/>
      <c r="B703" s="2"/>
      <c r="C703" s="2"/>
      <c r="D703" s="2"/>
      <c r="E703" s="2"/>
      <c r="F703" s="2"/>
    </row>
    <row r="704" spans="1:6" ht="15.75" customHeight="1" x14ac:dyDescent="0.3">
      <c r="A704" s="2"/>
      <c r="B704" s="2"/>
      <c r="C704" s="2"/>
      <c r="D704" s="2"/>
      <c r="E704" s="2"/>
      <c r="F704" s="2"/>
    </row>
    <row r="705" spans="1:6" ht="15.75" customHeight="1" x14ac:dyDescent="0.3">
      <c r="A705" s="2"/>
      <c r="B705" s="2"/>
      <c r="C705" s="2"/>
      <c r="D705" s="2"/>
      <c r="E705" s="2"/>
      <c r="F705" s="2"/>
    </row>
    <row r="706" spans="1:6" ht="15.75" customHeight="1" x14ac:dyDescent="0.3">
      <c r="A706" s="2"/>
      <c r="B706" s="2"/>
      <c r="C706" s="2"/>
      <c r="D706" s="2"/>
      <c r="E706" s="2"/>
      <c r="F706" s="2"/>
    </row>
    <row r="707" spans="1:6" ht="15.75" customHeight="1" x14ac:dyDescent="0.3">
      <c r="A707" s="2"/>
      <c r="B707" s="2"/>
      <c r="C707" s="2"/>
      <c r="D707" s="2"/>
      <c r="E707" s="2"/>
      <c r="F707" s="2"/>
    </row>
    <row r="708" spans="1:6" ht="15.75" customHeight="1" x14ac:dyDescent="0.3">
      <c r="A708" s="2"/>
      <c r="B708" s="2"/>
      <c r="C708" s="2"/>
      <c r="D708" s="2"/>
      <c r="E708" s="2"/>
      <c r="F708" s="2"/>
    </row>
    <row r="709" spans="1:6" ht="15.75" customHeight="1" x14ac:dyDescent="0.3">
      <c r="A709" s="2"/>
      <c r="B709" s="2"/>
      <c r="C709" s="2"/>
      <c r="D709" s="2"/>
      <c r="E709" s="2"/>
      <c r="F709" s="2"/>
    </row>
    <row r="710" spans="1:6" ht="15.75" customHeight="1" x14ac:dyDescent="0.3">
      <c r="A710" s="2"/>
      <c r="B710" s="2"/>
      <c r="C710" s="2"/>
      <c r="D710" s="2"/>
      <c r="E710" s="2"/>
      <c r="F710" s="2"/>
    </row>
    <row r="711" spans="1:6" ht="15.75" customHeight="1" x14ac:dyDescent="0.3">
      <c r="A711" s="2"/>
      <c r="B711" s="2"/>
      <c r="C711" s="2"/>
      <c r="D711" s="2"/>
      <c r="E711" s="2"/>
      <c r="F711" s="2"/>
    </row>
    <row r="712" spans="1:6" ht="15.75" customHeight="1" x14ac:dyDescent="0.3">
      <c r="A712" s="2"/>
      <c r="B712" s="2"/>
      <c r="C712" s="2"/>
      <c r="D712" s="2"/>
      <c r="E712" s="2"/>
      <c r="F712" s="2"/>
    </row>
    <row r="713" spans="1:6" ht="15.75" customHeight="1" x14ac:dyDescent="0.3">
      <c r="A713" s="2"/>
      <c r="B713" s="2"/>
      <c r="C713" s="2"/>
      <c r="D713" s="2"/>
      <c r="E713" s="2"/>
      <c r="F713" s="2"/>
    </row>
    <row r="714" spans="1:6" ht="15.75" customHeight="1" x14ac:dyDescent="0.3">
      <c r="A714" s="2"/>
      <c r="B714" s="2"/>
      <c r="C714" s="2"/>
      <c r="D714" s="2"/>
      <c r="E714" s="2"/>
      <c r="F714" s="2"/>
    </row>
    <row r="715" spans="1:6" ht="15.75" customHeight="1" x14ac:dyDescent="0.3">
      <c r="A715" s="2"/>
      <c r="B715" s="2"/>
      <c r="C715" s="2"/>
      <c r="D715" s="2"/>
      <c r="E715" s="2"/>
      <c r="F715" s="2"/>
    </row>
    <row r="716" spans="1:6" ht="15.75" customHeight="1" x14ac:dyDescent="0.3">
      <c r="A716" s="2"/>
      <c r="B716" s="2"/>
      <c r="C716" s="2"/>
      <c r="D716" s="2"/>
      <c r="E716" s="2"/>
      <c r="F716" s="2"/>
    </row>
    <row r="717" spans="1:6" ht="15.75" customHeight="1" x14ac:dyDescent="0.3">
      <c r="A717" s="2"/>
      <c r="B717" s="2"/>
      <c r="C717" s="2"/>
      <c r="D717" s="2"/>
      <c r="E717" s="2"/>
      <c r="F717" s="2"/>
    </row>
    <row r="718" spans="1:6" ht="15.75" customHeight="1" x14ac:dyDescent="0.3">
      <c r="A718" s="2"/>
      <c r="B718" s="2"/>
      <c r="C718" s="2"/>
      <c r="D718" s="2"/>
      <c r="E718" s="2"/>
      <c r="F718" s="2"/>
    </row>
    <row r="719" spans="1:6" ht="15.75" customHeight="1" x14ac:dyDescent="0.3">
      <c r="A719" s="2"/>
      <c r="B719" s="2"/>
      <c r="C719" s="2"/>
      <c r="D719" s="2"/>
      <c r="E719" s="2"/>
      <c r="F719" s="2"/>
    </row>
    <row r="720" spans="1:6" ht="15.75" customHeight="1" x14ac:dyDescent="0.3">
      <c r="A720" s="2"/>
      <c r="B720" s="2"/>
      <c r="C720" s="2"/>
      <c r="D720" s="2"/>
      <c r="E720" s="2"/>
      <c r="F720" s="2"/>
    </row>
    <row r="721" spans="1:6" ht="15.75" customHeight="1" x14ac:dyDescent="0.3">
      <c r="A721" s="2"/>
      <c r="B721" s="2"/>
      <c r="C721" s="2"/>
      <c r="D721" s="2"/>
      <c r="E721" s="2"/>
      <c r="F721" s="2"/>
    </row>
    <row r="722" spans="1:6" ht="15.75" customHeight="1" x14ac:dyDescent="0.3">
      <c r="A722" s="2"/>
      <c r="B722" s="2"/>
      <c r="C722" s="2"/>
      <c r="D722" s="2"/>
      <c r="E722" s="2"/>
      <c r="F722" s="2"/>
    </row>
    <row r="723" spans="1:6" ht="15.75" customHeight="1" x14ac:dyDescent="0.3">
      <c r="A723" s="2"/>
      <c r="B723" s="2"/>
      <c r="C723" s="2"/>
      <c r="D723" s="2"/>
      <c r="E723" s="2"/>
      <c r="F723" s="2"/>
    </row>
    <row r="724" spans="1:6" ht="15.75" customHeight="1" x14ac:dyDescent="0.3">
      <c r="A724" s="2"/>
      <c r="B724" s="2"/>
      <c r="C724" s="2"/>
      <c r="D724" s="2"/>
      <c r="E724" s="2"/>
      <c r="F724" s="2"/>
    </row>
    <row r="725" spans="1:6" ht="15.75" customHeight="1" x14ac:dyDescent="0.3">
      <c r="A725" s="2"/>
      <c r="B725" s="2"/>
      <c r="C725" s="2"/>
      <c r="D725" s="2"/>
      <c r="E725" s="2"/>
      <c r="F725" s="2"/>
    </row>
    <row r="726" spans="1:6" ht="15.75" customHeight="1" x14ac:dyDescent="0.3">
      <c r="A726" s="2"/>
      <c r="B726" s="2"/>
      <c r="C726" s="2"/>
      <c r="D726" s="2"/>
      <c r="E726" s="2"/>
      <c r="F726" s="2"/>
    </row>
    <row r="727" spans="1:6" ht="15.75" customHeight="1" x14ac:dyDescent="0.3">
      <c r="A727" s="2"/>
      <c r="B727" s="2"/>
      <c r="C727" s="2"/>
      <c r="D727" s="2"/>
      <c r="E727" s="2"/>
      <c r="F727" s="2"/>
    </row>
    <row r="728" spans="1:6" ht="15.75" customHeight="1" x14ac:dyDescent="0.3">
      <c r="A728" s="2"/>
      <c r="B728" s="2"/>
      <c r="C728" s="2"/>
      <c r="D728" s="2"/>
      <c r="E728" s="2"/>
      <c r="F728" s="2"/>
    </row>
    <row r="729" spans="1:6" ht="15.75" customHeight="1" x14ac:dyDescent="0.3">
      <c r="A729" s="2"/>
      <c r="B729" s="2"/>
      <c r="C729" s="2"/>
      <c r="D729" s="2"/>
      <c r="E729" s="2"/>
      <c r="F729" s="2"/>
    </row>
    <row r="730" spans="1:6" ht="15.75" customHeight="1" x14ac:dyDescent="0.3">
      <c r="A730" s="2"/>
      <c r="B730" s="2"/>
      <c r="C730" s="2"/>
      <c r="D730" s="2"/>
      <c r="E730" s="2"/>
      <c r="F730" s="2"/>
    </row>
    <row r="731" spans="1:6" ht="15.75" customHeight="1" x14ac:dyDescent="0.3">
      <c r="A731" s="2"/>
      <c r="B731" s="2"/>
      <c r="C731" s="2"/>
      <c r="D731" s="2"/>
      <c r="E731" s="2"/>
      <c r="F731" s="2"/>
    </row>
    <row r="732" spans="1:6" ht="15.75" customHeight="1" x14ac:dyDescent="0.3">
      <c r="A732" s="2"/>
      <c r="B732" s="2"/>
      <c r="C732" s="2"/>
      <c r="D732" s="2"/>
      <c r="E732" s="2"/>
      <c r="F732" s="2"/>
    </row>
    <row r="733" spans="1:6" ht="15.75" customHeight="1" x14ac:dyDescent="0.3">
      <c r="A733" s="2"/>
      <c r="B733" s="2"/>
      <c r="C733" s="2"/>
      <c r="D733" s="2"/>
      <c r="E733" s="2"/>
      <c r="F733" s="2"/>
    </row>
    <row r="734" spans="1:6" ht="15.75" customHeight="1" x14ac:dyDescent="0.3">
      <c r="A734" s="2"/>
      <c r="B734" s="2"/>
      <c r="C734" s="2"/>
      <c r="D734" s="2"/>
      <c r="E734" s="2"/>
      <c r="F734" s="2"/>
    </row>
    <row r="735" spans="1:6" ht="15.75" customHeight="1" x14ac:dyDescent="0.3">
      <c r="A735" s="2"/>
      <c r="B735" s="2"/>
      <c r="C735" s="2"/>
      <c r="D735" s="2"/>
      <c r="E735" s="2"/>
      <c r="F735" s="2"/>
    </row>
    <row r="736" spans="1:6" ht="15.75" customHeight="1" x14ac:dyDescent="0.3">
      <c r="A736" s="2"/>
      <c r="B736" s="2"/>
      <c r="C736" s="2"/>
      <c r="D736" s="2"/>
      <c r="E736" s="2"/>
      <c r="F736" s="2"/>
    </row>
    <row r="737" spans="1:6" ht="15.75" customHeight="1" x14ac:dyDescent="0.3">
      <c r="A737" s="2"/>
      <c r="B737" s="2"/>
      <c r="C737" s="2"/>
      <c r="D737" s="2"/>
      <c r="E737" s="2"/>
      <c r="F737" s="2"/>
    </row>
    <row r="738" spans="1:6" ht="15.75" customHeight="1" x14ac:dyDescent="0.3">
      <c r="A738" s="2"/>
      <c r="B738" s="2"/>
      <c r="C738" s="2"/>
      <c r="D738" s="2"/>
      <c r="E738" s="2"/>
      <c r="F738" s="2"/>
    </row>
    <row r="739" spans="1:6" ht="15.75" customHeight="1" x14ac:dyDescent="0.3">
      <c r="A739" s="2"/>
      <c r="B739" s="2"/>
      <c r="C739" s="2"/>
      <c r="D739" s="2"/>
      <c r="E739" s="2"/>
      <c r="F739" s="2"/>
    </row>
    <row r="740" spans="1:6" ht="15.75" customHeight="1" x14ac:dyDescent="0.3">
      <c r="A740" s="2"/>
      <c r="B740" s="2"/>
      <c r="C740" s="2"/>
      <c r="D740" s="2"/>
      <c r="E740" s="2"/>
      <c r="F740" s="2"/>
    </row>
    <row r="741" spans="1:6" ht="15.75" customHeight="1" x14ac:dyDescent="0.3">
      <c r="A741" s="2"/>
      <c r="B741" s="2"/>
      <c r="C741" s="2"/>
      <c r="D741" s="2"/>
      <c r="E741" s="2"/>
      <c r="F741" s="2"/>
    </row>
    <row r="742" spans="1:6" ht="15.75" customHeight="1" x14ac:dyDescent="0.3">
      <c r="A742" s="2"/>
      <c r="B742" s="2"/>
      <c r="C742" s="2"/>
      <c r="D742" s="2"/>
      <c r="E742" s="2"/>
      <c r="F742" s="2"/>
    </row>
    <row r="743" spans="1:6" ht="15.75" customHeight="1" x14ac:dyDescent="0.3">
      <c r="A743" s="2"/>
      <c r="B743" s="2"/>
      <c r="C743" s="2"/>
      <c r="D743" s="2"/>
      <c r="E743" s="2"/>
      <c r="F743" s="2"/>
    </row>
    <row r="744" spans="1:6" ht="15.75" customHeight="1" x14ac:dyDescent="0.3">
      <c r="A744" s="2"/>
      <c r="B744" s="2"/>
      <c r="C744" s="2"/>
      <c r="D744" s="2"/>
      <c r="E744" s="2"/>
      <c r="F744" s="2"/>
    </row>
    <row r="745" spans="1:6" ht="15.75" customHeight="1" x14ac:dyDescent="0.3">
      <c r="A745" s="2"/>
      <c r="B745" s="2"/>
      <c r="C745" s="2"/>
      <c r="D745" s="2"/>
      <c r="E745" s="2"/>
      <c r="F745" s="2"/>
    </row>
    <row r="746" spans="1:6" ht="15.75" customHeight="1" x14ac:dyDescent="0.3">
      <c r="A746" s="2"/>
      <c r="B746" s="2"/>
      <c r="C746" s="2"/>
      <c r="D746" s="2"/>
      <c r="E746" s="2"/>
      <c r="F746" s="2"/>
    </row>
    <row r="747" spans="1:6" ht="15.75" customHeight="1" x14ac:dyDescent="0.3">
      <c r="A747" s="2"/>
      <c r="B747" s="2"/>
      <c r="C747" s="2"/>
      <c r="D747" s="2"/>
      <c r="E747" s="2"/>
      <c r="F747" s="2"/>
    </row>
    <row r="748" spans="1:6" ht="15.75" customHeight="1" x14ac:dyDescent="0.3">
      <c r="A748" s="2"/>
      <c r="B748" s="2"/>
      <c r="C748" s="2"/>
      <c r="D748" s="2"/>
      <c r="E748" s="2"/>
      <c r="F748" s="2"/>
    </row>
    <row r="749" spans="1:6" ht="15.75" customHeight="1" x14ac:dyDescent="0.3">
      <c r="A749" s="2"/>
      <c r="B749" s="2"/>
      <c r="C749" s="2"/>
      <c r="D749" s="2"/>
      <c r="E749" s="2"/>
      <c r="F749" s="2"/>
    </row>
    <row r="750" spans="1:6" ht="15.75" customHeight="1" x14ac:dyDescent="0.3">
      <c r="A750" s="2"/>
      <c r="B750" s="2"/>
      <c r="C750" s="2"/>
      <c r="D750" s="2"/>
      <c r="E750" s="2"/>
      <c r="F750" s="2"/>
    </row>
    <row r="751" spans="1:6" ht="15.75" customHeight="1" x14ac:dyDescent="0.3">
      <c r="A751" s="2"/>
      <c r="B751" s="2"/>
      <c r="C751" s="2"/>
      <c r="D751" s="2"/>
      <c r="E751" s="2"/>
      <c r="F751" s="2"/>
    </row>
    <row r="752" spans="1:6" ht="15.75" customHeight="1" x14ac:dyDescent="0.3">
      <c r="A752" s="2"/>
      <c r="B752" s="2"/>
      <c r="C752" s="2"/>
      <c r="D752" s="2"/>
      <c r="E752" s="2"/>
      <c r="F752" s="2"/>
    </row>
    <row r="753" spans="1:6" ht="15.75" customHeight="1" x14ac:dyDescent="0.3">
      <c r="A753" s="2"/>
      <c r="B753" s="2"/>
      <c r="C753" s="2"/>
      <c r="D753" s="2"/>
      <c r="E753" s="2"/>
      <c r="F753" s="2"/>
    </row>
    <row r="754" spans="1:6" ht="15.75" customHeight="1" x14ac:dyDescent="0.3">
      <c r="A754" s="2"/>
      <c r="B754" s="2"/>
      <c r="C754" s="2"/>
      <c r="D754" s="2"/>
      <c r="E754" s="2"/>
      <c r="F754" s="2"/>
    </row>
    <row r="755" spans="1:6" ht="15.75" customHeight="1" x14ac:dyDescent="0.3">
      <c r="A755" s="2"/>
      <c r="B755" s="2"/>
      <c r="C755" s="2"/>
      <c r="D755" s="2"/>
      <c r="E755" s="2"/>
      <c r="F755" s="2"/>
    </row>
    <row r="756" spans="1:6" ht="15.75" customHeight="1" x14ac:dyDescent="0.3">
      <c r="A756" s="2"/>
      <c r="B756" s="2"/>
      <c r="C756" s="2"/>
      <c r="D756" s="2"/>
      <c r="E756" s="2"/>
      <c r="F756" s="2"/>
    </row>
    <row r="757" spans="1:6" ht="15.75" customHeight="1" x14ac:dyDescent="0.3">
      <c r="A757" s="2"/>
      <c r="B757" s="2"/>
      <c r="C757" s="2"/>
      <c r="D757" s="2"/>
      <c r="E757" s="2"/>
      <c r="F757" s="2"/>
    </row>
    <row r="758" spans="1:6" ht="15.75" customHeight="1" x14ac:dyDescent="0.3">
      <c r="A758" s="2"/>
      <c r="B758" s="2"/>
      <c r="C758" s="2"/>
      <c r="D758" s="2"/>
      <c r="E758" s="2"/>
      <c r="F758" s="2"/>
    </row>
    <row r="759" spans="1:6" ht="15.75" customHeight="1" x14ac:dyDescent="0.3">
      <c r="A759" s="2"/>
      <c r="B759" s="2"/>
      <c r="C759" s="2"/>
      <c r="D759" s="2"/>
      <c r="E759" s="2"/>
      <c r="F759" s="2"/>
    </row>
    <row r="760" spans="1:6" ht="15.75" customHeight="1" x14ac:dyDescent="0.3">
      <c r="A760" s="2"/>
      <c r="B760" s="2"/>
      <c r="C760" s="2"/>
      <c r="D760" s="2"/>
      <c r="E760" s="2"/>
      <c r="F760" s="2"/>
    </row>
    <row r="761" spans="1:6" ht="15.75" customHeight="1" x14ac:dyDescent="0.3">
      <c r="A761" s="2"/>
      <c r="B761" s="2"/>
      <c r="C761" s="2"/>
      <c r="D761" s="2"/>
      <c r="E761" s="2"/>
      <c r="F761" s="2"/>
    </row>
    <row r="762" spans="1:6" ht="15.75" customHeight="1" x14ac:dyDescent="0.3">
      <c r="A762" s="2"/>
      <c r="B762" s="2"/>
      <c r="C762" s="2"/>
      <c r="D762" s="2"/>
      <c r="E762" s="2"/>
      <c r="F762" s="2"/>
    </row>
    <row r="763" spans="1:6" ht="15.75" customHeight="1" x14ac:dyDescent="0.3">
      <c r="A763" s="2"/>
      <c r="B763" s="2"/>
      <c r="C763" s="2"/>
      <c r="D763" s="2"/>
      <c r="E763" s="2"/>
      <c r="F763" s="2"/>
    </row>
    <row r="764" spans="1:6" ht="15.75" customHeight="1" x14ac:dyDescent="0.3">
      <c r="A764" s="2"/>
      <c r="B764" s="2"/>
      <c r="C764" s="2"/>
      <c r="D764" s="2"/>
      <c r="E764" s="2"/>
      <c r="F764" s="2"/>
    </row>
    <row r="765" spans="1:6" ht="15.75" customHeight="1" x14ac:dyDescent="0.3">
      <c r="A765" s="2"/>
      <c r="B765" s="2"/>
      <c r="C765" s="2"/>
      <c r="D765" s="2"/>
      <c r="E765" s="2"/>
      <c r="F765" s="2"/>
    </row>
    <row r="766" spans="1:6" ht="15.75" customHeight="1" x14ac:dyDescent="0.3">
      <c r="A766" s="2"/>
      <c r="B766" s="2"/>
      <c r="C766" s="2"/>
      <c r="D766" s="2"/>
      <c r="E766" s="2"/>
      <c r="F766" s="2"/>
    </row>
    <row r="767" spans="1:6" ht="15.75" customHeight="1" x14ac:dyDescent="0.3">
      <c r="A767" s="2"/>
      <c r="B767" s="2"/>
      <c r="C767" s="2"/>
      <c r="D767" s="2"/>
      <c r="E767" s="2"/>
      <c r="F767" s="2"/>
    </row>
    <row r="768" spans="1:6" ht="15.75" customHeight="1" x14ac:dyDescent="0.3">
      <c r="A768" s="2"/>
      <c r="B768" s="2"/>
      <c r="C768" s="2"/>
      <c r="D768" s="2"/>
      <c r="E768" s="2"/>
      <c r="F768" s="2"/>
    </row>
    <row r="769" spans="1:6" ht="15.75" customHeight="1" x14ac:dyDescent="0.3">
      <c r="A769" s="2"/>
      <c r="B769" s="2"/>
      <c r="C769" s="2"/>
      <c r="D769" s="2"/>
      <c r="E769" s="2"/>
      <c r="F769" s="2"/>
    </row>
    <row r="770" spans="1:6" ht="15.75" customHeight="1" x14ac:dyDescent="0.3">
      <c r="A770" s="2"/>
      <c r="B770" s="2"/>
      <c r="C770" s="2"/>
      <c r="D770" s="2"/>
      <c r="E770" s="2"/>
      <c r="F770" s="2"/>
    </row>
    <row r="771" spans="1:6" ht="15.75" customHeight="1" x14ac:dyDescent="0.3">
      <c r="A771" s="2"/>
      <c r="B771" s="2"/>
      <c r="C771" s="2"/>
      <c r="D771" s="2"/>
      <c r="E771" s="2"/>
      <c r="F771" s="2"/>
    </row>
    <row r="772" spans="1:6" ht="15.75" customHeight="1" x14ac:dyDescent="0.3">
      <c r="A772" s="2"/>
      <c r="B772" s="2"/>
      <c r="C772" s="2"/>
      <c r="D772" s="2"/>
      <c r="E772" s="2"/>
      <c r="F772" s="2"/>
    </row>
    <row r="773" spans="1:6" ht="15.75" customHeight="1" x14ac:dyDescent="0.3">
      <c r="A773" s="2"/>
      <c r="B773" s="2"/>
      <c r="C773" s="2"/>
      <c r="D773" s="2"/>
      <c r="E773" s="2"/>
      <c r="F773" s="2"/>
    </row>
    <row r="774" spans="1:6" ht="15.75" customHeight="1" x14ac:dyDescent="0.3">
      <c r="A774" s="2"/>
      <c r="B774" s="2"/>
      <c r="C774" s="2"/>
      <c r="D774" s="2"/>
      <c r="E774" s="2"/>
      <c r="F774" s="2"/>
    </row>
    <row r="775" spans="1:6" ht="15.75" customHeight="1" x14ac:dyDescent="0.3">
      <c r="A775" s="2"/>
      <c r="B775" s="2"/>
      <c r="C775" s="2"/>
      <c r="D775" s="2"/>
      <c r="E775" s="2"/>
      <c r="F775" s="2"/>
    </row>
    <row r="776" spans="1:6" ht="15.75" customHeight="1" x14ac:dyDescent="0.3">
      <c r="A776" s="2"/>
      <c r="B776" s="2"/>
      <c r="C776" s="2"/>
      <c r="D776" s="2"/>
      <c r="E776" s="2"/>
      <c r="F776" s="2"/>
    </row>
    <row r="777" spans="1:6" ht="15.75" customHeight="1" x14ac:dyDescent="0.3">
      <c r="A777" s="2"/>
      <c r="B777" s="2"/>
      <c r="C777" s="2"/>
      <c r="D777" s="2"/>
      <c r="E777" s="2"/>
      <c r="F777" s="2"/>
    </row>
    <row r="778" spans="1:6" ht="15.75" customHeight="1" x14ac:dyDescent="0.3">
      <c r="A778" s="2"/>
      <c r="B778" s="2"/>
      <c r="C778" s="2"/>
      <c r="D778" s="2"/>
      <c r="E778" s="2"/>
      <c r="F778" s="2"/>
    </row>
    <row r="779" spans="1:6" ht="15.75" customHeight="1" x14ac:dyDescent="0.3">
      <c r="A779" s="2"/>
      <c r="B779" s="2"/>
      <c r="C779" s="2"/>
      <c r="D779" s="2"/>
      <c r="E779" s="2"/>
      <c r="F779" s="2"/>
    </row>
    <row r="780" spans="1:6" ht="15.75" customHeight="1" x14ac:dyDescent="0.3">
      <c r="A780" s="2"/>
      <c r="B780" s="2"/>
      <c r="C780" s="2"/>
      <c r="D780" s="2"/>
      <c r="E780" s="2"/>
      <c r="F780" s="2"/>
    </row>
    <row r="781" spans="1:6" ht="15.75" customHeight="1" x14ac:dyDescent="0.3">
      <c r="A781" s="2"/>
      <c r="B781" s="2"/>
      <c r="C781" s="2"/>
      <c r="D781" s="2"/>
      <c r="E781" s="2"/>
      <c r="F781" s="2"/>
    </row>
    <row r="782" spans="1:6" ht="15.75" customHeight="1" x14ac:dyDescent="0.3">
      <c r="A782" s="2"/>
      <c r="B782" s="2"/>
      <c r="C782" s="2"/>
      <c r="D782" s="2"/>
      <c r="E782" s="2"/>
      <c r="F782" s="2"/>
    </row>
    <row r="783" spans="1:6" ht="15.75" customHeight="1" x14ac:dyDescent="0.3">
      <c r="A783" s="2"/>
      <c r="B783" s="2"/>
      <c r="C783" s="2"/>
      <c r="D783" s="2"/>
      <c r="E783" s="2"/>
      <c r="F783" s="2"/>
    </row>
    <row r="784" spans="1:6" ht="15.75" customHeight="1" x14ac:dyDescent="0.3">
      <c r="A784" s="2"/>
      <c r="B784" s="2"/>
      <c r="C784" s="2"/>
      <c r="D784" s="2"/>
      <c r="E784" s="2"/>
      <c r="F784" s="2"/>
    </row>
    <row r="785" spans="1:6" ht="15.75" customHeight="1" x14ac:dyDescent="0.3">
      <c r="A785" s="2"/>
      <c r="B785" s="2"/>
      <c r="C785" s="2"/>
      <c r="D785" s="2"/>
      <c r="E785" s="2"/>
      <c r="F785" s="2"/>
    </row>
    <row r="786" spans="1:6" ht="15.75" customHeight="1" x14ac:dyDescent="0.3">
      <c r="A786" s="2"/>
      <c r="B786" s="2"/>
      <c r="C786" s="2"/>
      <c r="D786" s="2"/>
      <c r="E786" s="2"/>
      <c r="F786" s="2"/>
    </row>
    <row r="787" spans="1:6" ht="15.75" customHeight="1" x14ac:dyDescent="0.3">
      <c r="A787" s="2"/>
      <c r="B787" s="2"/>
      <c r="C787" s="2"/>
      <c r="D787" s="2"/>
      <c r="E787" s="2"/>
      <c r="F787" s="2"/>
    </row>
    <row r="788" spans="1:6" ht="15.75" customHeight="1" x14ac:dyDescent="0.3">
      <c r="A788" s="2"/>
      <c r="B788" s="2"/>
      <c r="C788" s="2"/>
      <c r="D788" s="2"/>
      <c r="E788" s="2"/>
      <c r="F788" s="2"/>
    </row>
    <row r="789" spans="1:6" ht="15.75" customHeight="1" x14ac:dyDescent="0.3">
      <c r="A789" s="2"/>
      <c r="B789" s="2"/>
      <c r="C789" s="2"/>
      <c r="D789" s="2"/>
      <c r="E789" s="2"/>
      <c r="F789" s="2"/>
    </row>
    <row r="790" spans="1:6" ht="15.75" customHeight="1" x14ac:dyDescent="0.3">
      <c r="A790" s="2"/>
      <c r="B790" s="2"/>
      <c r="C790" s="2"/>
      <c r="D790" s="2"/>
      <c r="E790" s="2"/>
      <c r="F790" s="2"/>
    </row>
    <row r="791" spans="1:6" ht="15.75" customHeight="1" x14ac:dyDescent="0.3">
      <c r="A791" s="2"/>
      <c r="B791" s="2"/>
      <c r="C791" s="2"/>
      <c r="D791" s="2"/>
      <c r="E791" s="2"/>
      <c r="F791" s="2"/>
    </row>
    <row r="792" spans="1:6" ht="15.75" customHeight="1" x14ac:dyDescent="0.3">
      <c r="A792" s="2"/>
      <c r="B792" s="2"/>
      <c r="C792" s="2"/>
      <c r="D792" s="2"/>
      <c r="E792" s="2"/>
      <c r="F792" s="2"/>
    </row>
    <row r="793" spans="1:6" ht="15.75" customHeight="1" x14ac:dyDescent="0.3">
      <c r="A793" s="2"/>
      <c r="B793" s="2"/>
      <c r="C793" s="2"/>
      <c r="D793" s="2"/>
      <c r="E793" s="2"/>
      <c r="F793" s="2"/>
    </row>
    <row r="794" spans="1:6" ht="15.75" customHeight="1" x14ac:dyDescent="0.3">
      <c r="A794" s="2"/>
      <c r="B794" s="2"/>
      <c r="C794" s="2"/>
      <c r="D794" s="2"/>
      <c r="E794" s="2"/>
      <c r="F794" s="2"/>
    </row>
    <row r="795" spans="1:6" ht="15.75" customHeight="1" x14ac:dyDescent="0.3">
      <c r="A795" s="2"/>
      <c r="B795" s="2"/>
      <c r="C795" s="2"/>
      <c r="D795" s="2"/>
      <c r="E795" s="2"/>
      <c r="F795" s="2"/>
    </row>
    <row r="796" spans="1:6" ht="15.75" customHeight="1" x14ac:dyDescent="0.3">
      <c r="A796" s="2"/>
      <c r="B796" s="2"/>
      <c r="C796" s="2"/>
      <c r="D796" s="2"/>
      <c r="E796" s="2"/>
      <c r="F796" s="2"/>
    </row>
    <row r="797" spans="1:6" ht="15.75" customHeight="1" x14ac:dyDescent="0.3">
      <c r="A797" s="2"/>
      <c r="B797" s="2"/>
      <c r="C797" s="2"/>
      <c r="D797" s="2"/>
      <c r="E797" s="2"/>
      <c r="F797" s="2"/>
    </row>
    <row r="798" spans="1:6" ht="15.75" customHeight="1" x14ac:dyDescent="0.3">
      <c r="A798" s="2"/>
      <c r="B798" s="2"/>
      <c r="C798" s="2"/>
      <c r="D798" s="2"/>
      <c r="E798" s="2"/>
      <c r="F798" s="2"/>
    </row>
    <row r="799" spans="1:6" ht="15.75" customHeight="1" x14ac:dyDescent="0.3">
      <c r="A799" s="2"/>
      <c r="B799" s="2"/>
      <c r="C799" s="2"/>
      <c r="D799" s="2"/>
      <c r="E799" s="2"/>
      <c r="F799" s="2"/>
    </row>
    <row r="800" spans="1:6" ht="15.75" customHeight="1" x14ac:dyDescent="0.3">
      <c r="A800" s="2"/>
      <c r="B800" s="2"/>
      <c r="C800" s="2"/>
      <c r="D800" s="2"/>
      <c r="E800" s="2"/>
      <c r="F800" s="2"/>
    </row>
    <row r="801" spans="1:6" ht="15.75" customHeight="1" x14ac:dyDescent="0.3">
      <c r="A801" s="2"/>
      <c r="B801" s="2"/>
      <c r="C801" s="2"/>
      <c r="D801" s="2"/>
      <c r="E801" s="2"/>
      <c r="F801" s="2"/>
    </row>
    <row r="802" spans="1:6" ht="15.75" customHeight="1" x14ac:dyDescent="0.3">
      <c r="A802" s="2"/>
      <c r="B802" s="2"/>
      <c r="C802" s="2"/>
      <c r="D802" s="2"/>
      <c r="E802" s="2"/>
      <c r="F802" s="2"/>
    </row>
    <row r="803" spans="1:6" ht="15.75" customHeight="1" x14ac:dyDescent="0.3">
      <c r="A803" s="2"/>
      <c r="B803" s="2"/>
      <c r="C803" s="2"/>
      <c r="D803" s="2"/>
      <c r="E803" s="2"/>
      <c r="F803" s="2"/>
    </row>
    <row r="804" spans="1:6" ht="15.75" customHeight="1" x14ac:dyDescent="0.3">
      <c r="A804" s="2"/>
      <c r="B804" s="2"/>
      <c r="C804" s="2"/>
      <c r="D804" s="2"/>
      <c r="E804" s="2"/>
      <c r="F804" s="2"/>
    </row>
    <row r="805" spans="1:6" ht="15.75" customHeight="1" x14ac:dyDescent="0.3">
      <c r="A805" s="2"/>
      <c r="B805" s="2"/>
      <c r="C805" s="2"/>
      <c r="D805" s="2"/>
      <c r="E805" s="2"/>
      <c r="F805" s="2"/>
    </row>
    <row r="806" spans="1:6" ht="15.75" customHeight="1" x14ac:dyDescent="0.3">
      <c r="A806" s="2"/>
      <c r="B806" s="2"/>
      <c r="C806" s="2"/>
      <c r="D806" s="2"/>
      <c r="E806" s="2"/>
      <c r="F806" s="2"/>
    </row>
    <row r="807" spans="1:6" ht="15.75" customHeight="1" x14ac:dyDescent="0.3">
      <c r="A807" s="2"/>
      <c r="B807" s="2"/>
      <c r="C807" s="2"/>
      <c r="D807" s="2"/>
      <c r="E807" s="2"/>
      <c r="F807" s="2"/>
    </row>
    <row r="808" spans="1:6" ht="15.75" customHeight="1" x14ac:dyDescent="0.3">
      <c r="A808" s="2"/>
      <c r="B808" s="2"/>
      <c r="C808" s="2"/>
      <c r="D808" s="2"/>
      <c r="E808" s="2"/>
      <c r="F808" s="2"/>
    </row>
    <row r="809" spans="1:6" ht="15.75" customHeight="1" x14ac:dyDescent="0.3">
      <c r="A809" s="2"/>
      <c r="B809" s="2"/>
      <c r="C809" s="2"/>
      <c r="D809" s="2"/>
      <c r="E809" s="2"/>
      <c r="F809" s="2"/>
    </row>
    <row r="810" spans="1:6" ht="15.75" customHeight="1" x14ac:dyDescent="0.3">
      <c r="A810" s="2"/>
      <c r="B810" s="2"/>
      <c r="C810" s="2"/>
      <c r="D810" s="2"/>
      <c r="E810" s="2"/>
      <c r="F810" s="2"/>
    </row>
    <row r="811" spans="1:6" ht="15.75" customHeight="1" x14ac:dyDescent="0.3">
      <c r="A811" s="2"/>
      <c r="B811" s="2"/>
      <c r="C811" s="2"/>
      <c r="D811" s="2"/>
      <c r="E811" s="2"/>
      <c r="F811" s="2"/>
    </row>
    <row r="812" spans="1:6" ht="15.75" customHeight="1" x14ac:dyDescent="0.3">
      <c r="A812" s="2"/>
      <c r="B812" s="2"/>
      <c r="C812" s="2"/>
      <c r="D812" s="2"/>
      <c r="E812" s="2"/>
      <c r="F812" s="2"/>
    </row>
    <row r="813" spans="1:6" ht="15.75" customHeight="1" x14ac:dyDescent="0.3">
      <c r="A813" s="2"/>
      <c r="B813" s="2"/>
      <c r="C813" s="2"/>
      <c r="D813" s="2"/>
      <c r="E813" s="2"/>
      <c r="F813" s="2"/>
    </row>
    <row r="814" spans="1:6" ht="15.75" customHeight="1" x14ac:dyDescent="0.3">
      <c r="A814" s="2"/>
      <c r="B814" s="2"/>
      <c r="C814" s="2"/>
      <c r="D814" s="2"/>
      <c r="E814" s="2"/>
      <c r="F814" s="2"/>
    </row>
    <row r="815" spans="1:6" ht="15.75" customHeight="1" x14ac:dyDescent="0.3">
      <c r="A815" s="2"/>
      <c r="B815" s="2"/>
      <c r="C815" s="2"/>
      <c r="D815" s="2"/>
      <c r="E815" s="2"/>
      <c r="F815" s="2"/>
    </row>
    <row r="816" spans="1:6" ht="15.75" customHeight="1" x14ac:dyDescent="0.3">
      <c r="A816" s="2"/>
      <c r="B816" s="2"/>
      <c r="C816" s="2"/>
      <c r="D816" s="2"/>
      <c r="E816" s="2"/>
      <c r="F816" s="2"/>
    </row>
    <row r="817" spans="1:6" ht="15.75" customHeight="1" x14ac:dyDescent="0.3">
      <c r="A817" s="2"/>
      <c r="B817" s="2"/>
      <c r="C817" s="2"/>
      <c r="D817" s="2"/>
      <c r="E817" s="2"/>
      <c r="F817" s="2"/>
    </row>
    <row r="818" spans="1:6" ht="15.75" customHeight="1" x14ac:dyDescent="0.3">
      <c r="A818" s="2"/>
      <c r="B818" s="2"/>
      <c r="C818" s="2"/>
      <c r="D818" s="2"/>
      <c r="E818" s="2"/>
      <c r="F818" s="2"/>
    </row>
    <row r="819" spans="1:6" ht="15.75" customHeight="1" x14ac:dyDescent="0.3">
      <c r="A819" s="2"/>
      <c r="B819" s="2"/>
      <c r="C819" s="2"/>
      <c r="D819" s="2"/>
      <c r="E819" s="2"/>
      <c r="F819" s="2"/>
    </row>
    <row r="820" spans="1:6" ht="15.75" customHeight="1" x14ac:dyDescent="0.3">
      <c r="A820" s="2"/>
      <c r="B820" s="2"/>
      <c r="C820" s="2"/>
      <c r="D820" s="2"/>
      <c r="E820" s="2"/>
      <c r="F820" s="2"/>
    </row>
    <row r="821" spans="1:6" ht="15.75" customHeight="1" x14ac:dyDescent="0.3">
      <c r="A821" s="2"/>
      <c r="B821" s="2"/>
      <c r="C821" s="2"/>
      <c r="D821" s="2"/>
      <c r="E821" s="2"/>
      <c r="F821" s="2"/>
    </row>
    <row r="822" spans="1:6" ht="15.75" customHeight="1" x14ac:dyDescent="0.3">
      <c r="A822" s="2"/>
      <c r="B822" s="2"/>
      <c r="C822" s="2"/>
      <c r="D822" s="2"/>
      <c r="E822" s="2"/>
      <c r="F822" s="2"/>
    </row>
    <row r="823" spans="1:6" ht="15.75" customHeight="1" x14ac:dyDescent="0.3">
      <c r="A823" s="2"/>
      <c r="B823" s="2"/>
      <c r="C823" s="2"/>
      <c r="D823" s="2"/>
      <c r="E823" s="2"/>
      <c r="F823" s="2"/>
    </row>
    <row r="824" spans="1:6" ht="15.75" customHeight="1" x14ac:dyDescent="0.3">
      <c r="A824" s="2"/>
      <c r="B824" s="2"/>
      <c r="C824" s="2"/>
      <c r="D824" s="2"/>
      <c r="E824" s="2"/>
      <c r="F824" s="2"/>
    </row>
    <row r="825" spans="1:6" ht="15.75" customHeight="1" x14ac:dyDescent="0.3">
      <c r="A825" s="2"/>
      <c r="B825" s="2"/>
      <c r="C825" s="2"/>
      <c r="D825" s="2"/>
      <c r="E825" s="2"/>
      <c r="F825" s="2"/>
    </row>
    <row r="826" spans="1:6" ht="15.75" customHeight="1" x14ac:dyDescent="0.3">
      <c r="A826" s="2"/>
      <c r="B826" s="2"/>
      <c r="C826" s="2"/>
      <c r="D826" s="2"/>
      <c r="E826" s="2"/>
      <c r="F826" s="2"/>
    </row>
    <row r="827" spans="1:6" ht="15.75" customHeight="1" x14ac:dyDescent="0.3">
      <c r="A827" s="2"/>
      <c r="B827" s="2"/>
      <c r="C827" s="2"/>
      <c r="D827" s="2"/>
      <c r="E827" s="2"/>
      <c r="F827" s="2"/>
    </row>
    <row r="828" spans="1:6" ht="15.75" customHeight="1" x14ac:dyDescent="0.3">
      <c r="A828" s="2"/>
      <c r="B828" s="2"/>
      <c r="C828" s="2"/>
      <c r="D828" s="2"/>
      <c r="E828" s="2"/>
      <c r="F828" s="2"/>
    </row>
    <row r="829" spans="1:6" ht="15.75" customHeight="1" x14ac:dyDescent="0.3">
      <c r="A829" s="2"/>
      <c r="B829" s="2"/>
      <c r="C829" s="2"/>
      <c r="D829" s="2"/>
      <c r="E829" s="2"/>
      <c r="F829" s="2"/>
    </row>
    <row r="830" spans="1:6" ht="15.75" customHeight="1" x14ac:dyDescent="0.3">
      <c r="A830" s="2"/>
      <c r="B830" s="2"/>
      <c r="C830" s="2"/>
      <c r="D830" s="2"/>
      <c r="E830" s="2"/>
      <c r="F830" s="2"/>
    </row>
    <row r="831" spans="1:6" ht="15.75" customHeight="1" x14ac:dyDescent="0.3">
      <c r="A831" s="2"/>
      <c r="B831" s="2"/>
      <c r="C831" s="2"/>
      <c r="D831" s="2"/>
      <c r="E831" s="2"/>
      <c r="F831" s="2"/>
    </row>
    <row r="832" spans="1:6" ht="15.75" customHeight="1" x14ac:dyDescent="0.3">
      <c r="A832" s="2"/>
      <c r="B832" s="2"/>
      <c r="C832" s="2"/>
      <c r="D832" s="2"/>
      <c r="E832" s="2"/>
      <c r="F832" s="2"/>
    </row>
    <row r="833" spans="1:6" ht="15.75" customHeight="1" x14ac:dyDescent="0.3">
      <c r="A833" s="2"/>
      <c r="B833" s="2"/>
      <c r="C833" s="2"/>
      <c r="D833" s="2"/>
      <c r="E833" s="2"/>
      <c r="F833" s="2"/>
    </row>
    <row r="834" spans="1:6" ht="15.75" customHeight="1" x14ac:dyDescent="0.3">
      <c r="A834" s="2"/>
      <c r="B834" s="2"/>
      <c r="C834" s="2"/>
      <c r="D834" s="2"/>
      <c r="E834" s="2"/>
      <c r="F834" s="2"/>
    </row>
    <row r="835" spans="1:6" ht="15.75" customHeight="1" x14ac:dyDescent="0.3">
      <c r="A835" s="2"/>
      <c r="B835" s="2"/>
      <c r="C835" s="2"/>
      <c r="D835" s="2"/>
      <c r="E835" s="2"/>
      <c r="F835" s="2"/>
    </row>
    <row r="836" spans="1:6" ht="15.75" customHeight="1" x14ac:dyDescent="0.3">
      <c r="A836" s="2"/>
      <c r="B836" s="2"/>
      <c r="C836" s="2"/>
      <c r="D836" s="2"/>
      <c r="E836" s="2"/>
      <c r="F836" s="2"/>
    </row>
    <row r="837" spans="1:6" ht="15.75" customHeight="1" x14ac:dyDescent="0.3">
      <c r="A837" s="2"/>
      <c r="B837" s="2"/>
      <c r="C837" s="2"/>
      <c r="D837" s="2"/>
      <c r="E837" s="2"/>
      <c r="F837" s="2"/>
    </row>
    <row r="838" spans="1:6" ht="15.75" customHeight="1" x14ac:dyDescent="0.3">
      <c r="A838" s="2"/>
      <c r="B838" s="2"/>
      <c r="C838" s="2"/>
      <c r="D838" s="2"/>
      <c r="E838" s="2"/>
      <c r="F838" s="2"/>
    </row>
    <row r="839" spans="1:6" ht="15.75" customHeight="1" x14ac:dyDescent="0.3">
      <c r="A839" s="2"/>
      <c r="B839" s="2"/>
      <c r="C839" s="2"/>
      <c r="D839" s="2"/>
      <c r="E839" s="2"/>
      <c r="F839" s="2"/>
    </row>
    <row r="840" spans="1:6" ht="15.75" customHeight="1" x14ac:dyDescent="0.3">
      <c r="A840" s="2"/>
      <c r="B840" s="2"/>
      <c r="C840" s="2"/>
      <c r="D840" s="2"/>
      <c r="E840" s="2"/>
      <c r="F840" s="2"/>
    </row>
    <row r="841" spans="1:6" ht="15.75" customHeight="1" x14ac:dyDescent="0.3">
      <c r="A841" s="2"/>
      <c r="B841" s="2"/>
      <c r="C841" s="2"/>
      <c r="D841" s="2"/>
      <c r="E841" s="2"/>
      <c r="F841" s="2"/>
    </row>
    <row r="842" spans="1:6" ht="15.75" customHeight="1" x14ac:dyDescent="0.3">
      <c r="A842" s="2"/>
      <c r="B842" s="2"/>
      <c r="C842" s="2"/>
      <c r="D842" s="2"/>
      <c r="E842" s="2"/>
      <c r="F842" s="2"/>
    </row>
    <row r="843" spans="1:6" ht="15.75" customHeight="1" x14ac:dyDescent="0.3">
      <c r="A843" s="2"/>
      <c r="B843" s="2"/>
      <c r="C843" s="2"/>
      <c r="D843" s="2"/>
      <c r="E843" s="2"/>
      <c r="F843" s="2"/>
    </row>
    <row r="844" spans="1:6" ht="15.75" customHeight="1" x14ac:dyDescent="0.3">
      <c r="A844" s="2"/>
      <c r="B844" s="2"/>
      <c r="C844" s="2"/>
      <c r="D844" s="2"/>
      <c r="E844" s="2"/>
      <c r="F844" s="2"/>
    </row>
    <row r="845" spans="1:6" ht="15.75" customHeight="1" x14ac:dyDescent="0.3">
      <c r="A845" s="2"/>
      <c r="B845" s="2"/>
      <c r="C845" s="2"/>
      <c r="D845" s="2"/>
      <c r="E845" s="2"/>
      <c r="F845" s="2"/>
    </row>
    <row r="846" spans="1:6" ht="15.75" customHeight="1" x14ac:dyDescent="0.3">
      <c r="A846" s="2"/>
      <c r="B846" s="2"/>
      <c r="C846" s="2"/>
      <c r="D846" s="2"/>
      <c r="E846" s="2"/>
      <c r="F846" s="2"/>
    </row>
    <row r="847" spans="1:6" ht="15.75" customHeight="1" x14ac:dyDescent="0.3">
      <c r="A847" s="2"/>
      <c r="B847" s="2"/>
      <c r="C847" s="2"/>
      <c r="D847" s="2"/>
      <c r="E847" s="2"/>
      <c r="F847" s="2"/>
    </row>
    <row r="848" spans="1:6" ht="15.75" customHeight="1" x14ac:dyDescent="0.3">
      <c r="A848" s="2"/>
      <c r="B848" s="2"/>
      <c r="C848" s="2"/>
      <c r="D848" s="2"/>
      <c r="E848" s="2"/>
      <c r="F848" s="2"/>
    </row>
    <row r="849" spans="1:6" ht="15.75" customHeight="1" x14ac:dyDescent="0.3">
      <c r="A849" s="2"/>
      <c r="B849" s="2"/>
      <c r="C849" s="2"/>
      <c r="D849" s="2"/>
      <c r="E849" s="2"/>
      <c r="F849" s="2"/>
    </row>
    <row r="850" spans="1:6" ht="15.75" customHeight="1" x14ac:dyDescent="0.3">
      <c r="A850" s="2"/>
      <c r="B850" s="2"/>
      <c r="C850" s="2"/>
      <c r="D850" s="2"/>
      <c r="E850" s="2"/>
      <c r="F850" s="2"/>
    </row>
    <row r="851" spans="1:6" ht="15.75" customHeight="1" x14ac:dyDescent="0.3">
      <c r="A851" s="2"/>
      <c r="B851" s="2"/>
      <c r="C851" s="2"/>
      <c r="D851" s="2"/>
      <c r="E851" s="2"/>
      <c r="F851" s="2"/>
    </row>
    <row r="852" spans="1:6" ht="15.75" customHeight="1" x14ac:dyDescent="0.3">
      <c r="A852" s="2"/>
      <c r="B852" s="2"/>
      <c r="C852" s="2"/>
      <c r="D852" s="2"/>
      <c r="E852" s="2"/>
      <c r="F852" s="2"/>
    </row>
    <row r="853" spans="1:6" ht="15.75" customHeight="1" x14ac:dyDescent="0.3">
      <c r="A853" s="2"/>
      <c r="B853" s="2"/>
      <c r="C853" s="2"/>
      <c r="D853" s="2"/>
      <c r="E853" s="2"/>
      <c r="F853" s="2"/>
    </row>
    <row r="854" spans="1:6" ht="15.75" customHeight="1" x14ac:dyDescent="0.3">
      <c r="A854" s="2"/>
      <c r="B854" s="2"/>
      <c r="C854" s="2"/>
      <c r="D854" s="2"/>
      <c r="E854" s="2"/>
      <c r="F854" s="2"/>
    </row>
    <row r="855" spans="1:6" ht="15.75" customHeight="1" x14ac:dyDescent="0.3">
      <c r="A855" s="2"/>
      <c r="B855" s="2"/>
      <c r="C855" s="2"/>
      <c r="D855" s="2"/>
      <c r="E855" s="2"/>
      <c r="F855" s="2"/>
    </row>
    <row r="856" spans="1:6" ht="15.75" customHeight="1" x14ac:dyDescent="0.3">
      <c r="A856" s="2"/>
      <c r="B856" s="2"/>
      <c r="C856" s="2"/>
      <c r="D856" s="2"/>
      <c r="E856" s="2"/>
      <c r="F856" s="2"/>
    </row>
    <row r="857" spans="1:6" ht="15.75" customHeight="1" x14ac:dyDescent="0.3">
      <c r="A857" s="2"/>
      <c r="B857" s="2"/>
      <c r="C857" s="2"/>
      <c r="D857" s="2"/>
      <c r="E857" s="2"/>
      <c r="F857" s="2"/>
    </row>
    <row r="858" spans="1:6" ht="15.75" customHeight="1" x14ac:dyDescent="0.3">
      <c r="A858" s="2"/>
      <c r="B858" s="2"/>
      <c r="C858" s="2"/>
      <c r="D858" s="2"/>
      <c r="E858" s="2"/>
      <c r="F858" s="2"/>
    </row>
    <row r="859" spans="1:6" ht="15.75" customHeight="1" x14ac:dyDescent="0.3">
      <c r="A859" s="2"/>
      <c r="B859" s="2"/>
      <c r="C859" s="2"/>
      <c r="D859" s="2"/>
      <c r="E859" s="2"/>
      <c r="F859" s="2"/>
    </row>
    <row r="860" spans="1:6" ht="15.75" customHeight="1" x14ac:dyDescent="0.3">
      <c r="A860" s="2"/>
      <c r="B860" s="2"/>
      <c r="C860" s="2"/>
      <c r="D860" s="2"/>
      <c r="E860" s="2"/>
      <c r="F860" s="2"/>
    </row>
    <row r="861" spans="1:6" ht="15.75" customHeight="1" x14ac:dyDescent="0.3">
      <c r="A861" s="2"/>
      <c r="B861" s="2"/>
      <c r="C861" s="2"/>
      <c r="D861" s="2"/>
      <c r="E861" s="2"/>
      <c r="F861" s="2"/>
    </row>
    <row r="862" spans="1:6" ht="15.75" customHeight="1" x14ac:dyDescent="0.3">
      <c r="A862" s="2"/>
      <c r="B862" s="2"/>
      <c r="C862" s="2"/>
      <c r="D862" s="2"/>
      <c r="E862" s="2"/>
      <c r="F862" s="2"/>
    </row>
    <row r="863" spans="1:6" ht="15.75" customHeight="1" x14ac:dyDescent="0.3">
      <c r="A863" s="2"/>
      <c r="B863" s="2"/>
      <c r="C863" s="2"/>
      <c r="D863" s="2"/>
      <c r="E863" s="2"/>
      <c r="F863" s="2"/>
    </row>
    <row r="864" spans="1:6" ht="15.75" customHeight="1" x14ac:dyDescent="0.3">
      <c r="A864" s="2"/>
      <c r="B864" s="2"/>
      <c r="C864" s="2"/>
      <c r="D864" s="2"/>
      <c r="E864" s="2"/>
      <c r="F864" s="2"/>
    </row>
    <row r="865" spans="1:6" ht="15.75" customHeight="1" x14ac:dyDescent="0.3">
      <c r="A865" s="2"/>
      <c r="B865" s="2"/>
      <c r="C865" s="2"/>
      <c r="D865" s="2"/>
      <c r="E865" s="2"/>
      <c r="F865" s="2"/>
    </row>
    <row r="866" spans="1:6" ht="15.75" customHeight="1" x14ac:dyDescent="0.3">
      <c r="A866" s="2"/>
      <c r="B866" s="2"/>
      <c r="C866" s="2"/>
      <c r="D866" s="2"/>
      <c r="E866" s="2"/>
      <c r="F866" s="2"/>
    </row>
    <row r="867" spans="1:6" ht="15.75" customHeight="1" x14ac:dyDescent="0.3">
      <c r="A867" s="2"/>
      <c r="B867" s="2"/>
      <c r="C867" s="2"/>
      <c r="D867" s="2"/>
      <c r="E867" s="2"/>
      <c r="F867" s="2"/>
    </row>
    <row r="868" spans="1:6" ht="15.75" customHeight="1" x14ac:dyDescent="0.3">
      <c r="A868" s="2"/>
      <c r="B868" s="2"/>
      <c r="C868" s="2"/>
      <c r="D868" s="2"/>
      <c r="E868" s="2"/>
      <c r="F868" s="2"/>
    </row>
    <row r="869" spans="1:6" ht="15.75" customHeight="1" x14ac:dyDescent="0.3">
      <c r="A869" s="2"/>
      <c r="B869" s="2"/>
      <c r="C869" s="2"/>
      <c r="D869" s="2"/>
      <c r="E869" s="2"/>
      <c r="F869" s="2"/>
    </row>
    <row r="870" spans="1:6" ht="15.75" customHeight="1" x14ac:dyDescent="0.3">
      <c r="A870" s="2"/>
      <c r="B870" s="2"/>
      <c r="C870" s="2"/>
      <c r="D870" s="2"/>
      <c r="E870" s="2"/>
      <c r="F870" s="2"/>
    </row>
    <row r="871" spans="1:6" ht="15.75" customHeight="1" x14ac:dyDescent="0.3">
      <c r="A871" s="2"/>
      <c r="B871" s="2"/>
      <c r="C871" s="2"/>
      <c r="D871" s="2"/>
      <c r="E871" s="2"/>
      <c r="F871" s="2"/>
    </row>
    <row r="872" spans="1:6" ht="15.75" customHeight="1" x14ac:dyDescent="0.3">
      <c r="A872" s="2"/>
      <c r="B872" s="2"/>
      <c r="C872" s="2"/>
      <c r="D872" s="2"/>
      <c r="E872" s="2"/>
      <c r="F872" s="2"/>
    </row>
    <row r="873" spans="1:6" ht="15.75" customHeight="1" x14ac:dyDescent="0.3">
      <c r="A873" s="2"/>
      <c r="B873" s="2"/>
      <c r="C873" s="2"/>
      <c r="D873" s="2"/>
      <c r="E873" s="2"/>
      <c r="F873" s="2"/>
    </row>
    <row r="874" spans="1:6" ht="15.75" customHeight="1" x14ac:dyDescent="0.3">
      <c r="A874" s="2"/>
      <c r="B874" s="2"/>
      <c r="C874" s="2"/>
      <c r="D874" s="2"/>
      <c r="E874" s="2"/>
      <c r="F874" s="2"/>
    </row>
    <row r="875" spans="1:6" ht="15.75" customHeight="1" x14ac:dyDescent="0.3">
      <c r="A875" s="2"/>
      <c r="B875" s="2"/>
      <c r="C875" s="2"/>
      <c r="D875" s="2"/>
      <c r="E875" s="2"/>
      <c r="F875" s="2"/>
    </row>
    <row r="876" spans="1:6" ht="15.75" customHeight="1" x14ac:dyDescent="0.3">
      <c r="A876" s="2"/>
      <c r="B876" s="2"/>
      <c r="C876" s="2"/>
      <c r="D876" s="2"/>
      <c r="E876" s="2"/>
      <c r="F876" s="2"/>
    </row>
    <row r="877" spans="1:6" ht="15.75" customHeight="1" x14ac:dyDescent="0.3">
      <c r="A877" s="2"/>
      <c r="B877" s="2"/>
      <c r="C877" s="2"/>
      <c r="D877" s="2"/>
      <c r="E877" s="2"/>
      <c r="F877" s="2"/>
    </row>
    <row r="878" spans="1:6" ht="15.75" customHeight="1" x14ac:dyDescent="0.3">
      <c r="A878" s="2"/>
      <c r="B878" s="2"/>
      <c r="C878" s="2"/>
      <c r="D878" s="2"/>
      <c r="E878" s="2"/>
      <c r="F878" s="2"/>
    </row>
    <row r="879" spans="1:6" ht="15.75" customHeight="1" x14ac:dyDescent="0.3">
      <c r="A879" s="2"/>
      <c r="B879" s="2"/>
      <c r="C879" s="2"/>
      <c r="D879" s="2"/>
      <c r="E879" s="2"/>
      <c r="F879" s="2"/>
    </row>
    <row r="880" spans="1:6" ht="15.75" customHeight="1" x14ac:dyDescent="0.3">
      <c r="A880" s="2"/>
      <c r="B880" s="2"/>
      <c r="C880" s="2"/>
      <c r="D880" s="2"/>
      <c r="E880" s="2"/>
      <c r="F880" s="2"/>
    </row>
    <row r="881" spans="1:6" ht="15.75" customHeight="1" x14ac:dyDescent="0.3">
      <c r="A881" s="2"/>
      <c r="B881" s="2"/>
      <c r="C881" s="2"/>
      <c r="D881" s="2"/>
      <c r="E881" s="2"/>
      <c r="F881" s="2"/>
    </row>
    <row r="882" spans="1:6" ht="15.75" customHeight="1" x14ac:dyDescent="0.3">
      <c r="A882" s="2"/>
      <c r="B882" s="2"/>
      <c r="C882" s="2"/>
      <c r="D882" s="2"/>
      <c r="E882" s="2"/>
      <c r="F882" s="2"/>
    </row>
    <row r="883" spans="1:6" ht="15.75" customHeight="1" x14ac:dyDescent="0.3">
      <c r="A883" s="2"/>
      <c r="B883" s="2"/>
      <c r="C883" s="2"/>
      <c r="D883" s="2"/>
      <c r="E883" s="2"/>
      <c r="F883" s="2"/>
    </row>
    <row r="884" spans="1:6" ht="15.75" customHeight="1" x14ac:dyDescent="0.3">
      <c r="A884" s="2"/>
      <c r="B884" s="2"/>
      <c r="C884" s="2"/>
      <c r="D884" s="2"/>
      <c r="E884" s="2"/>
      <c r="F884" s="2"/>
    </row>
    <row r="885" spans="1:6" ht="15.75" customHeight="1" x14ac:dyDescent="0.3">
      <c r="A885" s="2"/>
      <c r="B885" s="2"/>
      <c r="C885" s="2"/>
      <c r="D885" s="2"/>
      <c r="E885" s="2"/>
      <c r="F885" s="2"/>
    </row>
    <row r="886" spans="1:6" ht="15.75" customHeight="1" x14ac:dyDescent="0.3">
      <c r="A886" s="2"/>
      <c r="B886" s="2"/>
      <c r="C886" s="2"/>
      <c r="D886" s="2"/>
      <c r="E886" s="2"/>
      <c r="F886" s="2"/>
    </row>
    <row r="887" spans="1:6" ht="15.75" customHeight="1" x14ac:dyDescent="0.3">
      <c r="A887" s="2"/>
      <c r="B887" s="2"/>
      <c r="C887" s="2"/>
      <c r="D887" s="2"/>
      <c r="E887" s="2"/>
      <c r="F887" s="2"/>
    </row>
    <row r="888" spans="1:6" ht="15.75" customHeight="1" x14ac:dyDescent="0.3">
      <c r="A888" s="2"/>
      <c r="B888" s="2"/>
      <c r="C888" s="2"/>
      <c r="D888" s="2"/>
      <c r="E888" s="2"/>
      <c r="F888" s="2"/>
    </row>
    <row r="889" spans="1:6" ht="15.75" customHeight="1" x14ac:dyDescent="0.3">
      <c r="A889" s="2"/>
      <c r="B889" s="2"/>
      <c r="C889" s="2"/>
      <c r="D889" s="2"/>
      <c r="E889" s="2"/>
      <c r="F889" s="2"/>
    </row>
    <row r="890" spans="1:6" ht="15.75" customHeight="1" x14ac:dyDescent="0.3">
      <c r="A890" s="2"/>
      <c r="B890" s="2"/>
      <c r="C890" s="2"/>
      <c r="D890" s="2"/>
      <c r="E890" s="2"/>
      <c r="F890" s="2"/>
    </row>
    <row r="891" spans="1:6" ht="15.75" customHeight="1" x14ac:dyDescent="0.3">
      <c r="A891" s="2"/>
      <c r="B891" s="2"/>
      <c r="C891" s="2"/>
      <c r="D891" s="2"/>
      <c r="E891" s="2"/>
      <c r="F891" s="2"/>
    </row>
    <row r="892" spans="1:6" ht="15.75" customHeight="1" x14ac:dyDescent="0.3">
      <c r="A892" s="2"/>
      <c r="B892" s="2"/>
      <c r="C892" s="2"/>
      <c r="D892" s="2"/>
      <c r="E892" s="2"/>
      <c r="F892" s="2"/>
    </row>
    <row r="893" spans="1:6" ht="15.75" customHeight="1" x14ac:dyDescent="0.3">
      <c r="A893" s="2"/>
      <c r="B893" s="2"/>
      <c r="C893" s="2"/>
      <c r="D893" s="2"/>
      <c r="E893" s="2"/>
      <c r="F893" s="2"/>
    </row>
    <row r="894" spans="1:6" ht="15.75" customHeight="1" x14ac:dyDescent="0.3">
      <c r="A894" s="2"/>
      <c r="B894" s="2"/>
      <c r="C894" s="2"/>
      <c r="D894" s="2"/>
      <c r="E894" s="2"/>
      <c r="F894" s="2"/>
    </row>
    <row r="895" spans="1:6" ht="15.75" customHeight="1" x14ac:dyDescent="0.3">
      <c r="A895" s="2"/>
      <c r="B895" s="2"/>
      <c r="C895" s="2"/>
      <c r="D895" s="2"/>
      <c r="E895" s="2"/>
      <c r="F895" s="2"/>
    </row>
    <row r="896" spans="1:6" ht="15.75" customHeight="1" x14ac:dyDescent="0.3">
      <c r="A896" s="2"/>
      <c r="B896" s="2"/>
      <c r="C896" s="2"/>
      <c r="D896" s="2"/>
      <c r="E896" s="2"/>
      <c r="F896" s="2"/>
    </row>
    <row r="897" spans="1:6" ht="15.75" customHeight="1" x14ac:dyDescent="0.3">
      <c r="A897" s="2"/>
      <c r="B897" s="2"/>
      <c r="C897" s="2"/>
      <c r="D897" s="2"/>
      <c r="E897" s="2"/>
      <c r="F897" s="2"/>
    </row>
    <row r="898" spans="1:6" ht="15.75" customHeight="1" x14ac:dyDescent="0.3">
      <c r="A898" s="2"/>
      <c r="B898" s="2"/>
      <c r="C898" s="2"/>
      <c r="D898" s="2"/>
      <c r="E898" s="2"/>
      <c r="F898" s="2"/>
    </row>
    <row r="899" spans="1:6" ht="15.75" customHeight="1" x14ac:dyDescent="0.3">
      <c r="A899" s="2"/>
      <c r="B899" s="2"/>
      <c r="C899" s="2"/>
      <c r="D899" s="2"/>
      <c r="E899" s="2"/>
      <c r="F899" s="2"/>
    </row>
    <row r="900" spans="1:6" ht="15.75" customHeight="1" x14ac:dyDescent="0.3">
      <c r="A900" s="2"/>
      <c r="B900" s="2"/>
      <c r="C900" s="2"/>
      <c r="D900" s="2"/>
      <c r="E900" s="2"/>
      <c r="F900" s="2"/>
    </row>
    <row r="901" spans="1:6" ht="15.75" customHeight="1" x14ac:dyDescent="0.3">
      <c r="A901" s="2"/>
      <c r="B901" s="2"/>
      <c r="C901" s="2"/>
      <c r="D901" s="2"/>
      <c r="E901" s="2"/>
      <c r="F901" s="2"/>
    </row>
    <row r="902" spans="1:6" ht="15.75" customHeight="1" x14ac:dyDescent="0.3">
      <c r="A902" s="2"/>
      <c r="B902" s="2"/>
      <c r="C902" s="2"/>
      <c r="D902" s="2"/>
      <c r="E902" s="2"/>
      <c r="F902" s="2"/>
    </row>
    <row r="903" spans="1:6" ht="15.75" customHeight="1" x14ac:dyDescent="0.3">
      <c r="A903" s="2"/>
      <c r="B903" s="2"/>
      <c r="C903" s="2"/>
      <c r="D903" s="2"/>
      <c r="E903" s="2"/>
      <c r="F903" s="2"/>
    </row>
    <row r="904" spans="1:6" ht="15.75" customHeight="1" x14ac:dyDescent="0.3">
      <c r="A904" s="2"/>
      <c r="B904" s="2"/>
      <c r="C904" s="2"/>
      <c r="D904" s="2"/>
      <c r="E904" s="2"/>
      <c r="F904" s="2"/>
    </row>
    <row r="905" spans="1:6" ht="15.75" customHeight="1" x14ac:dyDescent="0.3">
      <c r="A905" s="2"/>
      <c r="B905" s="2"/>
      <c r="C905" s="2"/>
      <c r="D905" s="2"/>
      <c r="E905" s="2"/>
      <c r="F905" s="2"/>
    </row>
    <row r="906" spans="1:6" ht="15.75" customHeight="1" x14ac:dyDescent="0.3">
      <c r="A906" s="2"/>
      <c r="B906" s="2"/>
      <c r="C906" s="2"/>
      <c r="D906" s="2"/>
      <c r="E906" s="2"/>
      <c r="F906" s="2"/>
    </row>
    <row r="907" spans="1:6" ht="15.75" customHeight="1" x14ac:dyDescent="0.3">
      <c r="A907" s="2"/>
      <c r="B907" s="2"/>
      <c r="C907" s="2"/>
      <c r="D907" s="2"/>
      <c r="E907" s="2"/>
      <c r="F907" s="2"/>
    </row>
    <row r="908" spans="1:6" ht="15.75" customHeight="1" x14ac:dyDescent="0.3">
      <c r="A908" s="2"/>
      <c r="B908" s="2"/>
      <c r="C908" s="2"/>
      <c r="D908" s="2"/>
      <c r="E908" s="2"/>
      <c r="F908" s="2"/>
    </row>
    <row r="909" spans="1:6" ht="15.75" customHeight="1" x14ac:dyDescent="0.3">
      <c r="A909" s="2"/>
      <c r="B909" s="2"/>
      <c r="C909" s="2"/>
      <c r="D909" s="2"/>
      <c r="E909" s="2"/>
      <c r="F909" s="2"/>
    </row>
    <row r="910" spans="1:6" ht="15.75" customHeight="1" x14ac:dyDescent="0.3">
      <c r="A910" s="2"/>
      <c r="B910" s="2"/>
      <c r="C910" s="2"/>
      <c r="D910" s="2"/>
      <c r="E910" s="2"/>
      <c r="F910" s="2"/>
    </row>
    <row r="911" spans="1:6" ht="15.75" customHeight="1" x14ac:dyDescent="0.3">
      <c r="A911" s="2"/>
      <c r="B911" s="2"/>
      <c r="C911" s="2"/>
      <c r="D911" s="2"/>
      <c r="E911" s="2"/>
      <c r="F911" s="2"/>
    </row>
    <row r="912" spans="1:6" ht="15.75" customHeight="1" x14ac:dyDescent="0.3">
      <c r="A912" s="2"/>
      <c r="B912" s="2"/>
      <c r="C912" s="2"/>
      <c r="D912" s="2"/>
      <c r="E912" s="2"/>
      <c r="F912" s="2"/>
    </row>
    <row r="913" spans="1:6" ht="15.75" customHeight="1" x14ac:dyDescent="0.3">
      <c r="A913" s="2"/>
      <c r="B913" s="2"/>
      <c r="C913" s="2"/>
      <c r="D913" s="2"/>
      <c r="E913" s="2"/>
      <c r="F913" s="2"/>
    </row>
    <row r="914" spans="1:6" ht="15.75" customHeight="1" x14ac:dyDescent="0.3">
      <c r="A914" s="2"/>
      <c r="B914" s="2"/>
      <c r="C914" s="2"/>
      <c r="D914" s="2"/>
      <c r="E914" s="2"/>
      <c r="F914" s="2"/>
    </row>
    <row r="915" spans="1:6" ht="15.75" customHeight="1" x14ac:dyDescent="0.3">
      <c r="A915" s="2"/>
      <c r="B915" s="2"/>
      <c r="C915" s="2"/>
      <c r="D915" s="2"/>
      <c r="E915" s="2"/>
      <c r="F915" s="2"/>
    </row>
    <row r="916" spans="1:6" ht="15.75" customHeight="1" x14ac:dyDescent="0.3">
      <c r="A916" s="2"/>
      <c r="B916" s="2"/>
      <c r="C916" s="2"/>
      <c r="D916" s="2"/>
      <c r="E916" s="2"/>
      <c r="F916" s="2"/>
    </row>
    <row r="917" spans="1:6" ht="15.75" customHeight="1" x14ac:dyDescent="0.3">
      <c r="A917" s="2"/>
      <c r="B917" s="2"/>
      <c r="C917" s="2"/>
      <c r="D917" s="2"/>
      <c r="E917" s="2"/>
      <c r="F917" s="2"/>
    </row>
    <row r="918" spans="1:6" ht="15.75" customHeight="1" x14ac:dyDescent="0.3">
      <c r="A918" s="2"/>
      <c r="B918" s="2"/>
      <c r="C918" s="2"/>
      <c r="D918" s="2"/>
      <c r="E918" s="2"/>
      <c r="F918" s="2"/>
    </row>
    <row r="919" spans="1:6" ht="15.75" customHeight="1" x14ac:dyDescent="0.3">
      <c r="A919" s="2"/>
      <c r="B919" s="2"/>
      <c r="C919" s="2"/>
      <c r="D919" s="2"/>
      <c r="E919" s="2"/>
      <c r="F919" s="2"/>
    </row>
    <row r="920" spans="1:6" ht="15.75" customHeight="1" x14ac:dyDescent="0.3">
      <c r="A920" s="2"/>
      <c r="B920" s="2"/>
      <c r="C920" s="2"/>
      <c r="D920" s="2"/>
      <c r="E920" s="2"/>
      <c r="F920" s="2"/>
    </row>
    <row r="921" spans="1:6" ht="15.75" customHeight="1" x14ac:dyDescent="0.3">
      <c r="A921" s="2"/>
      <c r="B921" s="2"/>
      <c r="C921" s="2"/>
      <c r="D921" s="2"/>
      <c r="E921" s="2"/>
      <c r="F921" s="2"/>
    </row>
    <row r="922" spans="1:6" ht="15.75" customHeight="1" x14ac:dyDescent="0.3">
      <c r="A922" s="2"/>
      <c r="B922" s="2"/>
      <c r="C922" s="2"/>
      <c r="D922" s="2"/>
      <c r="E922" s="2"/>
      <c r="F922" s="2"/>
    </row>
    <row r="923" spans="1:6" ht="15.75" customHeight="1" x14ac:dyDescent="0.3">
      <c r="A923" s="2"/>
      <c r="B923" s="2"/>
      <c r="C923" s="2"/>
      <c r="D923" s="2"/>
      <c r="E923" s="2"/>
      <c r="F923" s="2"/>
    </row>
    <row r="924" spans="1:6" ht="15.75" customHeight="1" x14ac:dyDescent="0.3">
      <c r="A924" s="2"/>
      <c r="B924" s="2"/>
      <c r="C924" s="2"/>
      <c r="D924" s="2"/>
      <c r="E924" s="2"/>
      <c r="F924" s="2"/>
    </row>
    <row r="925" spans="1:6" ht="15.75" customHeight="1" x14ac:dyDescent="0.3">
      <c r="A925" s="2"/>
      <c r="B925" s="2"/>
      <c r="C925" s="2"/>
      <c r="D925" s="2"/>
      <c r="E925" s="2"/>
      <c r="F925" s="2"/>
    </row>
    <row r="926" spans="1:6" ht="15.75" customHeight="1" x14ac:dyDescent="0.3">
      <c r="A926" s="2"/>
      <c r="B926" s="2"/>
      <c r="C926" s="2"/>
      <c r="D926" s="2"/>
      <c r="E926" s="2"/>
      <c r="F926" s="2"/>
    </row>
    <row r="927" spans="1:6" ht="15.75" customHeight="1" x14ac:dyDescent="0.3">
      <c r="A927" s="2"/>
      <c r="B927" s="2"/>
      <c r="C927" s="2"/>
      <c r="D927" s="2"/>
      <c r="E927" s="2"/>
      <c r="F927" s="2"/>
    </row>
    <row r="928" spans="1:6" ht="15.75" customHeight="1" x14ac:dyDescent="0.3">
      <c r="A928" s="2"/>
      <c r="B928" s="2"/>
      <c r="C928" s="2"/>
      <c r="D928" s="2"/>
      <c r="E928" s="2"/>
      <c r="F928" s="2"/>
    </row>
    <row r="929" spans="1:6" ht="15.75" customHeight="1" x14ac:dyDescent="0.3">
      <c r="A929" s="2"/>
      <c r="B929" s="2"/>
      <c r="C929" s="2"/>
      <c r="D929" s="2"/>
      <c r="E929" s="2"/>
      <c r="F929" s="2"/>
    </row>
    <row r="930" spans="1:6" ht="15.75" customHeight="1" x14ac:dyDescent="0.3">
      <c r="A930" s="2"/>
      <c r="B930" s="2"/>
      <c r="C930" s="2"/>
      <c r="D930" s="2"/>
      <c r="E930" s="2"/>
      <c r="F930" s="2"/>
    </row>
    <row r="931" spans="1:6" ht="15.75" customHeight="1" x14ac:dyDescent="0.3">
      <c r="A931" s="2"/>
      <c r="B931" s="2"/>
      <c r="C931" s="2"/>
      <c r="D931" s="2"/>
      <c r="E931" s="2"/>
      <c r="F931" s="2"/>
    </row>
    <row r="932" spans="1:6" ht="15.75" customHeight="1" x14ac:dyDescent="0.3">
      <c r="A932" s="2"/>
      <c r="B932" s="2"/>
      <c r="C932" s="2"/>
      <c r="D932" s="2"/>
      <c r="E932" s="2"/>
      <c r="F932" s="2"/>
    </row>
    <row r="933" spans="1:6" ht="15.75" customHeight="1" x14ac:dyDescent="0.3">
      <c r="A933" s="2"/>
      <c r="B933" s="2"/>
      <c r="C933" s="2"/>
      <c r="D933" s="2"/>
      <c r="E933" s="2"/>
      <c r="F933" s="2"/>
    </row>
    <row r="934" spans="1:6" ht="15.75" customHeight="1" x14ac:dyDescent="0.3">
      <c r="A934" s="2"/>
      <c r="B934" s="2"/>
      <c r="C934" s="2"/>
      <c r="D934" s="2"/>
      <c r="E934" s="2"/>
      <c r="F934" s="2"/>
    </row>
    <row r="935" spans="1:6" ht="15.75" customHeight="1" x14ac:dyDescent="0.3">
      <c r="A935" s="2"/>
      <c r="B935" s="2"/>
      <c r="C935" s="2"/>
      <c r="D935" s="2"/>
      <c r="E935" s="2"/>
      <c r="F935" s="2"/>
    </row>
    <row r="936" spans="1:6" ht="15.75" customHeight="1" x14ac:dyDescent="0.3">
      <c r="A936" s="2"/>
      <c r="B936" s="2"/>
      <c r="C936" s="2"/>
      <c r="D936" s="2"/>
      <c r="E936" s="2"/>
      <c r="F936" s="2"/>
    </row>
    <row r="937" spans="1:6" ht="15.75" customHeight="1" x14ac:dyDescent="0.3">
      <c r="A937" s="2"/>
      <c r="B937" s="2"/>
      <c r="C937" s="2"/>
      <c r="D937" s="2"/>
      <c r="E937" s="2"/>
      <c r="F937" s="2"/>
    </row>
    <row r="938" spans="1:6" ht="15.75" customHeight="1" x14ac:dyDescent="0.3">
      <c r="A938" s="2"/>
      <c r="B938" s="2"/>
      <c r="C938" s="2"/>
      <c r="D938" s="2"/>
      <c r="E938" s="2"/>
      <c r="F938" s="2"/>
    </row>
    <row r="939" spans="1:6" ht="15.75" customHeight="1" x14ac:dyDescent="0.3">
      <c r="A939" s="2"/>
      <c r="B939" s="2"/>
      <c r="C939" s="2"/>
      <c r="D939" s="2"/>
      <c r="E939" s="2"/>
      <c r="F939" s="2"/>
    </row>
    <row r="940" spans="1:6" ht="15.75" customHeight="1" x14ac:dyDescent="0.3">
      <c r="A940" s="2"/>
      <c r="B940" s="2"/>
      <c r="C940" s="2"/>
      <c r="D940" s="2"/>
      <c r="E940" s="2"/>
      <c r="F940" s="2"/>
    </row>
    <row r="941" spans="1:6" ht="15.75" customHeight="1" x14ac:dyDescent="0.3">
      <c r="A941" s="2"/>
      <c r="B941" s="2"/>
      <c r="C941" s="2"/>
      <c r="D941" s="2"/>
      <c r="E941" s="2"/>
      <c r="F941" s="2"/>
    </row>
    <row r="942" spans="1:6" ht="15.75" customHeight="1" x14ac:dyDescent="0.3">
      <c r="A942" s="2"/>
      <c r="B942" s="2"/>
      <c r="C942" s="2"/>
      <c r="D942" s="2"/>
      <c r="E942" s="2"/>
      <c r="F942" s="2"/>
    </row>
    <row r="943" spans="1:6" ht="15.75" customHeight="1" x14ac:dyDescent="0.3">
      <c r="A943" s="2"/>
      <c r="B943" s="2"/>
      <c r="C943" s="2"/>
      <c r="D943" s="2"/>
      <c r="E943" s="2"/>
      <c r="F943" s="2"/>
    </row>
    <row r="944" spans="1:6" ht="15.75" customHeight="1" x14ac:dyDescent="0.3">
      <c r="A944" s="2"/>
      <c r="B944" s="2"/>
      <c r="C944" s="2"/>
      <c r="D944" s="2"/>
      <c r="E944" s="2"/>
      <c r="F944" s="2"/>
    </row>
    <row r="945" spans="1:6" ht="15.75" customHeight="1" x14ac:dyDescent="0.3">
      <c r="A945" s="2"/>
      <c r="B945" s="2"/>
      <c r="C945" s="2"/>
      <c r="D945" s="2"/>
      <c r="E945" s="2"/>
      <c r="F945" s="2"/>
    </row>
    <row r="946" spans="1:6" ht="15.75" customHeight="1" x14ac:dyDescent="0.3">
      <c r="A946" s="2"/>
      <c r="B946" s="2"/>
      <c r="C946" s="2"/>
      <c r="D946" s="2"/>
      <c r="E946" s="2"/>
      <c r="F946" s="2"/>
    </row>
    <row r="947" spans="1:6" ht="15.75" customHeight="1" x14ac:dyDescent="0.3">
      <c r="A947" s="2"/>
      <c r="B947" s="2"/>
      <c r="C947" s="2"/>
      <c r="D947" s="2"/>
      <c r="E947" s="2"/>
      <c r="F947" s="2"/>
    </row>
    <row r="948" spans="1:6" ht="15.75" customHeight="1" x14ac:dyDescent="0.3">
      <c r="A948" s="2"/>
      <c r="B948" s="2"/>
      <c r="C948" s="2"/>
      <c r="D948" s="2"/>
      <c r="E948" s="2"/>
      <c r="F948" s="2"/>
    </row>
    <row r="949" spans="1:6" ht="15.75" customHeight="1" x14ac:dyDescent="0.3">
      <c r="A949" s="2"/>
      <c r="B949" s="2"/>
      <c r="C949" s="2"/>
      <c r="D949" s="2"/>
      <c r="E949" s="2"/>
      <c r="F949" s="2"/>
    </row>
    <row r="950" spans="1:6" ht="15.75" customHeight="1" x14ac:dyDescent="0.3">
      <c r="A950" s="2"/>
      <c r="B950" s="2"/>
      <c r="C950" s="2"/>
      <c r="D950" s="2"/>
      <c r="E950" s="2"/>
      <c r="F950" s="2"/>
    </row>
    <row r="951" spans="1:6" ht="15.75" customHeight="1" x14ac:dyDescent="0.3">
      <c r="A951" s="2"/>
      <c r="B951" s="2"/>
      <c r="C951" s="2"/>
      <c r="D951" s="2"/>
      <c r="E951" s="2"/>
      <c r="F951" s="2"/>
    </row>
    <row r="952" spans="1:6" ht="15.75" customHeight="1" x14ac:dyDescent="0.3">
      <c r="A952" s="2"/>
      <c r="B952" s="2"/>
      <c r="C952" s="2"/>
      <c r="D952" s="2"/>
      <c r="E952" s="2"/>
      <c r="F952" s="2"/>
    </row>
    <row r="953" spans="1:6" ht="15.75" customHeight="1" x14ac:dyDescent="0.3">
      <c r="A953" s="2"/>
      <c r="B953" s="2"/>
      <c r="C953" s="2"/>
      <c r="D953" s="2"/>
      <c r="E953" s="2"/>
      <c r="F953" s="2"/>
    </row>
    <row r="954" spans="1:6" ht="15.75" customHeight="1" x14ac:dyDescent="0.3">
      <c r="A954" s="2"/>
      <c r="B954" s="2"/>
      <c r="C954" s="2"/>
      <c r="D954" s="2"/>
      <c r="E954" s="2"/>
      <c r="F954" s="2"/>
    </row>
    <row r="955" spans="1:6" ht="15.75" customHeight="1" x14ac:dyDescent="0.3">
      <c r="A955" s="2"/>
      <c r="B955" s="2"/>
      <c r="C955" s="2"/>
      <c r="D955" s="2"/>
      <c r="E955" s="2"/>
      <c r="F955" s="2"/>
    </row>
    <row r="956" spans="1:6" ht="15.75" customHeight="1" x14ac:dyDescent="0.3">
      <c r="A956" s="2"/>
      <c r="B956" s="2"/>
      <c r="C956" s="2"/>
      <c r="D956" s="2"/>
      <c r="E956" s="2"/>
      <c r="F956" s="2"/>
    </row>
    <row r="957" spans="1:6" ht="15.75" customHeight="1" x14ac:dyDescent="0.3">
      <c r="A957" s="2"/>
      <c r="B957" s="2"/>
      <c r="C957" s="2"/>
      <c r="D957" s="2"/>
      <c r="E957" s="2"/>
      <c r="F957" s="2"/>
    </row>
    <row r="958" spans="1:6" ht="15.75" customHeight="1" x14ac:dyDescent="0.3">
      <c r="A958" s="2"/>
      <c r="B958" s="2"/>
      <c r="C958" s="2"/>
      <c r="D958" s="2"/>
      <c r="E958" s="2"/>
      <c r="F958" s="2"/>
    </row>
    <row r="959" spans="1:6" ht="15.75" customHeight="1" x14ac:dyDescent="0.3">
      <c r="A959" s="2"/>
      <c r="B959" s="2"/>
      <c r="C959" s="2"/>
      <c r="D959" s="2"/>
      <c r="E959" s="2"/>
      <c r="F959" s="2"/>
    </row>
    <row r="960" spans="1:6" ht="15.75" customHeight="1" x14ac:dyDescent="0.3">
      <c r="A960" s="2"/>
      <c r="B960" s="2"/>
      <c r="C960" s="2"/>
      <c r="D960" s="2"/>
      <c r="E960" s="2"/>
      <c r="F960" s="2"/>
    </row>
    <row r="961" spans="1:6" ht="15.75" customHeight="1" x14ac:dyDescent="0.3">
      <c r="A961" s="2"/>
      <c r="B961" s="2"/>
      <c r="C961" s="2"/>
      <c r="D961" s="2"/>
      <c r="E961" s="2"/>
      <c r="F961" s="2"/>
    </row>
    <row r="962" spans="1:6" ht="15.75" customHeight="1" x14ac:dyDescent="0.3">
      <c r="A962" s="2"/>
      <c r="B962" s="2"/>
      <c r="C962" s="2"/>
      <c r="D962" s="2"/>
      <c r="E962" s="2"/>
      <c r="F962" s="2"/>
    </row>
    <row r="963" spans="1:6" ht="15.75" customHeight="1" x14ac:dyDescent="0.3">
      <c r="A963" s="2"/>
      <c r="B963" s="2"/>
      <c r="C963" s="2"/>
      <c r="D963" s="2"/>
      <c r="E963" s="2"/>
      <c r="F963" s="2"/>
    </row>
    <row r="964" spans="1:6" ht="15.75" customHeight="1" x14ac:dyDescent="0.3">
      <c r="A964" s="2"/>
      <c r="B964" s="2"/>
      <c r="C964" s="2"/>
      <c r="D964" s="2"/>
      <c r="E964" s="2"/>
      <c r="F964" s="2"/>
    </row>
    <row r="965" spans="1:6" ht="15.75" customHeight="1" x14ac:dyDescent="0.3">
      <c r="A965" s="2"/>
      <c r="B965" s="2"/>
      <c r="C965" s="2"/>
      <c r="D965" s="2"/>
      <c r="E965" s="2"/>
      <c r="F965" s="2"/>
    </row>
    <row r="966" spans="1:6" ht="15.75" customHeight="1" x14ac:dyDescent="0.3">
      <c r="A966" s="2"/>
      <c r="B966" s="2"/>
      <c r="C966" s="2"/>
      <c r="D966" s="2"/>
      <c r="E966" s="2"/>
      <c r="F966" s="2"/>
    </row>
    <row r="967" spans="1:6" ht="15.75" customHeight="1" x14ac:dyDescent="0.3">
      <c r="A967" s="2"/>
      <c r="B967" s="2"/>
      <c r="C967" s="2"/>
      <c r="D967" s="2"/>
      <c r="E967" s="2"/>
      <c r="F967" s="2"/>
    </row>
    <row r="968" spans="1:6" ht="15.75" customHeight="1" x14ac:dyDescent="0.3">
      <c r="A968" s="2"/>
      <c r="B968" s="2"/>
      <c r="C968" s="2"/>
      <c r="D968" s="2"/>
      <c r="E968" s="2"/>
      <c r="F968" s="2"/>
    </row>
    <row r="969" spans="1:6" ht="15.75" customHeight="1" x14ac:dyDescent="0.3">
      <c r="A969" s="2"/>
      <c r="B969" s="2"/>
      <c r="C969" s="2"/>
      <c r="D969" s="2"/>
      <c r="E969" s="2"/>
      <c r="F969" s="2"/>
    </row>
    <row r="970" spans="1:6" ht="15.75" customHeight="1" x14ac:dyDescent="0.3">
      <c r="A970" s="2"/>
      <c r="B970" s="2"/>
      <c r="C970" s="2"/>
      <c r="D970" s="2"/>
      <c r="E970" s="2"/>
      <c r="F970" s="2"/>
    </row>
    <row r="971" spans="1:6" ht="15.75" customHeight="1" x14ac:dyDescent="0.3">
      <c r="A971" s="2"/>
      <c r="B971" s="2"/>
      <c r="C971" s="2"/>
      <c r="D971" s="2"/>
      <c r="E971" s="2"/>
      <c r="F971" s="2"/>
    </row>
    <row r="972" spans="1:6" ht="15.75" customHeight="1" x14ac:dyDescent="0.3">
      <c r="A972" s="2"/>
      <c r="B972" s="2"/>
      <c r="C972" s="2"/>
      <c r="D972" s="2"/>
      <c r="E972" s="2"/>
      <c r="F972" s="2"/>
    </row>
    <row r="973" spans="1:6" ht="15.75" customHeight="1" x14ac:dyDescent="0.3">
      <c r="A973" s="2"/>
      <c r="B973" s="2"/>
      <c r="C973" s="2"/>
      <c r="D973" s="2"/>
      <c r="E973" s="2"/>
      <c r="F973" s="2"/>
    </row>
    <row r="974" spans="1:6" ht="15.75" customHeight="1" x14ac:dyDescent="0.3">
      <c r="A974" s="2"/>
      <c r="B974" s="2"/>
      <c r="C974" s="2"/>
      <c r="D974" s="2"/>
      <c r="E974" s="2"/>
      <c r="F974" s="2"/>
    </row>
    <row r="975" spans="1:6" ht="15.75" customHeight="1" x14ac:dyDescent="0.3">
      <c r="A975" s="2"/>
      <c r="B975" s="2"/>
      <c r="C975" s="2"/>
      <c r="D975" s="2"/>
      <c r="E975" s="2"/>
      <c r="F975" s="2"/>
    </row>
    <row r="976" spans="1:6" ht="15.75" customHeight="1" x14ac:dyDescent="0.3">
      <c r="A976" s="2"/>
      <c r="B976" s="2"/>
      <c r="C976" s="2"/>
      <c r="D976" s="2"/>
      <c r="E976" s="2"/>
      <c r="F976" s="2"/>
    </row>
    <row r="977" spans="1:6" ht="15.75" customHeight="1" x14ac:dyDescent="0.3">
      <c r="A977" s="2"/>
      <c r="B977" s="2"/>
      <c r="C977" s="2"/>
      <c r="D977" s="2"/>
      <c r="E977" s="2"/>
      <c r="F977" s="2"/>
    </row>
    <row r="978" spans="1:6" ht="15.75" customHeight="1" x14ac:dyDescent="0.3">
      <c r="A978" s="2"/>
      <c r="B978" s="2"/>
      <c r="C978" s="2"/>
      <c r="D978" s="2"/>
      <c r="E978" s="2"/>
      <c r="F978" s="2"/>
    </row>
    <row r="979" spans="1:6" ht="15.75" customHeight="1" x14ac:dyDescent="0.3">
      <c r="A979" s="2"/>
      <c r="B979" s="2"/>
      <c r="C979" s="2"/>
      <c r="D979" s="2"/>
      <c r="E979" s="2"/>
      <c r="F979" s="2"/>
    </row>
    <row r="980" spans="1:6" ht="15.75" customHeight="1" x14ac:dyDescent="0.3">
      <c r="A980" s="2"/>
      <c r="B980" s="2"/>
      <c r="C980" s="2"/>
      <c r="D980" s="2"/>
      <c r="E980" s="2"/>
      <c r="F980" s="2"/>
    </row>
    <row r="981" spans="1:6" ht="15.75" customHeight="1" x14ac:dyDescent="0.3">
      <c r="A981" s="2"/>
      <c r="B981" s="2"/>
      <c r="C981" s="2"/>
      <c r="D981" s="2"/>
      <c r="E981" s="2"/>
      <c r="F981" s="2"/>
    </row>
    <row r="982" spans="1:6" ht="15.75" customHeight="1" x14ac:dyDescent="0.3">
      <c r="A982" s="2"/>
      <c r="B982" s="2"/>
      <c r="C982" s="2"/>
      <c r="D982" s="2"/>
      <c r="E982" s="2"/>
      <c r="F982" s="2"/>
    </row>
    <row r="983" spans="1:6" ht="15.75" customHeight="1" x14ac:dyDescent="0.3">
      <c r="A983" s="2"/>
      <c r="B983" s="2"/>
      <c r="C983" s="2"/>
      <c r="D983" s="2"/>
      <c r="E983" s="2"/>
      <c r="F983" s="2"/>
    </row>
    <row r="984" spans="1:6" ht="15.75" customHeight="1" x14ac:dyDescent="0.3">
      <c r="A984" s="2"/>
      <c r="B984" s="2"/>
      <c r="C984" s="2"/>
      <c r="D984" s="2"/>
      <c r="E984" s="2"/>
      <c r="F984" s="2"/>
    </row>
    <row r="985" spans="1:6" ht="15.75" customHeight="1" x14ac:dyDescent="0.3">
      <c r="A985" s="2"/>
      <c r="B985" s="2"/>
      <c r="C985" s="2"/>
      <c r="D985" s="2"/>
      <c r="E985" s="2"/>
      <c r="F985" s="2"/>
    </row>
    <row r="986" spans="1:6" ht="15.75" customHeight="1" x14ac:dyDescent="0.3">
      <c r="A986" s="2"/>
      <c r="B986" s="2"/>
      <c r="C986" s="2"/>
      <c r="D986" s="2"/>
      <c r="E986" s="2"/>
      <c r="F986" s="2"/>
    </row>
    <row r="987" spans="1:6" ht="15.75" customHeight="1" x14ac:dyDescent="0.3">
      <c r="A987" s="2"/>
      <c r="B987" s="2"/>
      <c r="C987" s="2"/>
      <c r="D987" s="2"/>
      <c r="E987" s="2"/>
      <c r="F987" s="2"/>
    </row>
    <row r="988" spans="1:6" ht="15.75" customHeight="1" x14ac:dyDescent="0.3">
      <c r="A988" s="2"/>
      <c r="B988" s="2"/>
      <c r="C988" s="2"/>
      <c r="D988" s="2"/>
      <c r="E988" s="2"/>
      <c r="F988" s="2"/>
    </row>
    <row r="989" spans="1:6" ht="15.75" customHeight="1" x14ac:dyDescent="0.3">
      <c r="A989" s="2"/>
      <c r="B989" s="2"/>
      <c r="C989" s="2"/>
      <c r="D989" s="2"/>
      <c r="E989" s="2"/>
      <c r="F989" s="2"/>
    </row>
    <row r="990" spans="1:6" ht="15.75" customHeight="1" x14ac:dyDescent="0.3">
      <c r="A990" s="2"/>
      <c r="B990" s="2"/>
      <c r="C990" s="2"/>
      <c r="D990" s="2"/>
      <c r="E990" s="2"/>
      <c r="F990" s="2"/>
    </row>
    <row r="991" spans="1:6" ht="15.75" customHeight="1" x14ac:dyDescent="0.3">
      <c r="A991" s="2"/>
      <c r="B991" s="2"/>
      <c r="C991" s="2"/>
      <c r="D991" s="2"/>
      <c r="E991" s="2"/>
      <c r="F991" s="2"/>
    </row>
    <row r="992" spans="1:6" ht="15.75" customHeight="1" x14ac:dyDescent="0.3">
      <c r="A992" s="2"/>
      <c r="B992" s="2"/>
      <c r="C992" s="2"/>
      <c r="D992" s="2"/>
      <c r="E992" s="2"/>
      <c r="F992" s="2"/>
    </row>
    <row r="993" spans="1:6" ht="15.75" customHeight="1" x14ac:dyDescent="0.3">
      <c r="A993" s="2"/>
      <c r="B993" s="2"/>
      <c r="C993" s="2"/>
      <c r="D993" s="2"/>
      <c r="E993" s="2"/>
      <c r="F993" s="2"/>
    </row>
    <row r="994" spans="1:6" ht="15.75" customHeight="1" x14ac:dyDescent="0.3">
      <c r="A994" s="2"/>
      <c r="B994" s="2"/>
      <c r="C994" s="2"/>
      <c r="D994" s="2"/>
      <c r="E994" s="2"/>
      <c r="F994" s="2"/>
    </row>
    <row r="995" spans="1:6" ht="15.75" customHeight="1" x14ac:dyDescent="0.3">
      <c r="A995" s="2"/>
      <c r="B995" s="2"/>
      <c r="C995" s="2"/>
      <c r="D995" s="2"/>
      <c r="E995" s="2"/>
      <c r="F995" s="2"/>
    </row>
    <row r="996" spans="1:6" ht="15.75" customHeight="1" x14ac:dyDescent="0.3">
      <c r="A996" s="2"/>
      <c r="B996" s="2"/>
      <c r="C996" s="2"/>
      <c r="D996" s="2"/>
      <c r="E996" s="2"/>
      <c r="F996" s="2"/>
    </row>
    <row r="997" spans="1:6" ht="15.75" customHeight="1" x14ac:dyDescent="0.3">
      <c r="A997" s="2"/>
      <c r="B997" s="2"/>
      <c r="C997" s="2"/>
      <c r="D997" s="2"/>
      <c r="E997" s="2"/>
      <c r="F997" s="2"/>
    </row>
    <row r="998" spans="1:6" ht="15.75" customHeight="1" x14ac:dyDescent="0.3">
      <c r="A998" s="2"/>
      <c r="B998" s="2"/>
      <c r="C998" s="2"/>
      <c r="D998" s="2"/>
      <c r="E998" s="2"/>
      <c r="F998" s="2"/>
    </row>
    <row r="999" spans="1:6" ht="15.75" customHeight="1" x14ac:dyDescent="0.3">
      <c r="A999" s="2"/>
      <c r="B999" s="2"/>
      <c r="C999" s="2"/>
      <c r="D999" s="2"/>
      <c r="E999" s="2"/>
      <c r="F999" s="2"/>
    </row>
    <row r="1000" spans="1:6" ht="15.75" customHeight="1" x14ac:dyDescent="0.3">
      <c r="A1000" s="2"/>
      <c r="B1000" s="2"/>
      <c r="C1000" s="2"/>
      <c r="D1000" s="2"/>
      <c r="E1000" s="2"/>
      <c r="F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4.44140625" defaultRowHeight="15" customHeight="1" x14ac:dyDescent="0.3"/>
  <sheetData>
    <row r="1" spans="1:2" x14ac:dyDescent="0.3">
      <c r="A1" s="6" t="s">
        <v>8</v>
      </c>
      <c r="B1" s="6" t="s">
        <v>9</v>
      </c>
    </row>
    <row r="2" spans="1:2" x14ac:dyDescent="0.3">
      <c r="A2" s="6" t="s">
        <v>10</v>
      </c>
      <c r="B2" s="6" t="s">
        <v>9</v>
      </c>
    </row>
    <row r="3" spans="1:2" x14ac:dyDescent="0.3">
      <c r="A3" s="6" t="s">
        <v>11</v>
      </c>
      <c r="B3" s="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28" customWidth="1"/>
    <col min="2" max="2" width="14" customWidth="1"/>
    <col min="3" max="3" width="18" customWidth="1"/>
    <col min="4" max="4" width="3" customWidth="1"/>
    <col min="5" max="5" width="24" customWidth="1"/>
    <col min="6" max="6" width="14" customWidth="1"/>
  </cols>
  <sheetData>
    <row r="1" spans="1:26" ht="21" x14ac:dyDescent="0.4">
      <c r="A1" s="7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8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9" t="s">
        <v>14</v>
      </c>
      <c r="B4" s="10">
        <v>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9" t="s">
        <v>15</v>
      </c>
      <c r="B5" s="10">
        <v>60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8" t="s">
        <v>16</v>
      </c>
      <c r="B7" s="2"/>
      <c r="C7" s="2"/>
      <c r="D7" s="2"/>
      <c r="E7" s="8" t="s">
        <v>17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9" t="s">
        <v>18</v>
      </c>
      <c r="B8" s="10">
        <v>3</v>
      </c>
      <c r="C8" s="11">
        <v>2</v>
      </c>
      <c r="D8" s="2"/>
      <c r="E8" s="9" t="s">
        <v>19</v>
      </c>
      <c r="F8" s="11">
        <v>0.5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9" t="s">
        <v>18</v>
      </c>
      <c r="B9" s="10">
        <v>7</v>
      </c>
      <c r="C9" s="11">
        <v>1.5</v>
      </c>
      <c r="D9" s="2"/>
      <c r="E9" s="9" t="s">
        <v>20</v>
      </c>
      <c r="F9" s="11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9" t="s">
        <v>18</v>
      </c>
      <c r="B10" s="10">
        <v>14</v>
      </c>
      <c r="C10" s="11">
        <v>1.25</v>
      </c>
      <c r="D10" s="2"/>
      <c r="E10" s="9" t="s">
        <v>21</v>
      </c>
      <c r="F10" s="11">
        <v>1.5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9" t="s">
        <v>18</v>
      </c>
      <c r="B11" s="10">
        <v>30</v>
      </c>
      <c r="C11" s="11">
        <v>0.7</v>
      </c>
      <c r="D11" s="2"/>
      <c r="E11" s="9" t="s">
        <v>22</v>
      </c>
      <c r="F11" s="11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23</v>
      </c>
      <c r="B12" s="2"/>
      <c r="C12" s="11">
        <v>0.6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8" t="s">
        <v>24</v>
      </c>
      <c r="B14" s="10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8" t="s">
        <v>25</v>
      </c>
      <c r="B16" s="11">
        <v>1</v>
      </c>
      <c r="C16" s="2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8" t="s">
        <v>27</v>
      </c>
      <c r="B18" s="12">
        <v>0.05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</row>
    <row r="222" spans="1:26" ht="15.75" customHeight="1" x14ac:dyDescent="0.3">
      <c r="A222" s="2"/>
      <c r="B222" s="2"/>
      <c r="C222" s="2"/>
      <c r="D222" s="2"/>
      <c r="E222" s="2"/>
      <c r="F222" s="2"/>
    </row>
    <row r="223" spans="1:26" ht="15.75" customHeight="1" x14ac:dyDescent="0.3">
      <c r="A223" s="2"/>
      <c r="B223" s="2"/>
      <c r="C223" s="2"/>
      <c r="D223" s="2"/>
      <c r="E223" s="2"/>
      <c r="F223" s="2"/>
    </row>
    <row r="224" spans="1:26" ht="15.75" customHeight="1" x14ac:dyDescent="0.3">
      <c r="A224" s="2"/>
      <c r="B224" s="2"/>
      <c r="C224" s="2"/>
      <c r="D224" s="2"/>
      <c r="E224" s="2"/>
      <c r="F224" s="2"/>
    </row>
    <row r="225" spans="1:6" ht="15.75" customHeight="1" x14ac:dyDescent="0.3">
      <c r="A225" s="2"/>
      <c r="B225" s="2"/>
      <c r="C225" s="2"/>
      <c r="D225" s="2"/>
      <c r="E225" s="2"/>
      <c r="F225" s="2"/>
    </row>
    <row r="226" spans="1:6" ht="15.75" customHeight="1" x14ac:dyDescent="0.3">
      <c r="A226" s="2"/>
      <c r="B226" s="2"/>
      <c r="C226" s="2"/>
      <c r="D226" s="2"/>
      <c r="E226" s="2"/>
      <c r="F226" s="2"/>
    </row>
    <row r="227" spans="1:6" ht="15.75" customHeight="1" x14ac:dyDescent="0.3">
      <c r="A227" s="2"/>
      <c r="B227" s="2"/>
      <c r="C227" s="2"/>
      <c r="D227" s="2"/>
      <c r="E227" s="2"/>
      <c r="F227" s="2"/>
    </row>
    <row r="228" spans="1:6" ht="15.75" customHeight="1" x14ac:dyDescent="0.3">
      <c r="A228" s="2"/>
      <c r="B228" s="2"/>
      <c r="C228" s="2"/>
      <c r="D228" s="2"/>
      <c r="E228" s="2"/>
      <c r="F228" s="2"/>
    </row>
    <row r="229" spans="1:6" ht="15.75" customHeight="1" x14ac:dyDescent="0.3">
      <c r="A229" s="2"/>
      <c r="B229" s="2"/>
      <c r="C229" s="2"/>
      <c r="D229" s="2"/>
      <c r="E229" s="2"/>
      <c r="F229" s="2"/>
    </row>
    <row r="230" spans="1:6" ht="15.75" customHeight="1" x14ac:dyDescent="0.3">
      <c r="A230" s="2"/>
      <c r="B230" s="2"/>
      <c r="C230" s="2"/>
      <c r="D230" s="2"/>
      <c r="E230" s="2"/>
      <c r="F230" s="2"/>
    </row>
    <row r="231" spans="1:6" ht="15.75" customHeight="1" x14ac:dyDescent="0.3">
      <c r="A231" s="2"/>
      <c r="B231" s="2"/>
      <c r="C231" s="2"/>
      <c r="D231" s="2"/>
      <c r="E231" s="2"/>
      <c r="F231" s="2"/>
    </row>
    <row r="232" spans="1:6" ht="15.75" customHeight="1" x14ac:dyDescent="0.3">
      <c r="A232" s="2"/>
      <c r="B232" s="2"/>
      <c r="C232" s="2"/>
      <c r="D232" s="2"/>
      <c r="E232" s="2"/>
      <c r="F232" s="2"/>
    </row>
    <row r="233" spans="1:6" ht="15.75" customHeight="1" x14ac:dyDescent="0.3">
      <c r="A233" s="2"/>
      <c r="B233" s="2"/>
      <c r="C233" s="2"/>
      <c r="D233" s="2"/>
      <c r="E233" s="2"/>
      <c r="F233" s="2"/>
    </row>
    <row r="234" spans="1:6" ht="15.75" customHeight="1" x14ac:dyDescent="0.3">
      <c r="A234" s="2"/>
      <c r="B234" s="2"/>
      <c r="C234" s="2"/>
      <c r="D234" s="2"/>
      <c r="E234" s="2"/>
      <c r="F234" s="2"/>
    </row>
    <row r="235" spans="1:6" ht="15.75" customHeight="1" x14ac:dyDescent="0.3">
      <c r="A235" s="2"/>
      <c r="B235" s="2"/>
      <c r="C235" s="2"/>
      <c r="D235" s="2"/>
      <c r="E235" s="2"/>
      <c r="F235" s="2"/>
    </row>
    <row r="236" spans="1:6" ht="15.75" customHeight="1" x14ac:dyDescent="0.3">
      <c r="A236" s="2"/>
      <c r="B236" s="2"/>
      <c r="C236" s="2"/>
      <c r="D236" s="2"/>
      <c r="E236" s="2"/>
      <c r="F236" s="2"/>
    </row>
    <row r="237" spans="1:6" ht="15.75" customHeight="1" x14ac:dyDescent="0.3">
      <c r="A237" s="2"/>
      <c r="B237" s="2"/>
      <c r="C237" s="2"/>
      <c r="D237" s="2"/>
      <c r="E237" s="2"/>
      <c r="F237" s="2"/>
    </row>
    <row r="238" spans="1:6" ht="15.75" customHeight="1" x14ac:dyDescent="0.3">
      <c r="A238" s="2"/>
      <c r="B238" s="2"/>
      <c r="C238" s="2"/>
      <c r="D238" s="2"/>
      <c r="E238" s="2"/>
      <c r="F238" s="2"/>
    </row>
    <row r="239" spans="1:6" ht="15.75" customHeight="1" x14ac:dyDescent="0.3">
      <c r="A239" s="2"/>
      <c r="B239" s="2"/>
      <c r="C239" s="2"/>
      <c r="D239" s="2"/>
      <c r="E239" s="2"/>
      <c r="F239" s="2"/>
    </row>
    <row r="240" spans="1:6" ht="15.75" customHeight="1" x14ac:dyDescent="0.3">
      <c r="A240" s="2"/>
      <c r="B240" s="2"/>
      <c r="C240" s="2"/>
      <c r="D240" s="2"/>
      <c r="E240" s="2"/>
      <c r="F240" s="2"/>
    </row>
    <row r="241" spans="1:6" ht="15.75" customHeight="1" x14ac:dyDescent="0.3">
      <c r="A241" s="2"/>
      <c r="B241" s="2"/>
      <c r="C241" s="2"/>
      <c r="D241" s="2"/>
      <c r="E241" s="2"/>
      <c r="F241" s="2"/>
    </row>
    <row r="242" spans="1:6" ht="15.75" customHeight="1" x14ac:dyDescent="0.3">
      <c r="A242" s="2"/>
      <c r="B242" s="2"/>
      <c r="C242" s="2"/>
      <c r="D242" s="2"/>
      <c r="E242" s="2"/>
      <c r="F242" s="2"/>
    </row>
    <row r="243" spans="1:6" ht="15.75" customHeight="1" x14ac:dyDescent="0.3">
      <c r="A243" s="2"/>
      <c r="B243" s="2"/>
      <c r="C243" s="2"/>
      <c r="D243" s="2"/>
      <c r="E243" s="2"/>
      <c r="F243" s="2"/>
    </row>
    <row r="244" spans="1:6" ht="15.75" customHeight="1" x14ac:dyDescent="0.3">
      <c r="A244" s="2"/>
      <c r="B244" s="2"/>
      <c r="C244" s="2"/>
      <c r="D244" s="2"/>
      <c r="E244" s="2"/>
      <c r="F244" s="2"/>
    </row>
    <row r="245" spans="1:6" ht="15.75" customHeight="1" x14ac:dyDescent="0.3">
      <c r="A245" s="2"/>
      <c r="B245" s="2"/>
      <c r="C245" s="2"/>
      <c r="D245" s="2"/>
      <c r="E245" s="2"/>
      <c r="F245" s="2"/>
    </row>
    <row r="246" spans="1:6" ht="15.75" customHeight="1" x14ac:dyDescent="0.3">
      <c r="A246" s="2"/>
      <c r="B246" s="2"/>
      <c r="C246" s="2"/>
      <c r="D246" s="2"/>
      <c r="E246" s="2"/>
      <c r="F246" s="2"/>
    </row>
    <row r="247" spans="1:6" ht="15.75" customHeight="1" x14ac:dyDescent="0.3">
      <c r="A247" s="2"/>
      <c r="B247" s="2"/>
      <c r="C247" s="2"/>
      <c r="D247" s="2"/>
      <c r="E247" s="2"/>
      <c r="F247" s="2"/>
    </row>
    <row r="248" spans="1:6" ht="15.75" customHeight="1" x14ac:dyDescent="0.3">
      <c r="A248" s="2"/>
      <c r="B248" s="2"/>
      <c r="C248" s="2"/>
      <c r="D248" s="2"/>
      <c r="E248" s="2"/>
      <c r="F248" s="2"/>
    </row>
    <row r="249" spans="1:6" ht="15.75" customHeight="1" x14ac:dyDescent="0.3">
      <c r="A249" s="2"/>
      <c r="B249" s="2"/>
      <c r="C249" s="2"/>
      <c r="D249" s="2"/>
      <c r="E249" s="2"/>
      <c r="F249" s="2"/>
    </row>
    <row r="250" spans="1:6" ht="15.75" customHeight="1" x14ac:dyDescent="0.3">
      <c r="A250" s="2"/>
      <c r="B250" s="2"/>
      <c r="C250" s="2"/>
      <c r="D250" s="2"/>
      <c r="E250" s="2"/>
      <c r="F250" s="2"/>
    </row>
    <row r="251" spans="1:6" ht="15.75" customHeight="1" x14ac:dyDescent="0.3">
      <c r="A251" s="2"/>
      <c r="B251" s="2"/>
      <c r="C251" s="2"/>
      <c r="D251" s="2"/>
      <c r="E251" s="2"/>
      <c r="F251" s="2"/>
    </row>
    <row r="252" spans="1:6" ht="15.75" customHeight="1" x14ac:dyDescent="0.3">
      <c r="A252" s="2"/>
      <c r="B252" s="2"/>
      <c r="C252" s="2"/>
      <c r="D252" s="2"/>
      <c r="E252" s="2"/>
      <c r="F252" s="2"/>
    </row>
    <row r="253" spans="1:6" ht="15.75" customHeight="1" x14ac:dyDescent="0.3">
      <c r="A253" s="2"/>
      <c r="B253" s="2"/>
      <c r="C253" s="2"/>
      <c r="D253" s="2"/>
      <c r="E253" s="2"/>
      <c r="F253" s="2"/>
    </row>
    <row r="254" spans="1:6" ht="15.75" customHeight="1" x14ac:dyDescent="0.3">
      <c r="A254" s="2"/>
      <c r="B254" s="2"/>
      <c r="C254" s="2"/>
      <c r="D254" s="2"/>
      <c r="E254" s="2"/>
      <c r="F254" s="2"/>
    </row>
    <row r="255" spans="1:6" ht="15.75" customHeight="1" x14ac:dyDescent="0.3">
      <c r="A255" s="2"/>
      <c r="B255" s="2"/>
      <c r="C255" s="2"/>
      <c r="D255" s="2"/>
      <c r="E255" s="2"/>
      <c r="F255" s="2"/>
    </row>
    <row r="256" spans="1:6" ht="15.75" customHeight="1" x14ac:dyDescent="0.3">
      <c r="A256" s="2"/>
      <c r="B256" s="2"/>
      <c r="C256" s="2"/>
      <c r="D256" s="2"/>
      <c r="E256" s="2"/>
      <c r="F256" s="2"/>
    </row>
    <row r="257" spans="1:6" ht="15.75" customHeight="1" x14ac:dyDescent="0.3">
      <c r="A257" s="2"/>
      <c r="B257" s="2"/>
      <c r="C257" s="2"/>
      <c r="D257" s="2"/>
      <c r="E257" s="2"/>
      <c r="F257" s="2"/>
    </row>
    <row r="258" spans="1:6" ht="15.75" customHeight="1" x14ac:dyDescent="0.3">
      <c r="A258" s="2"/>
      <c r="B258" s="2"/>
      <c r="C258" s="2"/>
      <c r="D258" s="2"/>
      <c r="E258" s="2"/>
      <c r="F258" s="2"/>
    </row>
    <row r="259" spans="1:6" ht="15.75" customHeight="1" x14ac:dyDescent="0.3">
      <c r="A259" s="2"/>
      <c r="B259" s="2"/>
      <c r="C259" s="2"/>
      <c r="D259" s="2"/>
      <c r="E259" s="2"/>
      <c r="F259" s="2"/>
    </row>
    <row r="260" spans="1:6" ht="15.75" customHeight="1" x14ac:dyDescent="0.3">
      <c r="A260" s="2"/>
      <c r="B260" s="2"/>
      <c r="C260" s="2"/>
      <c r="D260" s="2"/>
      <c r="E260" s="2"/>
      <c r="F260" s="2"/>
    </row>
    <row r="261" spans="1:6" ht="15.75" customHeight="1" x14ac:dyDescent="0.3">
      <c r="A261" s="2"/>
      <c r="B261" s="2"/>
      <c r="C261" s="2"/>
      <c r="D261" s="2"/>
      <c r="E261" s="2"/>
      <c r="F261" s="2"/>
    </row>
    <row r="262" spans="1:6" ht="15.75" customHeight="1" x14ac:dyDescent="0.3">
      <c r="A262" s="2"/>
      <c r="B262" s="2"/>
      <c r="C262" s="2"/>
      <c r="D262" s="2"/>
      <c r="E262" s="2"/>
      <c r="F262" s="2"/>
    </row>
    <row r="263" spans="1:6" ht="15.75" customHeight="1" x14ac:dyDescent="0.3">
      <c r="A263" s="2"/>
      <c r="B263" s="2"/>
      <c r="C263" s="2"/>
      <c r="D263" s="2"/>
      <c r="E263" s="2"/>
      <c r="F263" s="2"/>
    </row>
    <row r="264" spans="1:6" ht="15.75" customHeight="1" x14ac:dyDescent="0.3">
      <c r="A264" s="2"/>
      <c r="B264" s="2"/>
      <c r="C264" s="2"/>
      <c r="D264" s="2"/>
      <c r="E264" s="2"/>
      <c r="F264" s="2"/>
    </row>
    <row r="265" spans="1:6" ht="15.75" customHeight="1" x14ac:dyDescent="0.3">
      <c r="A265" s="2"/>
      <c r="B265" s="2"/>
      <c r="C265" s="2"/>
      <c r="D265" s="2"/>
      <c r="E265" s="2"/>
      <c r="F265" s="2"/>
    </row>
    <row r="266" spans="1:6" ht="15.75" customHeight="1" x14ac:dyDescent="0.3">
      <c r="A266" s="2"/>
      <c r="B266" s="2"/>
      <c r="C266" s="2"/>
      <c r="D266" s="2"/>
      <c r="E266" s="2"/>
      <c r="F266" s="2"/>
    </row>
    <row r="267" spans="1:6" ht="15.75" customHeight="1" x14ac:dyDescent="0.3">
      <c r="A267" s="2"/>
      <c r="B267" s="2"/>
      <c r="C267" s="2"/>
      <c r="D267" s="2"/>
      <c r="E267" s="2"/>
      <c r="F267" s="2"/>
    </row>
    <row r="268" spans="1:6" ht="15.75" customHeight="1" x14ac:dyDescent="0.3">
      <c r="A268" s="2"/>
      <c r="B268" s="2"/>
      <c r="C268" s="2"/>
      <c r="D268" s="2"/>
      <c r="E268" s="2"/>
      <c r="F268" s="2"/>
    </row>
    <row r="269" spans="1:6" ht="15.75" customHeight="1" x14ac:dyDescent="0.3">
      <c r="A269" s="2"/>
      <c r="B269" s="2"/>
      <c r="C269" s="2"/>
      <c r="D269" s="2"/>
      <c r="E269" s="2"/>
      <c r="F269" s="2"/>
    </row>
    <row r="270" spans="1:6" ht="15.75" customHeight="1" x14ac:dyDescent="0.3">
      <c r="A270" s="2"/>
      <c r="B270" s="2"/>
      <c r="C270" s="2"/>
      <c r="D270" s="2"/>
      <c r="E270" s="2"/>
      <c r="F270" s="2"/>
    </row>
    <row r="271" spans="1:6" ht="15.75" customHeight="1" x14ac:dyDescent="0.3">
      <c r="A271" s="2"/>
      <c r="B271" s="2"/>
      <c r="C271" s="2"/>
      <c r="D271" s="2"/>
      <c r="E271" s="2"/>
      <c r="F271" s="2"/>
    </row>
    <row r="272" spans="1:6" ht="15.75" customHeight="1" x14ac:dyDescent="0.3">
      <c r="A272" s="2"/>
      <c r="B272" s="2"/>
      <c r="C272" s="2"/>
      <c r="D272" s="2"/>
      <c r="E272" s="2"/>
      <c r="F272" s="2"/>
    </row>
    <row r="273" spans="1:6" ht="15.75" customHeight="1" x14ac:dyDescent="0.3">
      <c r="A273" s="2"/>
      <c r="B273" s="2"/>
      <c r="C273" s="2"/>
      <c r="D273" s="2"/>
      <c r="E273" s="2"/>
      <c r="F273" s="2"/>
    </row>
    <row r="274" spans="1:6" ht="15.75" customHeight="1" x14ac:dyDescent="0.3">
      <c r="A274" s="2"/>
      <c r="B274" s="2"/>
      <c r="C274" s="2"/>
      <c r="D274" s="2"/>
      <c r="E274" s="2"/>
      <c r="F274" s="2"/>
    </row>
    <row r="275" spans="1:6" ht="15.75" customHeight="1" x14ac:dyDescent="0.3">
      <c r="A275" s="2"/>
      <c r="B275" s="2"/>
      <c r="C275" s="2"/>
      <c r="D275" s="2"/>
      <c r="E275" s="2"/>
      <c r="F275" s="2"/>
    </row>
    <row r="276" spans="1:6" ht="15.75" customHeight="1" x14ac:dyDescent="0.3">
      <c r="A276" s="2"/>
      <c r="B276" s="2"/>
      <c r="C276" s="2"/>
      <c r="D276" s="2"/>
      <c r="E276" s="2"/>
      <c r="F276" s="2"/>
    </row>
    <row r="277" spans="1:6" ht="15.75" customHeight="1" x14ac:dyDescent="0.3">
      <c r="A277" s="2"/>
      <c r="B277" s="2"/>
      <c r="C277" s="2"/>
      <c r="D277" s="2"/>
      <c r="E277" s="2"/>
      <c r="F277" s="2"/>
    </row>
    <row r="278" spans="1:6" ht="15.75" customHeight="1" x14ac:dyDescent="0.3">
      <c r="A278" s="2"/>
      <c r="B278" s="2"/>
      <c r="C278" s="2"/>
      <c r="D278" s="2"/>
      <c r="E278" s="2"/>
      <c r="F278" s="2"/>
    </row>
    <row r="279" spans="1:6" ht="15.75" customHeight="1" x14ac:dyDescent="0.3">
      <c r="A279" s="2"/>
      <c r="B279" s="2"/>
      <c r="C279" s="2"/>
      <c r="D279" s="2"/>
      <c r="E279" s="2"/>
      <c r="F279" s="2"/>
    </row>
    <row r="280" spans="1:6" ht="15.75" customHeight="1" x14ac:dyDescent="0.3">
      <c r="A280" s="2"/>
      <c r="B280" s="2"/>
      <c r="C280" s="2"/>
      <c r="D280" s="2"/>
      <c r="E280" s="2"/>
      <c r="F280" s="2"/>
    </row>
    <row r="281" spans="1:6" ht="15.75" customHeight="1" x14ac:dyDescent="0.3">
      <c r="A281" s="2"/>
      <c r="B281" s="2"/>
      <c r="C281" s="2"/>
      <c r="D281" s="2"/>
      <c r="E281" s="2"/>
      <c r="F281" s="2"/>
    </row>
    <row r="282" spans="1:6" ht="15.75" customHeight="1" x14ac:dyDescent="0.3">
      <c r="A282" s="2"/>
      <c r="B282" s="2"/>
      <c r="C282" s="2"/>
      <c r="D282" s="2"/>
      <c r="E282" s="2"/>
      <c r="F282" s="2"/>
    </row>
    <row r="283" spans="1:6" ht="15.75" customHeight="1" x14ac:dyDescent="0.3">
      <c r="A283" s="2"/>
      <c r="B283" s="2"/>
      <c r="C283" s="2"/>
      <c r="D283" s="2"/>
      <c r="E283" s="2"/>
      <c r="F283" s="2"/>
    </row>
    <row r="284" spans="1:6" ht="15.75" customHeight="1" x14ac:dyDescent="0.3">
      <c r="A284" s="2"/>
      <c r="B284" s="2"/>
      <c r="C284" s="2"/>
      <c r="D284" s="2"/>
      <c r="E284" s="2"/>
      <c r="F284" s="2"/>
    </row>
    <row r="285" spans="1:6" ht="15.75" customHeight="1" x14ac:dyDescent="0.3">
      <c r="A285" s="2"/>
      <c r="B285" s="2"/>
      <c r="C285" s="2"/>
      <c r="D285" s="2"/>
      <c r="E285" s="2"/>
      <c r="F285" s="2"/>
    </row>
    <row r="286" spans="1:6" ht="15.75" customHeight="1" x14ac:dyDescent="0.3">
      <c r="A286" s="2"/>
      <c r="B286" s="2"/>
      <c r="C286" s="2"/>
      <c r="D286" s="2"/>
      <c r="E286" s="2"/>
      <c r="F286" s="2"/>
    </row>
    <row r="287" spans="1:6" ht="15.75" customHeight="1" x14ac:dyDescent="0.3">
      <c r="A287" s="2"/>
      <c r="B287" s="2"/>
      <c r="C287" s="2"/>
      <c r="D287" s="2"/>
      <c r="E287" s="2"/>
      <c r="F287" s="2"/>
    </row>
    <row r="288" spans="1:6" ht="15.75" customHeight="1" x14ac:dyDescent="0.3">
      <c r="A288" s="2"/>
      <c r="B288" s="2"/>
      <c r="C288" s="2"/>
      <c r="D288" s="2"/>
      <c r="E288" s="2"/>
      <c r="F288" s="2"/>
    </row>
    <row r="289" spans="1:6" ht="15.75" customHeight="1" x14ac:dyDescent="0.3">
      <c r="A289" s="2"/>
      <c r="B289" s="2"/>
      <c r="C289" s="2"/>
      <c r="D289" s="2"/>
      <c r="E289" s="2"/>
      <c r="F289" s="2"/>
    </row>
    <row r="290" spans="1:6" ht="15.75" customHeight="1" x14ac:dyDescent="0.3">
      <c r="A290" s="2"/>
      <c r="B290" s="2"/>
      <c r="C290" s="2"/>
      <c r="D290" s="2"/>
      <c r="E290" s="2"/>
      <c r="F290" s="2"/>
    </row>
    <row r="291" spans="1:6" ht="15.75" customHeight="1" x14ac:dyDescent="0.3">
      <c r="A291" s="2"/>
      <c r="B291" s="2"/>
      <c r="C291" s="2"/>
      <c r="D291" s="2"/>
      <c r="E291" s="2"/>
      <c r="F291" s="2"/>
    </row>
    <row r="292" spans="1:6" ht="15.75" customHeight="1" x14ac:dyDescent="0.3">
      <c r="A292" s="2"/>
      <c r="B292" s="2"/>
      <c r="C292" s="2"/>
      <c r="D292" s="2"/>
      <c r="E292" s="2"/>
      <c r="F292" s="2"/>
    </row>
    <row r="293" spans="1:6" ht="15.75" customHeight="1" x14ac:dyDescent="0.3">
      <c r="A293" s="2"/>
      <c r="B293" s="2"/>
      <c r="C293" s="2"/>
      <c r="D293" s="2"/>
      <c r="E293" s="2"/>
      <c r="F293" s="2"/>
    </row>
    <row r="294" spans="1:6" ht="15.75" customHeight="1" x14ac:dyDescent="0.3">
      <c r="A294" s="2"/>
      <c r="B294" s="2"/>
      <c r="C294" s="2"/>
      <c r="D294" s="2"/>
      <c r="E294" s="2"/>
      <c r="F294" s="2"/>
    </row>
    <row r="295" spans="1:6" ht="15.75" customHeight="1" x14ac:dyDescent="0.3">
      <c r="A295" s="2"/>
      <c r="B295" s="2"/>
      <c r="C295" s="2"/>
      <c r="D295" s="2"/>
      <c r="E295" s="2"/>
      <c r="F295" s="2"/>
    </row>
    <row r="296" spans="1:6" ht="15.75" customHeight="1" x14ac:dyDescent="0.3">
      <c r="A296" s="2"/>
      <c r="B296" s="2"/>
      <c r="C296" s="2"/>
      <c r="D296" s="2"/>
      <c r="E296" s="2"/>
      <c r="F296" s="2"/>
    </row>
    <row r="297" spans="1:6" ht="15.75" customHeight="1" x14ac:dyDescent="0.3">
      <c r="A297" s="2"/>
      <c r="B297" s="2"/>
      <c r="C297" s="2"/>
      <c r="D297" s="2"/>
      <c r="E297" s="2"/>
      <c r="F297" s="2"/>
    </row>
    <row r="298" spans="1:6" ht="15.75" customHeight="1" x14ac:dyDescent="0.3">
      <c r="A298" s="2"/>
      <c r="B298" s="2"/>
      <c r="C298" s="2"/>
      <c r="D298" s="2"/>
      <c r="E298" s="2"/>
      <c r="F298" s="2"/>
    </row>
    <row r="299" spans="1:6" ht="15.75" customHeight="1" x14ac:dyDescent="0.3">
      <c r="A299" s="2"/>
      <c r="B299" s="2"/>
      <c r="C299" s="2"/>
      <c r="D299" s="2"/>
      <c r="E299" s="2"/>
      <c r="F299" s="2"/>
    </row>
    <row r="300" spans="1:6" ht="15.75" customHeight="1" x14ac:dyDescent="0.3">
      <c r="A300" s="2"/>
      <c r="B300" s="2"/>
      <c r="C300" s="2"/>
      <c r="D300" s="2"/>
      <c r="E300" s="2"/>
      <c r="F300" s="2"/>
    </row>
    <row r="301" spans="1:6" ht="15.75" customHeight="1" x14ac:dyDescent="0.3">
      <c r="A301" s="2"/>
      <c r="B301" s="2"/>
      <c r="C301" s="2"/>
      <c r="D301" s="2"/>
      <c r="E301" s="2"/>
      <c r="F301" s="2"/>
    </row>
    <row r="302" spans="1:6" ht="15.75" customHeight="1" x14ac:dyDescent="0.3">
      <c r="A302" s="2"/>
      <c r="B302" s="2"/>
      <c r="C302" s="2"/>
      <c r="D302" s="2"/>
      <c r="E302" s="2"/>
      <c r="F302" s="2"/>
    </row>
    <row r="303" spans="1:6" ht="15.75" customHeight="1" x14ac:dyDescent="0.3">
      <c r="A303" s="2"/>
      <c r="B303" s="2"/>
      <c r="C303" s="2"/>
      <c r="D303" s="2"/>
      <c r="E303" s="2"/>
      <c r="F303" s="2"/>
    </row>
    <row r="304" spans="1:6" ht="15.75" customHeight="1" x14ac:dyDescent="0.3">
      <c r="A304" s="2"/>
      <c r="B304" s="2"/>
      <c r="C304" s="2"/>
      <c r="D304" s="2"/>
      <c r="E304" s="2"/>
      <c r="F304" s="2"/>
    </row>
    <row r="305" spans="1:6" ht="15.75" customHeight="1" x14ac:dyDescent="0.3">
      <c r="A305" s="2"/>
      <c r="B305" s="2"/>
      <c r="C305" s="2"/>
      <c r="D305" s="2"/>
      <c r="E305" s="2"/>
      <c r="F305" s="2"/>
    </row>
    <row r="306" spans="1:6" ht="15.75" customHeight="1" x14ac:dyDescent="0.3">
      <c r="A306" s="2"/>
      <c r="B306" s="2"/>
      <c r="C306" s="2"/>
      <c r="D306" s="2"/>
      <c r="E306" s="2"/>
      <c r="F306" s="2"/>
    </row>
    <row r="307" spans="1:6" ht="15.75" customHeight="1" x14ac:dyDescent="0.3">
      <c r="A307" s="2"/>
      <c r="B307" s="2"/>
      <c r="C307" s="2"/>
      <c r="D307" s="2"/>
      <c r="E307" s="2"/>
      <c r="F307" s="2"/>
    </row>
    <row r="308" spans="1:6" ht="15.75" customHeight="1" x14ac:dyDescent="0.3">
      <c r="A308" s="2"/>
      <c r="B308" s="2"/>
      <c r="C308" s="2"/>
      <c r="D308" s="2"/>
      <c r="E308" s="2"/>
      <c r="F308" s="2"/>
    </row>
    <row r="309" spans="1:6" ht="15.75" customHeight="1" x14ac:dyDescent="0.3">
      <c r="A309" s="2"/>
      <c r="B309" s="2"/>
      <c r="C309" s="2"/>
      <c r="D309" s="2"/>
      <c r="E309" s="2"/>
      <c r="F309" s="2"/>
    </row>
    <row r="310" spans="1:6" ht="15.75" customHeight="1" x14ac:dyDescent="0.3">
      <c r="A310" s="2"/>
      <c r="B310" s="2"/>
      <c r="C310" s="2"/>
      <c r="D310" s="2"/>
      <c r="E310" s="2"/>
      <c r="F310" s="2"/>
    </row>
    <row r="311" spans="1:6" ht="15.75" customHeight="1" x14ac:dyDescent="0.3">
      <c r="A311" s="2"/>
      <c r="B311" s="2"/>
      <c r="C311" s="2"/>
      <c r="D311" s="2"/>
      <c r="E311" s="2"/>
      <c r="F311" s="2"/>
    </row>
    <row r="312" spans="1:6" ht="15.75" customHeight="1" x14ac:dyDescent="0.3">
      <c r="A312" s="2"/>
      <c r="B312" s="2"/>
      <c r="C312" s="2"/>
      <c r="D312" s="2"/>
      <c r="E312" s="2"/>
      <c r="F312" s="2"/>
    </row>
    <row r="313" spans="1:6" ht="15.75" customHeight="1" x14ac:dyDescent="0.3">
      <c r="A313" s="2"/>
      <c r="B313" s="2"/>
      <c r="C313" s="2"/>
      <c r="D313" s="2"/>
      <c r="E313" s="2"/>
      <c r="F313" s="2"/>
    </row>
    <row r="314" spans="1:6" ht="15.75" customHeight="1" x14ac:dyDescent="0.3">
      <c r="A314" s="2"/>
      <c r="B314" s="2"/>
      <c r="C314" s="2"/>
      <c r="D314" s="2"/>
      <c r="E314" s="2"/>
      <c r="F314" s="2"/>
    </row>
    <row r="315" spans="1:6" ht="15.75" customHeight="1" x14ac:dyDescent="0.3">
      <c r="A315" s="2"/>
      <c r="B315" s="2"/>
      <c r="C315" s="2"/>
      <c r="D315" s="2"/>
      <c r="E315" s="2"/>
      <c r="F315" s="2"/>
    </row>
    <row r="316" spans="1:6" ht="15.75" customHeight="1" x14ac:dyDescent="0.3">
      <c r="A316" s="2"/>
      <c r="B316" s="2"/>
      <c r="C316" s="2"/>
      <c r="D316" s="2"/>
      <c r="E316" s="2"/>
      <c r="F316" s="2"/>
    </row>
    <row r="317" spans="1:6" ht="15.75" customHeight="1" x14ac:dyDescent="0.3">
      <c r="A317" s="2"/>
      <c r="B317" s="2"/>
      <c r="C317" s="2"/>
      <c r="D317" s="2"/>
      <c r="E317" s="2"/>
      <c r="F317" s="2"/>
    </row>
    <row r="318" spans="1:6" ht="15.75" customHeight="1" x14ac:dyDescent="0.3">
      <c r="A318" s="2"/>
      <c r="B318" s="2"/>
      <c r="C318" s="2"/>
      <c r="D318" s="2"/>
      <c r="E318" s="2"/>
      <c r="F318" s="2"/>
    </row>
    <row r="319" spans="1:6" ht="15.75" customHeight="1" x14ac:dyDescent="0.3">
      <c r="A319" s="2"/>
      <c r="B319" s="2"/>
      <c r="C319" s="2"/>
      <c r="D319" s="2"/>
      <c r="E319" s="2"/>
      <c r="F319" s="2"/>
    </row>
    <row r="320" spans="1:6" ht="15.75" customHeight="1" x14ac:dyDescent="0.3">
      <c r="A320" s="2"/>
      <c r="B320" s="2"/>
      <c r="C320" s="2"/>
      <c r="D320" s="2"/>
      <c r="E320" s="2"/>
      <c r="F320" s="2"/>
    </row>
    <row r="321" spans="1:6" ht="15.75" customHeight="1" x14ac:dyDescent="0.3">
      <c r="A321" s="2"/>
      <c r="B321" s="2"/>
      <c r="C321" s="2"/>
      <c r="D321" s="2"/>
      <c r="E321" s="2"/>
      <c r="F321" s="2"/>
    </row>
    <row r="322" spans="1:6" ht="15.75" customHeight="1" x14ac:dyDescent="0.3">
      <c r="A322" s="2"/>
      <c r="B322" s="2"/>
      <c r="C322" s="2"/>
      <c r="D322" s="2"/>
      <c r="E322" s="2"/>
      <c r="F322" s="2"/>
    </row>
    <row r="323" spans="1:6" ht="15.75" customHeight="1" x14ac:dyDescent="0.3">
      <c r="A323" s="2"/>
      <c r="B323" s="2"/>
      <c r="C323" s="2"/>
      <c r="D323" s="2"/>
      <c r="E323" s="2"/>
      <c r="F323" s="2"/>
    </row>
    <row r="324" spans="1:6" ht="15.75" customHeight="1" x14ac:dyDescent="0.3">
      <c r="A324" s="2"/>
      <c r="B324" s="2"/>
      <c r="C324" s="2"/>
      <c r="D324" s="2"/>
      <c r="E324" s="2"/>
      <c r="F324" s="2"/>
    </row>
    <row r="325" spans="1:6" ht="15.75" customHeight="1" x14ac:dyDescent="0.3">
      <c r="A325" s="2"/>
      <c r="B325" s="2"/>
      <c r="C325" s="2"/>
      <c r="D325" s="2"/>
      <c r="E325" s="2"/>
      <c r="F325" s="2"/>
    </row>
    <row r="326" spans="1:6" ht="15.75" customHeight="1" x14ac:dyDescent="0.3">
      <c r="A326" s="2"/>
      <c r="B326" s="2"/>
      <c r="C326" s="2"/>
      <c r="D326" s="2"/>
      <c r="E326" s="2"/>
      <c r="F326" s="2"/>
    </row>
    <row r="327" spans="1:6" ht="15.75" customHeight="1" x14ac:dyDescent="0.3">
      <c r="A327" s="2"/>
      <c r="B327" s="2"/>
      <c r="C327" s="2"/>
      <c r="D327" s="2"/>
      <c r="E327" s="2"/>
      <c r="F327" s="2"/>
    </row>
    <row r="328" spans="1:6" ht="15.75" customHeight="1" x14ac:dyDescent="0.3">
      <c r="A328" s="2"/>
      <c r="B328" s="2"/>
      <c r="C328" s="2"/>
      <c r="D328" s="2"/>
      <c r="E328" s="2"/>
      <c r="F328" s="2"/>
    </row>
    <row r="329" spans="1:6" ht="15.75" customHeight="1" x14ac:dyDescent="0.3">
      <c r="A329" s="2"/>
      <c r="B329" s="2"/>
      <c r="C329" s="2"/>
      <c r="D329" s="2"/>
      <c r="E329" s="2"/>
      <c r="F329" s="2"/>
    </row>
    <row r="330" spans="1:6" ht="15.75" customHeight="1" x14ac:dyDescent="0.3">
      <c r="A330" s="2"/>
      <c r="B330" s="2"/>
      <c r="C330" s="2"/>
      <c r="D330" s="2"/>
      <c r="E330" s="2"/>
      <c r="F330" s="2"/>
    </row>
    <row r="331" spans="1:6" ht="15.75" customHeight="1" x14ac:dyDescent="0.3">
      <c r="A331" s="2"/>
      <c r="B331" s="2"/>
      <c r="C331" s="2"/>
      <c r="D331" s="2"/>
      <c r="E331" s="2"/>
      <c r="F331" s="2"/>
    </row>
    <row r="332" spans="1:6" ht="15.75" customHeight="1" x14ac:dyDescent="0.3">
      <c r="A332" s="2"/>
      <c r="B332" s="2"/>
      <c r="C332" s="2"/>
      <c r="D332" s="2"/>
      <c r="E332" s="2"/>
      <c r="F332" s="2"/>
    </row>
    <row r="333" spans="1:6" ht="15.75" customHeight="1" x14ac:dyDescent="0.3">
      <c r="A333" s="2"/>
      <c r="B333" s="2"/>
      <c r="C333" s="2"/>
      <c r="D333" s="2"/>
      <c r="E333" s="2"/>
      <c r="F333" s="2"/>
    </row>
    <row r="334" spans="1:6" ht="15.75" customHeight="1" x14ac:dyDescent="0.3">
      <c r="A334" s="2"/>
      <c r="B334" s="2"/>
      <c r="C334" s="2"/>
      <c r="D334" s="2"/>
      <c r="E334" s="2"/>
      <c r="F334" s="2"/>
    </row>
    <row r="335" spans="1:6" ht="15.75" customHeight="1" x14ac:dyDescent="0.3">
      <c r="A335" s="2"/>
      <c r="B335" s="2"/>
      <c r="C335" s="2"/>
      <c r="D335" s="2"/>
      <c r="E335" s="2"/>
      <c r="F335" s="2"/>
    </row>
    <row r="336" spans="1:6" ht="15.75" customHeight="1" x14ac:dyDescent="0.3">
      <c r="A336" s="2"/>
      <c r="B336" s="2"/>
      <c r="C336" s="2"/>
      <c r="D336" s="2"/>
      <c r="E336" s="2"/>
      <c r="F336" s="2"/>
    </row>
    <row r="337" spans="1:6" ht="15.75" customHeight="1" x14ac:dyDescent="0.3">
      <c r="A337" s="2"/>
      <c r="B337" s="2"/>
      <c r="C337" s="2"/>
      <c r="D337" s="2"/>
      <c r="E337" s="2"/>
      <c r="F337" s="2"/>
    </row>
    <row r="338" spans="1:6" ht="15.75" customHeight="1" x14ac:dyDescent="0.3">
      <c r="A338" s="2"/>
      <c r="B338" s="2"/>
      <c r="C338" s="2"/>
      <c r="D338" s="2"/>
      <c r="E338" s="2"/>
      <c r="F338" s="2"/>
    </row>
    <row r="339" spans="1:6" ht="15.75" customHeight="1" x14ac:dyDescent="0.3">
      <c r="A339" s="2"/>
      <c r="B339" s="2"/>
      <c r="C339" s="2"/>
      <c r="D339" s="2"/>
      <c r="E339" s="2"/>
      <c r="F339" s="2"/>
    </row>
    <row r="340" spans="1:6" ht="15.75" customHeight="1" x14ac:dyDescent="0.3">
      <c r="A340" s="2"/>
      <c r="B340" s="2"/>
      <c r="C340" s="2"/>
      <c r="D340" s="2"/>
      <c r="E340" s="2"/>
      <c r="F340" s="2"/>
    </row>
    <row r="341" spans="1:6" ht="15.75" customHeight="1" x14ac:dyDescent="0.3">
      <c r="A341" s="2"/>
      <c r="B341" s="2"/>
      <c r="C341" s="2"/>
      <c r="D341" s="2"/>
      <c r="E341" s="2"/>
      <c r="F341" s="2"/>
    </row>
    <row r="342" spans="1:6" ht="15.75" customHeight="1" x14ac:dyDescent="0.3">
      <c r="A342" s="2"/>
      <c r="B342" s="2"/>
      <c r="C342" s="2"/>
      <c r="D342" s="2"/>
      <c r="E342" s="2"/>
      <c r="F342" s="2"/>
    </row>
    <row r="343" spans="1:6" ht="15.75" customHeight="1" x14ac:dyDescent="0.3">
      <c r="A343" s="2"/>
      <c r="B343" s="2"/>
      <c r="C343" s="2"/>
      <c r="D343" s="2"/>
      <c r="E343" s="2"/>
      <c r="F343" s="2"/>
    </row>
    <row r="344" spans="1:6" ht="15.75" customHeight="1" x14ac:dyDescent="0.3">
      <c r="A344" s="2"/>
      <c r="B344" s="2"/>
      <c r="C344" s="2"/>
      <c r="D344" s="2"/>
      <c r="E344" s="2"/>
      <c r="F344" s="2"/>
    </row>
    <row r="345" spans="1:6" ht="15.75" customHeight="1" x14ac:dyDescent="0.3">
      <c r="A345" s="2"/>
      <c r="B345" s="2"/>
      <c r="C345" s="2"/>
      <c r="D345" s="2"/>
      <c r="E345" s="2"/>
      <c r="F345" s="2"/>
    </row>
    <row r="346" spans="1:6" ht="15.75" customHeight="1" x14ac:dyDescent="0.3">
      <c r="A346" s="2"/>
      <c r="B346" s="2"/>
      <c r="C346" s="2"/>
      <c r="D346" s="2"/>
      <c r="E346" s="2"/>
      <c r="F346" s="2"/>
    </row>
    <row r="347" spans="1:6" ht="15.75" customHeight="1" x14ac:dyDescent="0.3">
      <c r="A347" s="2"/>
      <c r="B347" s="2"/>
      <c r="C347" s="2"/>
      <c r="D347" s="2"/>
      <c r="E347" s="2"/>
      <c r="F347" s="2"/>
    </row>
    <row r="348" spans="1:6" ht="15.75" customHeight="1" x14ac:dyDescent="0.3">
      <c r="A348" s="2"/>
      <c r="B348" s="2"/>
      <c r="C348" s="2"/>
      <c r="D348" s="2"/>
      <c r="E348" s="2"/>
      <c r="F348" s="2"/>
    </row>
    <row r="349" spans="1:6" ht="15.75" customHeight="1" x14ac:dyDescent="0.3">
      <c r="A349" s="2"/>
      <c r="B349" s="2"/>
      <c r="C349" s="2"/>
      <c r="D349" s="2"/>
      <c r="E349" s="2"/>
      <c r="F349" s="2"/>
    </row>
    <row r="350" spans="1:6" ht="15.75" customHeight="1" x14ac:dyDescent="0.3">
      <c r="A350" s="2"/>
      <c r="B350" s="2"/>
      <c r="C350" s="2"/>
      <c r="D350" s="2"/>
      <c r="E350" s="2"/>
      <c r="F350" s="2"/>
    </row>
    <row r="351" spans="1:6" ht="15.75" customHeight="1" x14ac:dyDescent="0.3">
      <c r="A351" s="2"/>
      <c r="B351" s="2"/>
      <c r="C351" s="2"/>
      <c r="D351" s="2"/>
      <c r="E351" s="2"/>
      <c r="F351" s="2"/>
    </row>
    <row r="352" spans="1:6" ht="15.75" customHeight="1" x14ac:dyDescent="0.3">
      <c r="A352" s="2"/>
      <c r="B352" s="2"/>
      <c r="C352" s="2"/>
      <c r="D352" s="2"/>
      <c r="E352" s="2"/>
      <c r="F352" s="2"/>
    </row>
    <row r="353" spans="1:6" ht="15.75" customHeight="1" x14ac:dyDescent="0.3">
      <c r="A353" s="2"/>
      <c r="B353" s="2"/>
      <c r="C353" s="2"/>
      <c r="D353" s="2"/>
      <c r="E353" s="2"/>
      <c r="F353" s="2"/>
    </row>
    <row r="354" spans="1:6" ht="15.75" customHeight="1" x14ac:dyDescent="0.3">
      <c r="A354" s="2"/>
      <c r="B354" s="2"/>
      <c r="C354" s="2"/>
      <c r="D354" s="2"/>
      <c r="E354" s="2"/>
      <c r="F354" s="2"/>
    </row>
    <row r="355" spans="1:6" ht="15.75" customHeight="1" x14ac:dyDescent="0.3">
      <c r="A355" s="2"/>
      <c r="B355" s="2"/>
      <c r="C355" s="2"/>
      <c r="D355" s="2"/>
      <c r="E355" s="2"/>
      <c r="F355" s="2"/>
    </row>
    <row r="356" spans="1:6" ht="15.75" customHeight="1" x14ac:dyDescent="0.3">
      <c r="A356" s="2"/>
      <c r="B356" s="2"/>
      <c r="C356" s="2"/>
      <c r="D356" s="2"/>
      <c r="E356" s="2"/>
      <c r="F356" s="2"/>
    </row>
    <row r="357" spans="1:6" ht="15.75" customHeight="1" x14ac:dyDescent="0.3">
      <c r="A357" s="2"/>
      <c r="B357" s="2"/>
      <c r="C357" s="2"/>
      <c r="D357" s="2"/>
      <c r="E357" s="2"/>
      <c r="F357" s="2"/>
    </row>
    <row r="358" spans="1:6" ht="15.75" customHeight="1" x14ac:dyDescent="0.3">
      <c r="A358" s="2"/>
      <c r="B358" s="2"/>
      <c r="C358" s="2"/>
      <c r="D358" s="2"/>
      <c r="E358" s="2"/>
      <c r="F358" s="2"/>
    </row>
    <row r="359" spans="1:6" ht="15.75" customHeight="1" x14ac:dyDescent="0.3">
      <c r="A359" s="2"/>
      <c r="B359" s="2"/>
      <c r="C359" s="2"/>
      <c r="D359" s="2"/>
      <c r="E359" s="2"/>
      <c r="F359" s="2"/>
    </row>
    <row r="360" spans="1:6" ht="15.75" customHeight="1" x14ac:dyDescent="0.3">
      <c r="A360" s="2"/>
      <c r="B360" s="2"/>
      <c r="C360" s="2"/>
      <c r="D360" s="2"/>
      <c r="E360" s="2"/>
      <c r="F360" s="2"/>
    </row>
    <row r="361" spans="1:6" ht="15.75" customHeight="1" x14ac:dyDescent="0.3">
      <c r="A361" s="2"/>
      <c r="B361" s="2"/>
      <c r="C361" s="2"/>
      <c r="D361" s="2"/>
      <c r="E361" s="2"/>
      <c r="F361" s="2"/>
    </row>
    <row r="362" spans="1:6" ht="15.75" customHeight="1" x14ac:dyDescent="0.3">
      <c r="A362" s="2"/>
      <c r="B362" s="2"/>
      <c r="C362" s="2"/>
      <c r="D362" s="2"/>
      <c r="E362" s="2"/>
      <c r="F362" s="2"/>
    </row>
    <row r="363" spans="1:6" ht="15.75" customHeight="1" x14ac:dyDescent="0.3">
      <c r="A363" s="2"/>
      <c r="B363" s="2"/>
      <c r="C363" s="2"/>
      <c r="D363" s="2"/>
      <c r="E363" s="2"/>
      <c r="F363" s="2"/>
    </row>
    <row r="364" spans="1:6" ht="15.75" customHeight="1" x14ac:dyDescent="0.3">
      <c r="A364" s="2"/>
      <c r="B364" s="2"/>
      <c r="C364" s="2"/>
      <c r="D364" s="2"/>
      <c r="E364" s="2"/>
      <c r="F364" s="2"/>
    </row>
    <row r="365" spans="1:6" ht="15.75" customHeight="1" x14ac:dyDescent="0.3">
      <c r="A365" s="2"/>
      <c r="B365" s="2"/>
      <c r="C365" s="2"/>
      <c r="D365" s="2"/>
      <c r="E365" s="2"/>
      <c r="F365" s="2"/>
    </row>
    <row r="366" spans="1:6" ht="15.75" customHeight="1" x14ac:dyDescent="0.3">
      <c r="A366" s="2"/>
      <c r="B366" s="2"/>
      <c r="C366" s="2"/>
      <c r="D366" s="2"/>
      <c r="E366" s="2"/>
      <c r="F366" s="2"/>
    </row>
    <row r="367" spans="1:6" ht="15.75" customHeight="1" x14ac:dyDescent="0.3">
      <c r="A367" s="2"/>
      <c r="B367" s="2"/>
      <c r="C367" s="2"/>
      <c r="D367" s="2"/>
      <c r="E367" s="2"/>
      <c r="F367" s="2"/>
    </row>
    <row r="368" spans="1:6" ht="15.75" customHeight="1" x14ac:dyDescent="0.3">
      <c r="A368" s="2"/>
      <c r="B368" s="2"/>
      <c r="C368" s="2"/>
      <c r="D368" s="2"/>
      <c r="E368" s="2"/>
      <c r="F368" s="2"/>
    </row>
    <row r="369" spans="1:6" ht="15.75" customHeight="1" x14ac:dyDescent="0.3">
      <c r="A369" s="2"/>
      <c r="B369" s="2"/>
      <c r="C369" s="2"/>
      <c r="D369" s="2"/>
      <c r="E369" s="2"/>
      <c r="F369" s="2"/>
    </row>
    <row r="370" spans="1:6" ht="15.75" customHeight="1" x14ac:dyDescent="0.3">
      <c r="A370" s="2"/>
      <c r="B370" s="2"/>
      <c r="C370" s="2"/>
      <c r="D370" s="2"/>
      <c r="E370" s="2"/>
      <c r="F370" s="2"/>
    </row>
    <row r="371" spans="1:6" ht="15.75" customHeight="1" x14ac:dyDescent="0.3">
      <c r="A371" s="2"/>
      <c r="B371" s="2"/>
      <c r="C371" s="2"/>
      <c r="D371" s="2"/>
      <c r="E371" s="2"/>
      <c r="F371" s="2"/>
    </row>
    <row r="372" spans="1:6" ht="15.75" customHeight="1" x14ac:dyDescent="0.3">
      <c r="A372" s="2"/>
      <c r="B372" s="2"/>
      <c r="C372" s="2"/>
      <c r="D372" s="2"/>
      <c r="E372" s="2"/>
      <c r="F372" s="2"/>
    </row>
    <row r="373" spans="1:6" ht="15.75" customHeight="1" x14ac:dyDescent="0.3">
      <c r="A373" s="2"/>
      <c r="B373" s="2"/>
      <c r="C373" s="2"/>
      <c r="D373" s="2"/>
      <c r="E373" s="2"/>
      <c r="F373" s="2"/>
    </row>
    <row r="374" spans="1:6" ht="15.75" customHeight="1" x14ac:dyDescent="0.3">
      <c r="A374" s="2"/>
      <c r="B374" s="2"/>
      <c r="C374" s="2"/>
      <c r="D374" s="2"/>
      <c r="E374" s="2"/>
      <c r="F374" s="2"/>
    </row>
    <row r="375" spans="1:6" ht="15.75" customHeight="1" x14ac:dyDescent="0.3">
      <c r="A375" s="2"/>
      <c r="B375" s="2"/>
      <c r="C375" s="2"/>
      <c r="D375" s="2"/>
      <c r="E375" s="2"/>
      <c r="F375" s="2"/>
    </row>
    <row r="376" spans="1:6" ht="15.75" customHeight="1" x14ac:dyDescent="0.3">
      <c r="A376" s="2"/>
      <c r="B376" s="2"/>
      <c r="C376" s="2"/>
      <c r="D376" s="2"/>
      <c r="E376" s="2"/>
      <c r="F376" s="2"/>
    </row>
    <row r="377" spans="1:6" ht="15.75" customHeight="1" x14ac:dyDescent="0.3">
      <c r="A377" s="2"/>
      <c r="B377" s="2"/>
      <c r="C377" s="2"/>
      <c r="D377" s="2"/>
      <c r="E377" s="2"/>
      <c r="F377" s="2"/>
    </row>
    <row r="378" spans="1:6" ht="15.75" customHeight="1" x14ac:dyDescent="0.3">
      <c r="A378" s="2"/>
      <c r="B378" s="2"/>
      <c r="C378" s="2"/>
      <c r="D378" s="2"/>
      <c r="E378" s="2"/>
      <c r="F378" s="2"/>
    </row>
    <row r="379" spans="1:6" ht="15.75" customHeight="1" x14ac:dyDescent="0.3">
      <c r="A379" s="2"/>
      <c r="B379" s="2"/>
      <c r="C379" s="2"/>
      <c r="D379" s="2"/>
      <c r="E379" s="2"/>
      <c r="F379" s="2"/>
    </row>
    <row r="380" spans="1:6" ht="15.75" customHeight="1" x14ac:dyDescent="0.3">
      <c r="A380" s="2"/>
      <c r="B380" s="2"/>
      <c r="C380" s="2"/>
      <c r="D380" s="2"/>
      <c r="E380" s="2"/>
      <c r="F380" s="2"/>
    </row>
    <row r="381" spans="1:6" ht="15.75" customHeight="1" x14ac:dyDescent="0.3">
      <c r="A381" s="2"/>
      <c r="B381" s="2"/>
      <c r="C381" s="2"/>
      <c r="D381" s="2"/>
      <c r="E381" s="2"/>
      <c r="F381" s="2"/>
    </row>
    <row r="382" spans="1:6" ht="15.75" customHeight="1" x14ac:dyDescent="0.3">
      <c r="A382" s="2"/>
      <c r="B382" s="2"/>
      <c r="C382" s="2"/>
      <c r="D382" s="2"/>
      <c r="E382" s="2"/>
      <c r="F382" s="2"/>
    </row>
    <row r="383" spans="1:6" ht="15.75" customHeight="1" x14ac:dyDescent="0.3">
      <c r="A383" s="2"/>
      <c r="B383" s="2"/>
      <c r="C383" s="2"/>
      <c r="D383" s="2"/>
      <c r="E383" s="2"/>
      <c r="F383" s="2"/>
    </row>
    <row r="384" spans="1:6" ht="15.75" customHeight="1" x14ac:dyDescent="0.3">
      <c r="A384" s="2"/>
      <c r="B384" s="2"/>
      <c r="C384" s="2"/>
      <c r="D384" s="2"/>
      <c r="E384" s="2"/>
      <c r="F384" s="2"/>
    </row>
    <row r="385" spans="1:6" ht="15.75" customHeight="1" x14ac:dyDescent="0.3">
      <c r="A385" s="2"/>
      <c r="B385" s="2"/>
      <c r="C385" s="2"/>
      <c r="D385" s="2"/>
      <c r="E385" s="2"/>
      <c r="F385" s="2"/>
    </row>
    <row r="386" spans="1:6" ht="15.75" customHeight="1" x14ac:dyDescent="0.3">
      <c r="A386" s="2"/>
      <c r="B386" s="2"/>
      <c r="C386" s="2"/>
      <c r="D386" s="2"/>
      <c r="E386" s="2"/>
      <c r="F386" s="2"/>
    </row>
    <row r="387" spans="1:6" ht="15.75" customHeight="1" x14ac:dyDescent="0.3">
      <c r="A387" s="2"/>
      <c r="B387" s="2"/>
      <c r="C387" s="2"/>
      <c r="D387" s="2"/>
      <c r="E387" s="2"/>
      <c r="F387" s="2"/>
    </row>
    <row r="388" spans="1:6" ht="15.75" customHeight="1" x14ac:dyDescent="0.3">
      <c r="A388" s="2"/>
      <c r="B388" s="2"/>
      <c r="C388" s="2"/>
      <c r="D388" s="2"/>
      <c r="E388" s="2"/>
      <c r="F388" s="2"/>
    </row>
    <row r="389" spans="1:6" ht="15.75" customHeight="1" x14ac:dyDescent="0.3">
      <c r="A389" s="2"/>
      <c r="B389" s="2"/>
      <c r="C389" s="2"/>
      <c r="D389" s="2"/>
      <c r="E389" s="2"/>
      <c r="F389" s="2"/>
    </row>
    <row r="390" spans="1:6" ht="15.75" customHeight="1" x14ac:dyDescent="0.3">
      <c r="A390" s="2"/>
      <c r="B390" s="2"/>
      <c r="C390" s="2"/>
      <c r="D390" s="2"/>
      <c r="E390" s="2"/>
      <c r="F390" s="2"/>
    </row>
    <row r="391" spans="1:6" ht="15.75" customHeight="1" x14ac:dyDescent="0.3">
      <c r="A391" s="2"/>
      <c r="B391" s="2"/>
      <c r="C391" s="2"/>
      <c r="D391" s="2"/>
      <c r="E391" s="2"/>
      <c r="F391" s="2"/>
    </row>
    <row r="392" spans="1:6" ht="15.75" customHeight="1" x14ac:dyDescent="0.3">
      <c r="A392" s="2"/>
      <c r="B392" s="2"/>
      <c r="C392" s="2"/>
      <c r="D392" s="2"/>
      <c r="E392" s="2"/>
      <c r="F392" s="2"/>
    </row>
    <row r="393" spans="1:6" ht="15.75" customHeight="1" x14ac:dyDescent="0.3">
      <c r="A393" s="2"/>
      <c r="B393" s="2"/>
      <c r="C393" s="2"/>
      <c r="D393" s="2"/>
      <c r="E393" s="2"/>
      <c r="F393" s="2"/>
    </row>
    <row r="394" spans="1:6" ht="15.75" customHeight="1" x14ac:dyDescent="0.3">
      <c r="A394" s="2"/>
      <c r="B394" s="2"/>
      <c r="C394" s="2"/>
      <c r="D394" s="2"/>
      <c r="E394" s="2"/>
      <c r="F394" s="2"/>
    </row>
    <row r="395" spans="1:6" ht="15.75" customHeight="1" x14ac:dyDescent="0.3">
      <c r="A395" s="2"/>
      <c r="B395" s="2"/>
      <c r="C395" s="2"/>
      <c r="D395" s="2"/>
      <c r="E395" s="2"/>
      <c r="F395" s="2"/>
    </row>
    <row r="396" spans="1:6" ht="15.75" customHeight="1" x14ac:dyDescent="0.3">
      <c r="A396" s="2"/>
      <c r="B396" s="2"/>
      <c r="C396" s="2"/>
      <c r="D396" s="2"/>
      <c r="E396" s="2"/>
      <c r="F396" s="2"/>
    </row>
    <row r="397" spans="1:6" ht="15.75" customHeight="1" x14ac:dyDescent="0.3">
      <c r="A397" s="2"/>
      <c r="B397" s="2"/>
      <c r="C397" s="2"/>
      <c r="D397" s="2"/>
      <c r="E397" s="2"/>
      <c r="F397" s="2"/>
    </row>
    <row r="398" spans="1:6" ht="15.75" customHeight="1" x14ac:dyDescent="0.3">
      <c r="A398" s="2"/>
      <c r="B398" s="2"/>
      <c r="C398" s="2"/>
      <c r="D398" s="2"/>
      <c r="E398" s="2"/>
      <c r="F398" s="2"/>
    </row>
    <row r="399" spans="1:6" ht="15.75" customHeight="1" x14ac:dyDescent="0.3">
      <c r="A399" s="2"/>
      <c r="B399" s="2"/>
      <c r="C399" s="2"/>
      <c r="D399" s="2"/>
      <c r="E399" s="2"/>
      <c r="F399" s="2"/>
    </row>
    <row r="400" spans="1:6" ht="15.75" customHeight="1" x14ac:dyDescent="0.3">
      <c r="A400" s="2"/>
      <c r="B400" s="2"/>
      <c r="C400" s="2"/>
      <c r="D400" s="2"/>
      <c r="E400" s="2"/>
      <c r="F400" s="2"/>
    </row>
    <row r="401" spans="1:6" ht="15.75" customHeight="1" x14ac:dyDescent="0.3">
      <c r="A401" s="2"/>
      <c r="B401" s="2"/>
      <c r="C401" s="2"/>
      <c r="D401" s="2"/>
      <c r="E401" s="2"/>
      <c r="F401" s="2"/>
    </row>
    <row r="402" spans="1:6" ht="15.75" customHeight="1" x14ac:dyDescent="0.3">
      <c r="A402" s="2"/>
      <c r="B402" s="2"/>
      <c r="C402" s="2"/>
      <c r="D402" s="2"/>
      <c r="E402" s="2"/>
      <c r="F402" s="2"/>
    </row>
    <row r="403" spans="1:6" ht="15.75" customHeight="1" x14ac:dyDescent="0.3">
      <c r="A403" s="2"/>
      <c r="B403" s="2"/>
      <c r="C403" s="2"/>
      <c r="D403" s="2"/>
      <c r="E403" s="2"/>
      <c r="F403" s="2"/>
    </row>
    <row r="404" spans="1:6" ht="15.75" customHeight="1" x14ac:dyDescent="0.3">
      <c r="A404" s="2"/>
      <c r="B404" s="2"/>
      <c r="C404" s="2"/>
      <c r="D404" s="2"/>
      <c r="E404" s="2"/>
      <c r="F404" s="2"/>
    </row>
    <row r="405" spans="1:6" ht="15.75" customHeight="1" x14ac:dyDescent="0.3">
      <c r="A405" s="2"/>
      <c r="B405" s="2"/>
      <c r="C405" s="2"/>
      <c r="D405" s="2"/>
      <c r="E405" s="2"/>
      <c r="F405" s="2"/>
    </row>
    <row r="406" spans="1:6" ht="15.75" customHeight="1" x14ac:dyDescent="0.3">
      <c r="A406" s="2"/>
      <c r="B406" s="2"/>
      <c r="C406" s="2"/>
      <c r="D406" s="2"/>
      <c r="E406" s="2"/>
      <c r="F406" s="2"/>
    </row>
    <row r="407" spans="1:6" ht="15.75" customHeight="1" x14ac:dyDescent="0.3">
      <c r="A407" s="2"/>
      <c r="B407" s="2"/>
      <c r="C407" s="2"/>
      <c r="D407" s="2"/>
      <c r="E407" s="2"/>
      <c r="F407" s="2"/>
    </row>
    <row r="408" spans="1:6" ht="15.75" customHeight="1" x14ac:dyDescent="0.3">
      <c r="A408" s="2"/>
      <c r="B408" s="2"/>
      <c r="C408" s="2"/>
      <c r="D408" s="2"/>
      <c r="E408" s="2"/>
      <c r="F408" s="2"/>
    </row>
    <row r="409" spans="1:6" ht="15.75" customHeight="1" x14ac:dyDescent="0.3">
      <c r="A409" s="2"/>
      <c r="B409" s="2"/>
      <c r="C409" s="2"/>
      <c r="D409" s="2"/>
      <c r="E409" s="2"/>
      <c r="F409" s="2"/>
    </row>
    <row r="410" spans="1:6" ht="15.75" customHeight="1" x14ac:dyDescent="0.3">
      <c r="A410" s="2"/>
      <c r="B410" s="2"/>
      <c r="C410" s="2"/>
      <c r="D410" s="2"/>
      <c r="E410" s="2"/>
      <c r="F410" s="2"/>
    </row>
    <row r="411" spans="1:6" ht="15.75" customHeight="1" x14ac:dyDescent="0.3">
      <c r="A411" s="2"/>
      <c r="B411" s="2"/>
      <c r="C411" s="2"/>
      <c r="D411" s="2"/>
      <c r="E411" s="2"/>
      <c r="F411" s="2"/>
    </row>
    <row r="412" spans="1:6" ht="15.75" customHeight="1" x14ac:dyDescent="0.3">
      <c r="A412" s="2"/>
      <c r="B412" s="2"/>
      <c r="C412" s="2"/>
      <c r="D412" s="2"/>
      <c r="E412" s="2"/>
      <c r="F412" s="2"/>
    </row>
    <row r="413" spans="1:6" ht="15.75" customHeight="1" x14ac:dyDescent="0.3">
      <c r="A413" s="2"/>
      <c r="B413" s="2"/>
      <c r="C413" s="2"/>
      <c r="D413" s="2"/>
      <c r="E413" s="2"/>
      <c r="F413" s="2"/>
    </row>
    <row r="414" spans="1:6" ht="15.75" customHeight="1" x14ac:dyDescent="0.3">
      <c r="A414" s="2"/>
      <c r="B414" s="2"/>
      <c r="C414" s="2"/>
      <c r="D414" s="2"/>
      <c r="E414" s="2"/>
      <c r="F414" s="2"/>
    </row>
    <row r="415" spans="1:6" ht="15.75" customHeight="1" x14ac:dyDescent="0.3">
      <c r="A415" s="2"/>
      <c r="B415" s="2"/>
      <c r="C415" s="2"/>
      <c r="D415" s="2"/>
      <c r="E415" s="2"/>
      <c r="F415" s="2"/>
    </row>
    <row r="416" spans="1:6" ht="15.75" customHeight="1" x14ac:dyDescent="0.3">
      <c r="A416" s="2"/>
      <c r="B416" s="2"/>
      <c r="C416" s="2"/>
      <c r="D416" s="2"/>
      <c r="E416" s="2"/>
      <c r="F416" s="2"/>
    </row>
    <row r="417" spans="1:6" ht="15.75" customHeight="1" x14ac:dyDescent="0.3">
      <c r="A417" s="2"/>
      <c r="B417" s="2"/>
      <c r="C417" s="2"/>
      <c r="D417" s="2"/>
      <c r="E417" s="2"/>
      <c r="F417" s="2"/>
    </row>
    <row r="418" spans="1:6" ht="15.75" customHeight="1" x14ac:dyDescent="0.3">
      <c r="A418" s="2"/>
      <c r="B418" s="2"/>
      <c r="C418" s="2"/>
      <c r="D418" s="2"/>
      <c r="E418" s="2"/>
      <c r="F418" s="2"/>
    </row>
    <row r="419" spans="1:6" ht="15.75" customHeight="1" x14ac:dyDescent="0.3">
      <c r="A419" s="2"/>
      <c r="B419" s="2"/>
      <c r="C419" s="2"/>
      <c r="D419" s="2"/>
      <c r="E419" s="2"/>
      <c r="F419" s="2"/>
    </row>
    <row r="420" spans="1:6" ht="15.75" customHeight="1" x14ac:dyDescent="0.3">
      <c r="A420" s="2"/>
      <c r="B420" s="2"/>
      <c r="C420" s="2"/>
      <c r="D420" s="2"/>
      <c r="E420" s="2"/>
      <c r="F420" s="2"/>
    </row>
    <row r="421" spans="1:6" ht="15.75" customHeight="1" x14ac:dyDescent="0.3">
      <c r="A421" s="2"/>
      <c r="B421" s="2"/>
      <c r="C421" s="2"/>
      <c r="D421" s="2"/>
      <c r="E421" s="2"/>
      <c r="F421" s="2"/>
    </row>
    <row r="422" spans="1:6" ht="15.75" customHeight="1" x14ac:dyDescent="0.3">
      <c r="A422" s="2"/>
      <c r="B422" s="2"/>
      <c r="C422" s="2"/>
      <c r="D422" s="2"/>
      <c r="E422" s="2"/>
      <c r="F422" s="2"/>
    </row>
    <row r="423" spans="1:6" ht="15.75" customHeight="1" x14ac:dyDescent="0.3">
      <c r="A423" s="2"/>
      <c r="B423" s="2"/>
      <c r="C423" s="2"/>
      <c r="D423" s="2"/>
      <c r="E423" s="2"/>
      <c r="F423" s="2"/>
    </row>
    <row r="424" spans="1:6" ht="15.75" customHeight="1" x14ac:dyDescent="0.3">
      <c r="A424" s="2"/>
      <c r="B424" s="2"/>
      <c r="C424" s="2"/>
      <c r="D424" s="2"/>
      <c r="E424" s="2"/>
      <c r="F424" s="2"/>
    </row>
    <row r="425" spans="1:6" ht="15.75" customHeight="1" x14ac:dyDescent="0.3">
      <c r="A425" s="2"/>
      <c r="B425" s="2"/>
      <c r="C425" s="2"/>
      <c r="D425" s="2"/>
      <c r="E425" s="2"/>
      <c r="F425" s="2"/>
    </row>
    <row r="426" spans="1:6" ht="15.75" customHeight="1" x14ac:dyDescent="0.3">
      <c r="A426" s="2"/>
      <c r="B426" s="2"/>
      <c r="C426" s="2"/>
      <c r="D426" s="2"/>
      <c r="E426" s="2"/>
      <c r="F426" s="2"/>
    </row>
    <row r="427" spans="1:6" ht="15.75" customHeight="1" x14ac:dyDescent="0.3">
      <c r="A427" s="2"/>
      <c r="B427" s="2"/>
      <c r="C427" s="2"/>
      <c r="D427" s="2"/>
      <c r="E427" s="2"/>
      <c r="F427" s="2"/>
    </row>
    <row r="428" spans="1:6" ht="15.75" customHeight="1" x14ac:dyDescent="0.3">
      <c r="A428" s="2"/>
      <c r="B428" s="2"/>
      <c r="C428" s="2"/>
      <c r="D428" s="2"/>
      <c r="E428" s="2"/>
      <c r="F428" s="2"/>
    </row>
    <row r="429" spans="1:6" ht="15.75" customHeight="1" x14ac:dyDescent="0.3">
      <c r="A429" s="2"/>
      <c r="B429" s="2"/>
      <c r="C429" s="2"/>
      <c r="D429" s="2"/>
      <c r="E429" s="2"/>
      <c r="F429" s="2"/>
    </row>
    <row r="430" spans="1:6" ht="15.75" customHeight="1" x14ac:dyDescent="0.3">
      <c r="A430" s="2"/>
      <c r="B430" s="2"/>
      <c r="C430" s="2"/>
      <c r="D430" s="2"/>
      <c r="E430" s="2"/>
      <c r="F430" s="2"/>
    </row>
    <row r="431" spans="1:6" ht="15.75" customHeight="1" x14ac:dyDescent="0.3">
      <c r="A431" s="2"/>
      <c r="B431" s="2"/>
      <c r="C431" s="2"/>
      <c r="D431" s="2"/>
      <c r="E431" s="2"/>
      <c r="F431" s="2"/>
    </row>
    <row r="432" spans="1:6" ht="15.75" customHeight="1" x14ac:dyDescent="0.3">
      <c r="A432" s="2"/>
      <c r="B432" s="2"/>
      <c r="C432" s="2"/>
      <c r="D432" s="2"/>
      <c r="E432" s="2"/>
      <c r="F432" s="2"/>
    </row>
    <row r="433" spans="1:6" ht="15.75" customHeight="1" x14ac:dyDescent="0.3">
      <c r="A433" s="2"/>
      <c r="B433" s="2"/>
      <c r="C433" s="2"/>
      <c r="D433" s="2"/>
      <c r="E433" s="2"/>
      <c r="F433" s="2"/>
    </row>
    <row r="434" spans="1:6" ht="15.75" customHeight="1" x14ac:dyDescent="0.3">
      <c r="A434" s="2"/>
      <c r="B434" s="2"/>
      <c r="C434" s="2"/>
      <c r="D434" s="2"/>
      <c r="E434" s="2"/>
      <c r="F434" s="2"/>
    </row>
    <row r="435" spans="1:6" ht="15.75" customHeight="1" x14ac:dyDescent="0.3">
      <c r="A435" s="2"/>
      <c r="B435" s="2"/>
      <c r="C435" s="2"/>
      <c r="D435" s="2"/>
      <c r="E435" s="2"/>
      <c r="F435" s="2"/>
    </row>
    <row r="436" spans="1:6" ht="15.75" customHeight="1" x14ac:dyDescent="0.3">
      <c r="A436" s="2"/>
      <c r="B436" s="2"/>
      <c r="C436" s="2"/>
      <c r="D436" s="2"/>
      <c r="E436" s="2"/>
      <c r="F436" s="2"/>
    </row>
    <row r="437" spans="1:6" ht="15.75" customHeight="1" x14ac:dyDescent="0.3">
      <c r="A437" s="2"/>
      <c r="B437" s="2"/>
      <c r="C437" s="2"/>
      <c r="D437" s="2"/>
      <c r="E437" s="2"/>
      <c r="F437" s="2"/>
    </row>
    <row r="438" spans="1:6" ht="15.75" customHeight="1" x14ac:dyDescent="0.3">
      <c r="A438" s="2"/>
      <c r="B438" s="2"/>
      <c r="C438" s="2"/>
      <c r="D438" s="2"/>
      <c r="E438" s="2"/>
      <c r="F438" s="2"/>
    </row>
    <row r="439" spans="1:6" ht="15.75" customHeight="1" x14ac:dyDescent="0.3">
      <c r="A439" s="2"/>
      <c r="B439" s="2"/>
      <c r="C439" s="2"/>
      <c r="D439" s="2"/>
      <c r="E439" s="2"/>
      <c r="F439" s="2"/>
    </row>
    <row r="440" spans="1:6" ht="15.75" customHeight="1" x14ac:dyDescent="0.3">
      <c r="A440" s="2"/>
      <c r="B440" s="2"/>
      <c r="C440" s="2"/>
      <c r="D440" s="2"/>
      <c r="E440" s="2"/>
      <c r="F440" s="2"/>
    </row>
    <row r="441" spans="1:6" ht="15.75" customHeight="1" x14ac:dyDescent="0.3">
      <c r="A441" s="2"/>
      <c r="B441" s="2"/>
      <c r="C441" s="2"/>
      <c r="D441" s="2"/>
      <c r="E441" s="2"/>
      <c r="F441" s="2"/>
    </row>
    <row r="442" spans="1:6" ht="15.75" customHeight="1" x14ac:dyDescent="0.3">
      <c r="A442" s="2"/>
      <c r="B442" s="2"/>
      <c r="C442" s="2"/>
      <c r="D442" s="2"/>
      <c r="E442" s="2"/>
      <c r="F442" s="2"/>
    </row>
    <row r="443" spans="1:6" ht="15.75" customHeight="1" x14ac:dyDescent="0.3">
      <c r="A443" s="2"/>
      <c r="B443" s="2"/>
      <c r="C443" s="2"/>
      <c r="D443" s="2"/>
      <c r="E443" s="2"/>
      <c r="F443" s="2"/>
    </row>
    <row r="444" spans="1:6" ht="15.75" customHeight="1" x14ac:dyDescent="0.3">
      <c r="A444" s="2"/>
      <c r="B444" s="2"/>
      <c r="C444" s="2"/>
      <c r="D444" s="2"/>
      <c r="E444" s="2"/>
      <c r="F444" s="2"/>
    </row>
    <row r="445" spans="1:6" ht="15.75" customHeight="1" x14ac:dyDescent="0.3">
      <c r="A445" s="2"/>
      <c r="B445" s="2"/>
      <c r="C445" s="2"/>
      <c r="D445" s="2"/>
      <c r="E445" s="2"/>
      <c r="F445" s="2"/>
    </row>
    <row r="446" spans="1:6" ht="15.75" customHeight="1" x14ac:dyDescent="0.3">
      <c r="A446" s="2"/>
      <c r="B446" s="2"/>
      <c r="C446" s="2"/>
      <c r="D446" s="2"/>
      <c r="E446" s="2"/>
      <c r="F446" s="2"/>
    </row>
    <row r="447" spans="1:6" ht="15.75" customHeight="1" x14ac:dyDescent="0.3">
      <c r="A447" s="2"/>
      <c r="B447" s="2"/>
      <c r="C447" s="2"/>
      <c r="D447" s="2"/>
      <c r="E447" s="2"/>
      <c r="F447" s="2"/>
    </row>
    <row r="448" spans="1:6" ht="15.75" customHeight="1" x14ac:dyDescent="0.3">
      <c r="A448" s="2"/>
      <c r="B448" s="2"/>
      <c r="C448" s="2"/>
      <c r="D448" s="2"/>
      <c r="E448" s="2"/>
      <c r="F448" s="2"/>
    </row>
    <row r="449" spans="1:6" ht="15.75" customHeight="1" x14ac:dyDescent="0.3">
      <c r="A449" s="2"/>
      <c r="B449" s="2"/>
      <c r="C449" s="2"/>
      <c r="D449" s="2"/>
      <c r="E449" s="2"/>
      <c r="F449" s="2"/>
    </row>
    <row r="450" spans="1:6" ht="15.75" customHeight="1" x14ac:dyDescent="0.3">
      <c r="A450" s="2"/>
      <c r="B450" s="2"/>
      <c r="C450" s="2"/>
      <c r="D450" s="2"/>
      <c r="E450" s="2"/>
      <c r="F450" s="2"/>
    </row>
    <row r="451" spans="1:6" ht="15.75" customHeight="1" x14ac:dyDescent="0.3">
      <c r="A451" s="2"/>
      <c r="B451" s="2"/>
      <c r="C451" s="2"/>
      <c r="D451" s="2"/>
      <c r="E451" s="2"/>
      <c r="F451" s="2"/>
    </row>
    <row r="452" spans="1:6" ht="15.75" customHeight="1" x14ac:dyDescent="0.3">
      <c r="A452" s="2"/>
      <c r="B452" s="2"/>
      <c r="C452" s="2"/>
      <c r="D452" s="2"/>
      <c r="E452" s="2"/>
      <c r="F452" s="2"/>
    </row>
    <row r="453" spans="1:6" ht="15.75" customHeight="1" x14ac:dyDescent="0.3">
      <c r="A453" s="2"/>
      <c r="B453" s="2"/>
      <c r="C453" s="2"/>
      <c r="D453" s="2"/>
      <c r="E453" s="2"/>
      <c r="F453" s="2"/>
    </row>
    <row r="454" spans="1:6" ht="15.75" customHeight="1" x14ac:dyDescent="0.3">
      <c r="A454" s="2"/>
      <c r="B454" s="2"/>
      <c r="C454" s="2"/>
      <c r="D454" s="2"/>
      <c r="E454" s="2"/>
      <c r="F454" s="2"/>
    </row>
    <row r="455" spans="1:6" ht="15.75" customHeight="1" x14ac:dyDescent="0.3">
      <c r="A455" s="2"/>
      <c r="B455" s="2"/>
      <c r="C455" s="2"/>
      <c r="D455" s="2"/>
      <c r="E455" s="2"/>
      <c r="F455" s="2"/>
    </row>
    <row r="456" spans="1:6" ht="15.75" customHeight="1" x14ac:dyDescent="0.3">
      <c r="A456" s="2"/>
      <c r="B456" s="2"/>
      <c r="C456" s="2"/>
      <c r="D456" s="2"/>
      <c r="E456" s="2"/>
      <c r="F456" s="2"/>
    </row>
    <row r="457" spans="1:6" ht="15.75" customHeight="1" x14ac:dyDescent="0.3">
      <c r="A457" s="2"/>
      <c r="B457" s="2"/>
      <c r="C457" s="2"/>
      <c r="D457" s="2"/>
      <c r="E457" s="2"/>
      <c r="F457" s="2"/>
    </row>
    <row r="458" spans="1:6" ht="15.75" customHeight="1" x14ac:dyDescent="0.3">
      <c r="A458" s="2"/>
      <c r="B458" s="2"/>
      <c r="C458" s="2"/>
      <c r="D458" s="2"/>
      <c r="E458" s="2"/>
      <c r="F458" s="2"/>
    </row>
    <row r="459" spans="1:6" ht="15.75" customHeight="1" x14ac:dyDescent="0.3">
      <c r="A459" s="2"/>
      <c r="B459" s="2"/>
      <c r="C459" s="2"/>
      <c r="D459" s="2"/>
      <c r="E459" s="2"/>
      <c r="F459" s="2"/>
    </row>
    <row r="460" spans="1:6" ht="15.75" customHeight="1" x14ac:dyDescent="0.3">
      <c r="A460" s="2"/>
      <c r="B460" s="2"/>
      <c r="C460" s="2"/>
      <c r="D460" s="2"/>
      <c r="E460" s="2"/>
      <c r="F460" s="2"/>
    </row>
    <row r="461" spans="1:6" ht="15.75" customHeight="1" x14ac:dyDescent="0.3">
      <c r="A461" s="2"/>
      <c r="B461" s="2"/>
      <c r="C461" s="2"/>
      <c r="D461" s="2"/>
      <c r="E461" s="2"/>
      <c r="F461" s="2"/>
    </row>
    <row r="462" spans="1:6" ht="15.75" customHeight="1" x14ac:dyDescent="0.3">
      <c r="A462" s="2"/>
      <c r="B462" s="2"/>
      <c r="C462" s="2"/>
      <c r="D462" s="2"/>
      <c r="E462" s="2"/>
      <c r="F462" s="2"/>
    </row>
    <row r="463" spans="1:6" ht="15.75" customHeight="1" x14ac:dyDescent="0.3">
      <c r="A463" s="2"/>
      <c r="B463" s="2"/>
      <c r="C463" s="2"/>
      <c r="D463" s="2"/>
      <c r="E463" s="2"/>
      <c r="F463" s="2"/>
    </row>
    <row r="464" spans="1:6" ht="15.75" customHeight="1" x14ac:dyDescent="0.3">
      <c r="A464" s="2"/>
      <c r="B464" s="2"/>
      <c r="C464" s="2"/>
      <c r="D464" s="2"/>
      <c r="E464" s="2"/>
      <c r="F464" s="2"/>
    </row>
    <row r="465" spans="1:6" ht="15.75" customHeight="1" x14ac:dyDescent="0.3">
      <c r="A465" s="2"/>
      <c r="B465" s="2"/>
      <c r="C465" s="2"/>
      <c r="D465" s="2"/>
      <c r="E465" s="2"/>
      <c r="F465" s="2"/>
    </row>
    <row r="466" spans="1:6" ht="15.75" customHeight="1" x14ac:dyDescent="0.3">
      <c r="A466" s="2"/>
      <c r="B466" s="2"/>
      <c r="C466" s="2"/>
      <c r="D466" s="2"/>
      <c r="E466" s="2"/>
      <c r="F466" s="2"/>
    </row>
    <row r="467" spans="1:6" ht="15.75" customHeight="1" x14ac:dyDescent="0.3">
      <c r="A467" s="2"/>
      <c r="B467" s="2"/>
      <c r="C467" s="2"/>
      <c r="D467" s="2"/>
      <c r="E467" s="2"/>
      <c r="F467" s="2"/>
    </row>
    <row r="468" spans="1:6" ht="15.75" customHeight="1" x14ac:dyDescent="0.3">
      <c r="A468" s="2"/>
      <c r="B468" s="2"/>
      <c r="C468" s="2"/>
      <c r="D468" s="2"/>
      <c r="E468" s="2"/>
      <c r="F468" s="2"/>
    </row>
    <row r="469" spans="1:6" ht="15.75" customHeight="1" x14ac:dyDescent="0.3">
      <c r="A469" s="2"/>
      <c r="B469" s="2"/>
      <c r="C469" s="2"/>
      <c r="D469" s="2"/>
      <c r="E469" s="2"/>
      <c r="F469" s="2"/>
    </row>
    <row r="470" spans="1:6" ht="15.75" customHeight="1" x14ac:dyDescent="0.3">
      <c r="A470" s="2"/>
      <c r="B470" s="2"/>
      <c r="C470" s="2"/>
      <c r="D470" s="2"/>
      <c r="E470" s="2"/>
      <c r="F470" s="2"/>
    </row>
    <row r="471" spans="1:6" ht="15.75" customHeight="1" x14ac:dyDescent="0.3">
      <c r="A471" s="2"/>
      <c r="B471" s="2"/>
      <c r="C471" s="2"/>
      <c r="D471" s="2"/>
      <c r="E471" s="2"/>
      <c r="F471" s="2"/>
    </row>
    <row r="472" spans="1:6" ht="15.75" customHeight="1" x14ac:dyDescent="0.3">
      <c r="A472" s="2"/>
      <c r="B472" s="2"/>
      <c r="C472" s="2"/>
      <c r="D472" s="2"/>
      <c r="E472" s="2"/>
      <c r="F472" s="2"/>
    </row>
    <row r="473" spans="1:6" ht="15.75" customHeight="1" x14ac:dyDescent="0.3">
      <c r="A473" s="2"/>
      <c r="B473" s="2"/>
      <c r="C473" s="2"/>
      <c r="D473" s="2"/>
      <c r="E473" s="2"/>
      <c r="F473" s="2"/>
    </row>
    <row r="474" spans="1:6" ht="15.75" customHeight="1" x14ac:dyDescent="0.3">
      <c r="A474" s="2"/>
      <c r="B474" s="2"/>
      <c r="C474" s="2"/>
      <c r="D474" s="2"/>
      <c r="E474" s="2"/>
      <c r="F474" s="2"/>
    </row>
    <row r="475" spans="1:6" ht="15.75" customHeight="1" x14ac:dyDescent="0.3">
      <c r="A475" s="2"/>
      <c r="B475" s="2"/>
      <c r="C475" s="2"/>
      <c r="D475" s="2"/>
      <c r="E475" s="2"/>
      <c r="F475" s="2"/>
    </row>
    <row r="476" spans="1:6" ht="15.75" customHeight="1" x14ac:dyDescent="0.3">
      <c r="A476" s="2"/>
      <c r="B476" s="2"/>
      <c r="C476" s="2"/>
      <c r="D476" s="2"/>
      <c r="E476" s="2"/>
      <c r="F476" s="2"/>
    </row>
    <row r="477" spans="1:6" ht="15.75" customHeight="1" x14ac:dyDescent="0.3">
      <c r="A477" s="2"/>
      <c r="B477" s="2"/>
      <c r="C477" s="2"/>
      <c r="D477" s="2"/>
      <c r="E477" s="2"/>
      <c r="F477" s="2"/>
    </row>
    <row r="478" spans="1:6" ht="15.75" customHeight="1" x14ac:dyDescent="0.3">
      <c r="A478" s="2"/>
      <c r="B478" s="2"/>
      <c r="C478" s="2"/>
      <c r="D478" s="2"/>
      <c r="E478" s="2"/>
      <c r="F478" s="2"/>
    </row>
    <row r="479" spans="1:6" ht="15.75" customHeight="1" x14ac:dyDescent="0.3">
      <c r="A479" s="2"/>
      <c r="B479" s="2"/>
      <c r="C479" s="2"/>
      <c r="D479" s="2"/>
      <c r="E479" s="2"/>
      <c r="F479" s="2"/>
    </row>
    <row r="480" spans="1:6" ht="15.75" customHeight="1" x14ac:dyDescent="0.3">
      <c r="A480" s="2"/>
      <c r="B480" s="2"/>
      <c r="C480" s="2"/>
      <c r="D480" s="2"/>
      <c r="E480" s="2"/>
      <c r="F480" s="2"/>
    </row>
    <row r="481" spans="1:6" ht="15.75" customHeight="1" x14ac:dyDescent="0.3">
      <c r="A481" s="2"/>
      <c r="B481" s="2"/>
      <c r="C481" s="2"/>
      <c r="D481" s="2"/>
      <c r="E481" s="2"/>
      <c r="F481" s="2"/>
    </row>
    <row r="482" spans="1:6" ht="15.75" customHeight="1" x14ac:dyDescent="0.3">
      <c r="A482" s="2"/>
      <c r="B482" s="2"/>
      <c r="C482" s="2"/>
      <c r="D482" s="2"/>
      <c r="E482" s="2"/>
      <c r="F482" s="2"/>
    </row>
    <row r="483" spans="1:6" ht="15.75" customHeight="1" x14ac:dyDescent="0.3">
      <c r="A483" s="2"/>
      <c r="B483" s="2"/>
      <c r="C483" s="2"/>
      <c r="D483" s="2"/>
      <c r="E483" s="2"/>
      <c r="F483" s="2"/>
    </row>
    <row r="484" spans="1:6" ht="15.75" customHeight="1" x14ac:dyDescent="0.3">
      <c r="A484" s="2"/>
      <c r="B484" s="2"/>
      <c r="C484" s="2"/>
      <c r="D484" s="2"/>
      <c r="E484" s="2"/>
      <c r="F484" s="2"/>
    </row>
    <row r="485" spans="1:6" ht="15.75" customHeight="1" x14ac:dyDescent="0.3">
      <c r="A485" s="2"/>
      <c r="B485" s="2"/>
      <c r="C485" s="2"/>
      <c r="D485" s="2"/>
      <c r="E485" s="2"/>
      <c r="F485" s="2"/>
    </row>
    <row r="486" spans="1:6" ht="15.75" customHeight="1" x14ac:dyDescent="0.3">
      <c r="A486" s="2"/>
      <c r="B486" s="2"/>
      <c r="C486" s="2"/>
      <c r="D486" s="2"/>
      <c r="E486" s="2"/>
      <c r="F486" s="2"/>
    </row>
    <row r="487" spans="1:6" ht="15.75" customHeight="1" x14ac:dyDescent="0.3">
      <c r="A487" s="2"/>
      <c r="B487" s="2"/>
      <c r="C487" s="2"/>
      <c r="D487" s="2"/>
      <c r="E487" s="2"/>
      <c r="F487" s="2"/>
    </row>
    <row r="488" spans="1:6" ht="15.75" customHeight="1" x14ac:dyDescent="0.3">
      <c r="A488" s="2"/>
      <c r="B488" s="2"/>
      <c r="C488" s="2"/>
      <c r="D488" s="2"/>
      <c r="E488" s="2"/>
      <c r="F488" s="2"/>
    </row>
    <row r="489" spans="1:6" ht="15.75" customHeight="1" x14ac:dyDescent="0.3">
      <c r="A489" s="2"/>
      <c r="B489" s="2"/>
      <c r="C489" s="2"/>
      <c r="D489" s="2"/>
      <c r="E489" s="2"/>
      <c r="F489" s="2"/>
    </row>
    <row r="490" spans="1:6" ht="15.75" customHeight="1" x14ac:dyDescent="0.3">
      <c r="A490" s="2"/>
      <c r="B490" s="2"/>
      <c r="C490" s="2"/>
      <c r="D490" s="2"/>
      <c r="E490" s="2"/>
      <c r="F490" s="2"/>
    </row>
    <row r="491" spans="1:6" ht="15.75" customHeight="1" x14ac:dyDescent="0.3">
      <c r="A491" s="2"/>
      <c r="B491" s="2"/>
      <c r="C491" s="2"/>
      <c r="D491" s="2"/>
      <c r="E491" s="2"/>
      <c r="F491" s="2"/>
    </row>
    <row r="492" spans="1:6" ht="15.75" customHeight="1" x14ac:dyDescent="0.3">
      <c r="A492" s="2"/>
      <c r="B492" s="2"/>
      <c r="C492" s="2"/>
      <c r="D492" s="2"/>
      <c r="E492" s="2"/>
      <c r="F492" s="2"/>
    </row>
    <row r="493" spans="1:6" ht="15.75" customHeight="1" x14ac:dyDescent="0.3">
      <c r="A493" s="2"/>
      <c r="B493" s="2"/>
      <c r="C493" s="2"/>
      <c r="D493" s="2"/>
      <c r="E493" s="2"/>
      <c r="F493" s="2"/>
    </row>
    <row r="494" spans="1:6" ht="15.75" customHeight="1" x14ac:dyDescent="0.3">
      <c r="A494" s="2"/>
      <c r="B494" s="2"/>
      <c r="C494" s="2"/>
      <c r="D494" s="2"/>
      <c r="E494" s="2"/>
      <c r="F494" s="2"/>
    </row>
    <row r="495" spans="1:6" ht="15.75" customHeight="1" x14ac:dyDescent="0.3">
      <c r="A495" s="2"/>
      <c r="B495" s="2"/>
      <c r="C495" s="2"/>
      <c r="D495" s="2"/>
      <c r="E495" s="2"/>
      <c r="F495" s="2"/>
    </row>
    <row r="496" spans="1:6" ht="15.75" customHeight="1" x14ac:dyDescent="0.3">
      <c r="A496" s="2"/>
      <c r="B496" s="2"/>
      <c r="C496" s="2"/>
      <c r="D496" s="2"/>
      <c r="E496" s="2"/>
      <c r="F496" s="2"/>
    </row>
    <row r="497" spans="1:6" ht="15.75" customHeight="1" x14ac:dyDescent="0.3">
      <c r="A497" s="2"/>
      <c r="B497" s="2"/>
      <c r="C497" s="2"/>
      <c r="D497" s="2"/>
      <c r="E497" s="2"/>
      <c r="F497" s="2"/>
    </row>
    <row r="498" spans="1:6" ht="15.75" customHeight="1" x14ac:dyDescent="0.3">
      <c r="A498" s="2"/>
      <c r="B498" s="2"/>
      <c r="C498" s="2"/>
      <c r="D498" s="2"/>
      <c r="E498" s="2"/>
      <c r="F498" s="2"/>
    </row>
    <row r="499" spans="1:6" ht="15.75" customHeight="1" x14ac:dyDescent="0.3">
      <c r="A499" s="2"/>
      <c r="B499" s="2"/>
      <c r="C499" s="2"/>
      <c r="D499" s="2"/>
      <c r="E499" s="2"/>
      <c r="F499" s="2"/>
    </row>
    <row r="500" spans="1:6" ht="15.75" customHeight="1" x14ac:dyDescent="0.3">
      <c r="A500" s="2"/>
      <c r="B500" s="2"/>
      <c r="C500" s="2"/>
      <c r="D500" s="2"/>
      <c r="E500" s="2"/>
      <c r="F500" s="2"/>
    </row>
    <row r="501" spans="1:6" ht="15.75" customHeight="1" x14ac:dyDescent="0.3">
      <c r="A501" s="2"/>
      <c r="B501" s="2"/>
      <c r="C501" s="2"/>
      <c r="D501" s="2"/>
      <c r="E501" s="2"/>
      <c r="F501" s="2"/>
    </row>
    <row r="502" spans="1:6" ht="15.75" customHeight="1" x14ac:dyDescent="0.3">
      <c r="A502" s="2"/>
      <c r="B502" s="2"/>
      <c r="C502" s="2"/>
      <c r="D502" s="2"/>
      <c r="E502" s="2"/>
      <c r="F502" s="2"/>
    </row>
    <row r="503" spans="1:6" ht="15.75" customHeight="1" x14ac:dyDescent="0.3">
      <c r="A503" s="2"/>
      <c r="B503" s="2"/>
      <c r="C503" s="2"/>
      <c r="D503" s="2"/>
      <c r="E503" s="2"/>
      <c r="F503" s="2"/>
    </row>
    <row r="504" spans="1:6" ht="15.75" customHeight="1" x14ac:dyDescent="0.3">
      <c r="A504" s="2"/>
      <c r="B504" s="2"/>
      <c r="C504" s="2"/>
      <c r="D504" s="2"/>
      <c r="E504" s="2"/>
      <c r="F504" s="2"/>
    </row>
    <row r="505" spans="1:6" ht="15.75" customHeight="1" x14ac:dyDescent="0.3">
      <c r="A505" s="2"/>
      <c r="B505" s="2"/>
      <c r="C505" s="2"/>
      <c r="D505" s="2"/>
      <c r="E505" s="2"/>
      <c r="F505" s="2"/>
    </row>
    <row r="506" spans="1:6" ht="15.75" customHeight="1" x14ac:dyDescent="0.3">
      <c r="A506" s="2"/>
      <c r="B506" s="2"/>
      <c r="C506" s="2"/>
      <c r="D506" s="2"/>
      <c r="E506" s="2"/>
      <c r="F506" s="2"/>
    </row>
    <row r="507" spans="1:6" ht="15.75" customHeight="1" x14ac:dyDescent="0.3">
      <c r="A507" s="2"/>
      <c r="B507" s="2"/>
      <c r="C507" s="2"/>
      <c r="D507" s="2"/>
      <c r="E507" s="2"/>
      <c r="F507" s="2"/>
    </row>
    <row r="508" spans="1:6" ht="15.75" customHeight="1" x14ac:dyDescent="0.3">
      <c r="A508" s="2"/>
      <c r="B508" s="2"/>
      <c r="C508" s="2"/>
      <c r="D508" s="2"/>
      <c r="E508" s="2"/>
      <c r="F508" s="2"/>
    </row>
    <row r="509" spans="1:6" ht="15.75" customHeight="1" x14ac:dyDescent="0.3">
      <c r="A509" s="2"/>
      <c r="B509" s="2"/>
      <c r="C509" s="2"/>
      <c r="D509" s="2"/>
      <c r="E509" s="2"/>
      <c r="F509" s="2"/>
    </row>
    <row r="510" spans="1:6" ht="15.75" customHeight="1" x14ac:dyDescent="0.3">
      <c r="A510" s="2"/>
      <c r="B510" s="2"/>
      <c r="C510" s="2"/>
      <c r="D510" s="2"/>
      <c r="E510" s="2"/>
      <c r="F510" s="2"/>
    </row>
    <row r="511" spans="1:6" ht="15.75" customHeight="1" x14ac:dyDescent="0.3">
      <c r="A511" s="2"/>
      <c r="B511" s="2"/>
      <c r="C511" s="2"/>
      <c r="D511" s="2"/>
      <c r="E511" s="2"/>
      <c r="F511" s="2"/>
    </row>
    <row r="512" spans="1:6" ht="15.75" customHeight="1" x14ac:dyDescent="0.3">
      <c r="A512" s="2"/>
      <c r="B512" s="2"/>
      <c r="C512" s="2"/>
      <c r="D512" s="2"/>
      <c r="E512" s="2"/>
      <c r="F512" s="2"/>
    </row>
    <row r="513" spans="1:6" ht="15.75" customHeight="1" x14ac:dyDescent="0.3">
      <c r="A513" s="2"/>
      <c r="B513" s="2"/>
      <c r="C513" s="2"/>
      <c r="D513" s="2"/>
      <c r="E513" s="2"/>
      <c r="F513" s="2"/>
    </row>
    <row r="514" spans="1:6" ht="15.75" customHeight="1" x14ac:dyDescent="0.3">
      <c r="A514" s="2"/>
      <c r="B514" s="2"/>
      <c r="C514" s="2"/>
      <c r="D514" s="2"/>
      <c r="E514" s="2"/>
      <c r="F514" s="2"/>
    </row>
    <row r="515" spans="1:6" ht="15.75" customHeight="1" x14ac:dyDescent="0.3">
      <c r="A515" s="2"/>
      <c r="B515" s="2"/>
      <c r="C515" s="2"/>
      <c r="D515" s="2"/>
      <c r="E515" s="2"/>
      <c r="F515" s="2"/>
    </row>
    <row r="516" spans="1:6" ht="15.75" customHeight="1" x14ac:dyDescent="0.3">
      <c r="A516" s="2"/>
      <c r="B516" s="2"/>
      <c r="C516" s="2"/>
      <c r="D516" s="2"/>
      <c r="E516" s="2"/>
      <c r="F516" s="2"/>
    </row>
    <row r="517" spans="1:6" ht="15.75" customHeight="1" x14ac:dyDescent="0.3">
      <c r="A517" s="2"/>
      <c r="B517" s="2"/>
      <c r="C517" s="2"/>
      <c r="D517" s="2"/>
      <c r="E517" s="2"/>
      <c r="F517" s="2"/>
    </row>
    <row r="518" spans="1:6" ht="15.75" customHeight="1" x14ac:dyDescent="0.3">
      <c r="A518" s="2"/>
      <c r="B518" s="2"/>
      <c r="C518" s="2"/>
      <c r="D518" s="2"/>
      <c r="E518" s="2"/>
      <c r="F518" s="2"/>
    </row>
    <row r="519" spans="1:6" ht="15.75" customHeight="1" x14ac:dyDescent="0.3">
      <c r="A519" s="2"/>
      <c r="B519" s="2"/>
      <c r="C519" s="2"/>
      <c r="D519" s="2"/>
      <c r="E519" s="2"/>
      <c r="F519" s="2"/>
    </row>
    <row r="520" spans="1:6" ht="15.75" customHeight="1" x14ac:dyDescent="0.3">
      <c r="A520" s="2"/>
      <c r="B520" s="2"/>
      <c r="C520" s="2"/>
      <c r="D520" s="2"/>
      <c r="E520" s="2"/>
      <c r="F520" s="2"/>
    </row>
    <row r="521" spans="1:6" ht="15.75" customHeight="1" x14ac:dyDescent="0.3">
      <c r="A521" s="2"/>
      <c r="B521" s="2"/>
      <c r="C521" s="2"/>
      <c r="D521" s="2"/>
      <c r="E521" s="2"/>
      <c r="F521" s="2"/>
    </row>
    <row r="522" spans="1:6" ht="15.75" customHeight="1" x14ac:dyDescent="0.3">
      <c r="A522" s="2"/>
      <c r="B522" s="2"/>
      <c r="C522" s="2"/>
      <c r="D522" s="2"/>
      <c r="E522" s="2"/>
      <c r="F522" s="2"/>
    </row>
    <row r="523" spans="1:6" ht="15.75" customHeight="1" x14ac:dyDescent="0.3">
      <c r="A523" s="2"/>
      <c r="B523" s="2"/>
      <c r="C523" s="2"/>
      <c r="D523" s="2"/>
      <c r="E523" s="2"/>
      <c r="F523" s="2"/>
    </row>
    <row r="524" spans="1:6" ht="15.75" customHeight="1" x14ac:dyDescent="0.3">
      <c r="A524" s="2"/>
      <c r="B524" s="2"/>
      <c r="C524" s="2"/>
      <c r="D524" s="2"/>
      <c r="E524" s="2"/>
      <c r="F524" s="2"/>
    </row>
    <row r="525" spans="1:6" ht="15.75" customHeight="1" x14ac:dyDescent="0.3">
      <c r="A525" s="2"/>
      <c r="B525" s="2"/>
      <c r="C525" s="2"/>
      <c r="D525" s="2"/>
      <c r="E525" s="2"/>
      <c r="F525" s="2"/>
    </row>
    <row r="526" spans="1:6" ht="15.75" customHeight="1" x14ac:dyDescent="0.3">
      <c r="A526" s="2"/>
      <c r="B526" s="2"/>
      <c r="C526" s="2"/>
      <c r="D526" s="2"/>
      <c r="E526" s="2"/>
      <c r="F526" s="2"/>
    </row>
    <row r="527" spans="1:6" ht="15.75" customHeight="1" x14ac:dyDescent="0.3">
      <c r="A527" s="2"/>
      <c r="B527" s="2"/>
      <c r="C527" s="2"/>
      <c r="D527" s="2"/>
      <c r="E527" s="2"/>
      <c r="F527" s="2"/>
    </row>
    <row r="528" spans="1:6" ht="15.75" customHeight="1" x14ac:dyDescent="0.3">
      <c r="A528" s="2"/>
      <c r="B528" s="2"/>
      <c r="C528" s="2"/>
      <c r="D528" s="2"/>
      <c r="E528" s="2"/>
      <c r="F528" s="2"/>
    </row>
    <row r="529" spans="1:6" ht="15.75" customHeight="1" x14ac:dyDescent="0.3">
      <c r="A529" s="2"/>
      <c r="B529" s="2"/>
      <c r="C529" s="2"/>
      <c r="D529" s="2"/>
      <c r="E529" s="2"/>
      <c r="F529" s="2"/>
    </row>
    <row r="530" spans="1:6" ht="15.75" customHeight="1" x14ac:dyDescent="0.3">
      <c r="A530" s="2"/>
      <c r="B530" s="2"/>
      <c r="C530" s="2"/>
      <c r="D530" s="2"/>
      <c r="E530" s="2"/>
      <c r="F530" s="2"/>
    </row>
    <row r="531" spans="1:6" ht="15.75" customHeight="1" x14ac:dyDescent="0.3">
      <c r="A531" s="2"/>
      <c r="B531" s="2"/>
      <c r="C531" s="2"/>
      <c r="D531" s="2"/>
      <c r="E531" s="2"/>
      <c r="F531" s="2"/>
    </row>
    <row r="532" spans="1:6" ht="15.75" customHeight="1" x14ac:dyDescent="0.3">
      <c r="A532" s="2"/>
      <c r="B532" s="2"/>
      <c r="C532" s="2"/>
      <c r="D532" s="2"/>
      <c r="E532" s="2"/>
      <c r="F532" s="2"/>
    </row>
    <row r="533" spans="1:6" ht="15.75" customHeight="1" x14ac:dyDescent="0.3">
      <c r="A533" s="2"/>
      <c r="B533" s="2"/>
      <c r="C533" s="2"/>
      <c r="D533" s="2"/>
      <c r="E533" s="2"/>
      <c r="F533" s="2"/>
    </row>
    <row r="534" spans="1:6" ht="15.75" customHeight="1" x14ac:dyDescent="0.3">
      <c r="A534" s="2"/>
      <c r="B534" s="2"/>
      <c r="C534" s="2"/>
      <c r="D534" s="2"/>
      <c r="E534" s="2"/>
      <c r="F534" s="2"/>
    </row>
    <row r="535" spans="1:6" ht="15.75" customHeight="1" x14ac:dyDescent="0.3">
      <c r="A535" s="2"/>
      <c r="B535" s="2"/>
      <c r="C535" s="2"/>
      <c r="D535" s="2"/>
      <c r="E535" s="2"/>
      <c r="F535" s="2"/>
    </row>
    <row r="536" spans="1:6" ht="15.75" customHeight="1" x14ac:dyDescent="0.3">
      <c r="A536" s="2"/>
      <c r="B536" s="2"/>
      <c r="C536" s="2"/>
      <c r="D536" s="2"/>
      <c r="E536" s="2"/>
      <c r="F536" s="2"/>
    </row>
    <row r="537" spans="1:6" ht="15.75" customHeight="1" x14ac:dyDescent="0.3">
      <c r="A537" s="2"/>
      <c r="B537" s="2"/>
      <c r="C537" s="2"/>
      <c r="D537" s="2"/>
      <c r="E537" s="2"/>
      <c r="F537" s="2"/>
    </row>
    <row r="538" spans="1:6" ht="15.75" customHeight="1" x14ac:dyDescent="0.3">
      <c r="A538" s="2"/>
      <c r="B538" s="2"/>
      <c r="C538" s="2"/>
      <c r="D538" s="2"/>
      <c r="E538" s="2"/>
      <c r="F538" s="2"/>
    </row>
    <row r="539" spans="1:6" ht="15.75" customHeight="1" x14ac:dyDescent="0.3">
      <c r="A539" s="2"/>
      <c r="B539" s="2"/>
      <c r="C539" s="2"/>
      <c r="D539" s="2"/>
      <c r="E539" s="2"/>
      <c r="F539" s="2"/>
    </row>
    <row r="540" spans="1:6" ht="15.75" customHeight="1" x14ac:dyDescent="0.3">
      <c r="A540" s="2"/>
      <c r="B540" s="2"/>
      <c r="C540" s="2"/>
      <c r="D540" s="2"/>
      <c r="E540" s="2"/>
      <c r="F540" s="2"/>
    </row>
    <row r="541" spans="1:6" ht="15.75" customHeight="1" x14ac:dyDescent="0.3">
      <c r="A541" s="2"/>
      <c r="B541" s="2"/>
      <c r="C541" s="2"/>
      <c r="D541" s="2"/>
      <c r="E541" s="2"/>
      <c r="F541" s="2"/>
    </row>
    <row r="542" spans="1:6" ht="15.75" customHeight="1" x14ac:dyDescent="0.3">
      <c r="A542" s="2"/>
      <c r="B542" s="2"/>
      <c r="C542" s="2"/>
      <c r="D542" s="2"/>
      <c r="E542" s="2"/>
      <c r="F542" s="2"/>
    </row>
    <row r="543" spans="1:6" ht="15.75" customHeight="1" x14ac:dyDescent="0.3">
      <c r="A543" s="2"/>
      <c r="B543" s="2"/>
      <c r="C543" s="2"/>
      <c r="D543" s="2"/>
      <c r="E543" s="2"/>
      <c r="F543" s="2"/>
    </row>
    <row r="544" spans="1:6" ht="15.75" customHeight="1" x14ac:dyDescent="0.3">
      <c r="A544" s="2"/>
      <c r="B544" s="2"/>
      <c r="C544" s="2"/>
      <c r="D544" s="2"/>
      <c r="E544" s="2"/>
      <c r="F544" s="2"/>
    </row>
    <row r="545" spans="1:6" ht="15.75" customHeight="1" x14ac:dyDescent="0.3">
      <c r="A545" s="2"/>
      <c r="B545" s="2"/>
      <c r="C545" s="2"/>
      <c r="D545" s="2"/>
      <c r="E545" s="2"/>
      <c r="F545" s="2"/>
    </row>
    <row r="546" spans="1:6" ht="15.75" customHeight="1" x14ac:dyDescent="0.3">
      <c r="A546" s="2"/>
      <c r="B546" s="2"/>
      <c r="C546" s="2"/>
      <c r="D546" s="2"/>
      <c r="E546" s="2"/>
      <c r="F546" s="2"/>
    </row>
    <row r="547" spans="1:6" ht="15.75" customHeight="1" x14ac:dyDescent="0.3">
      <c r="A547" s="2"/>
      <c r="B547" s="2"/>
      <c r="C547" s="2"/>
      <c r="D547" s="2"/>
      <c r="E547" s="2"/>
      <c r="F547" s="2"/>
    </row>
    <row r="548" spans="1:6" ht="15.75" customHeight="1" x14ac:dyDescent="0.3">
      <c r="A548" s="2"/>
      <c r="B548" s="2"/>
      <c r="C548" s="2"/>
      <c r="D548" s="2"/>
      <c r="E548" s="2"/>
      <c r="F548" s="2"/>
    </row>
    <row r="549" spans="1:6" ht="15.75" customHeight="1" x14ac:dyDescent="0.3">
      <c r="A549" s="2"/>
      <c r="B549" s="2"/>
      <c r="C549" s="2"/>
      <c r="D549" s="2"/>
      <c r="E549" s="2"/>
      <c r="F549" s="2"/>
    </row>
    <row r="550" spans="1:6" ht="15.75" customHeight="1" x14ac:dyDescent="0.3">
      <c r="A550" s="2"/>
      <c r="B550" s="2"/>
      <c r="C550" s="2"/>
      <c r="D550" s="2"/>
      <c r="E550" s="2"/>
      <c r="F550" s="2"/>
    </row>
    <row r="551" spans="1:6" ht="15.75" customHeight="1" x14ac:dyDescent="0.3">
      <c r="A551" s="2"/>
      <c r="B551" s="2"/>
      <c r="C551" s="2"/>
      <c r="D551" s="2"/>
      <c r="E551" s="2"/>
      <c r="F551" s="2"/>
    </row>
    <row r="552" spans="1:6" ht="15.75" customHeight="1" x14ac:dyDescent="0.3">
      <c r="A552" s="2"/>
      <c r="B552" s="2"/>
      <c r="C552" s="2"/>
      <c r="D552" s="2"/>
      <c r="E552" s="2"/>
      <c r="F552" s="2"/>
    </row>
    <row r="553" spans="1:6" ht="15.75" customHeight="1" x14ac:dyDescent="0.3">
      <c r="A553" s="2"/>
      <c r="B553" s="2"/>
      <c r="C553" s="2"/>
      <c r="D553" s="2"/>
      <c r="E553" s="2"/>
      <c r="F553" s="2"/>
    </row>
    <row r="554" spans="1:6" ht="15.75" customHeight="1" x14ac:dyDescent="0.3">
      <c r="A554" s="2"/>
      <c r="B554" s="2"/>
      <c r="C554" s="2"/>
      <c r="D554" s="2"/>
      <c r="E554" s="2"/>
      <c r="F554" s="2"/>
    </row>
    <row r="555" spans="1:6" ht="15.75" customHeight="1" x14ac:dyDescent="0.3">
      <c r="A555" s="2"/>
      <c r="B555" s="2"/>
      <c r="C555" s="2"/>
      <c r="D555" s="2"/>
      <c r="E555" s="2"/>
      <c r="F555" s="2"/>
    </row>
    <row r="556" spans="1:6" ht="15.75" customHeight="1" x14ac:dyDescent="0.3">
      <c r="A556" s="2"/>
      <c r="B556" s="2"/>
      <c r="C556" s="2"/>
      <c r="D556" s="2"/>
      <c r="E556" s="2"/>
      <c r="F556" s="2"/>
    </row>
    <row r="557" spans="1:6" ht="15.75" customHeight="1" x14ac:dyDescent="0.3">
      <c r="A557" s="2"/>
      <c r="B557" s="2"/>
      <c r="C557" s="2"/>
      <c r="D557" s="2"/>
      <c r="E557" s="2"/>
      <c r="F557" s="2"/>
    </row>
    <row r="558" spans="1:6" ht="15.75" customHeight="1" x14ac:dyDescent="0.3">
      <c r="A558" s="2"/>
      <c r="B558" s="2"/>
      <c r="C558" s="2"/>
      <c r="D558" s="2"/>
      <c r="E558" s="2"/>
      <c r="F558" s="2"/>
    </row>
    <row r="559" spans="1:6" ht="15.75" customHeight="1" x14ac:dyDescent="0.3">
      <c r="A559" s="2"/>
      <c r="B559" s="2"/>
      <c r="C559" s="2"/>
      <c r="D559" s="2"/>
      <c r="E559" s="2"/>
      <c r="F559" s="2"/>
    </row>
    <row r="560" spans="1:6" ht="15.75" customHeight="1" x14ac:dyDescent="0.3">
      <c r="A560" s="2"/>
      <c r="B560" s="2"/>
      <c r="C560" s="2"/>
      <c r="D560" s="2"/>
      <c r="E560" s="2"/>
      <c r="F560" s="2"/>
    </row>
    <row r="561" spans="1:6" ht="15.75" customHeight="1" x14ac:dyDescent="0.3">
      <c r="A561" s="2"/>
      <c r="B561" s="2"/>
      <c r="C561" s="2"/>
      <c r="D561" s="2"/>
      <c r="E561" s="2"/>
      <c r="F561" s="2"/>
    </row>
    <row r="562" spans="1:6" ht="15.75" customHeight="1" x14ac:dyDescent="0.3">
      <c r="A562" s="2"/>
      <c r="B562" s="2"/>
      <c r="C562" s="2"/>
      <c r="D562" s="2"/>
      <c r="E562" s="2"/>
      <c r="F562" s="2"/>
    </row>
    <row r="563" spans="1:6" ht="15.75" customHeight="1" x14ac:dyDescent="0.3">
      <c r="A563" s="2"/>
      <c r="B563" s="2"/>
      <c r="C563" s="2"/>
      <c r="D563" s="2"/>
      <c r="E563" s="2"/>
      <c r="F563" s="2"/>
    </row>
    <row r="564" spans="1:6" ht="15.75" customHeight="1" x14ac:dyDescent="0.3">
      <c r="A564" s="2"/>
      <c r="B564" s="2"/>
      <c r="C564" s="2"/>
      <c r="D564" s="2"/>
      <c r="E564" s="2"/>
      <c r="F564" s="2"/>
    </row>
    <row r="565" spans="1:6" ht="15.75" customHeight="1" x14ac:dyDescent="0.3">
      <c r="A565" s="2"/>
      <c r="B565" s="2"/>
      <c r="C565" s="2"/>
      <c r="D565" s="2"/>
      <c r="E565" s="2"/>
      <c r="F565" s="2"/>
    </row>
    <row r="566" spans="1:6" ht="15.75" customHeight="1" x14ac:dyDescent="0.3">
      <c r="A566" s="2"/>
      <c r="B566" s="2"/>
      <c r="C566" s="2"/>
      <c r="D566" s="2"/>
      <c r="E566" s="2"/>
      <c r="F566" s="2"/>
    </row>
    <row r="567" spans="1:6" ht="15.75" customHeight="1" x14ac:dyDescent="0.3">
      <c r="A567" s="2"/>
      <c r="B567" s="2"/>
      <c r="C567" s="2"/>
      <c r="D567" s="2"/>
      <c r="E567" s="2"/>
      <c r="F567" s="2"/>
    </row>
    <row r="568" spans="1:6" ht="15.75" customHeight="1" x14ac:dyDescent="0.3">
      <c r="A568" s="2"/>
      <c r="B568" s="2"/>
      <c r="C568" s="2"/>
      <c r="D568" s="2"/>
      <c r="E568" s="2"/>
      <c r="F568" s="2"/>
    </row>
    <row r="569" spans="1:6" ht="15.75" customHeight="1" x14ac:dyDescent="0.3">
      <c r="A569" s="2"/>
      <c r="B569" s="2"/>
      <c r="C569" s="2"/>
      <c r="D569" s="2"/>
      <c r="E569" s="2"/>
      <c r="F569" s="2"/>
    </row>
    <row r="570" spans="1:6" ht="15.75" customHeight="1" x14ac:dyDescent="0.3">
      <c r="A570" s="2"/>
      <c r="B570" s="2"/>
      <c r="C570" s="2"/>
      <c r="D570" s="2"/>
      <c r="E570" s="2"/>
      <c r="F570" s="2"/>
    </row>
    <row r="571" spans="1:6" ht="15.75" customHeight="1" x14ac:dyDescent="0.3">
      <c r="A571" s="2"/>
      <c r="B571" s="2"/>
      <c r="C571" s="2"/>
      <c r="D571" s="2"/>
      <c r="E571" s="2"/>
      <c r="F571" s="2"/>
    </row>
    <row r="572" spans="1:6" ht="15.75" customHeight="1" x14ac:dyDescent="0.3">
      <c r="A572" s="2"/>
      <c r="B572" s="2"/>
      <c r="C572" s="2"/>
      <c r="D572" s="2"/>
      <c r="E572" s="2"/>
      <c r="F572" s="2"/>
    </row>
    <row r="573" spans="1:6" ht="15.75" customHeight="1" x14ac:dyDescent="0.3">
      <c r="A573" s="2"/>
      <c r="B573" s="2"/>
      <c r="C573" s="2"/>
      <c r="D573" s="2"/>
      <c r="E573" s="2"/>
      <c r="F573" s="2"/>
    </row>
    <row r="574" spans="1:6" ht="15.75" customHeight="1" x14ac:dyDescent="0.3">
      <c r="A574" s="2"/>
      <c r="B574" s="2"/>
      <c r="C574" s="2"/>
      <c r="D574" s="2"/>
      <c r="E574" s="2"/>
      <c r="F574" s="2"/>
    </row>
    <row r="575" spans="1:6" ht="15.75" customHeight="1" x14ac:dyDescent="0.3">
      <c r="A575" s="2"/>
      <c r="B575" s="2"/>
      <c r="C575" s="2"/>
      <c r="D575" s="2"/>
      <c r="E575" s="2"/>
      <c r="F575" s="2"/>
    </row>
    <row r="576" spans="1:6" ht="15.75" customHeight="1" x14ac:dyDescent="0.3">
      <c r="A576" s="2"/>
      <c r="B576" s="2"/>
      <c r="C576" s="2"/>
      <c r="D576" s="2"/>
      <c r="E576" s="2"/>
      <c r="F576" s="2"/>
    </row>
    <row r="577" spans="1:6" ht="15.75" customHeight="1" x14ac:dyDescent="0.3">
      <c r="A577" s="2"/>
      <c r="B577" s="2"/>
      <c r="C577" s="2"/>
      <c r="D577" s="2"/>
      <c r="E577" s="2"/>
      <c r="F577" s="2"/>
    </row>
    <row r="578" spans="1:6" ht="15.75" customHeight="1" x14ac:dyDescent="0.3">
      <c r="A578" s="2"/>
      <c r="B578" s="2"/>
      <c r="C578" s="2"/>
      <c r="D578" s="2"/>
      <c r="E578" s="2"/>
      <c r="F578" s="2"/>
    </row>
    <row r="579" spans="1:6" ht="15.75" customHeight="1" x14ac:dyDescent="0.3">
      <c r="A579" s="2"/>
      <c r="B579" s="2"/>
      <c r="C579" s="2"/>
      <c r="D579" s="2"/>
      <c r="E579" s="2"/>
      <c r="F579" s="2"/>
    </row>
    <row r="580" spans="1:6" ht="15.75" customHeight="1" x14ac:dyDescent="0.3">
      <c r="A580" s="2"/>
      <c r="B580" s="2"/>
      <c r="C580" s="2"/>
      <c r="D580" s="2"/>
      <c r="E580" s="2"/>
      <c r="F580" s="2"/>
    </row>
    <row r="581" spans="1:6" ht="15.75" customHeight="1" x14ac:dyDescent="0.3">
      <c r="A581" s="2"/>
      <c r="B581" s="2"/>
      <c r="C581" s="2"/>
      <c r="D581" s="2"/>
      <c r="E581" s="2"/>
      <c r="F581" s="2"/>
    </row>
    <row r="582" spans="1:6" ht="15.75" customHeight="1" x14ac:dyDescent="0.3">
      <c r="A582" s="2"/>
      <c r="B582" s="2"/>
      <c r="C582" s="2"/>
      <c r="D582" s="2"/>
      <c r="E582" s="2"/>
      <c r="F582" s="2"/>
    </row>
    <row r="583" spans="1:6" ht="15.75" customHeight="1" x14ac:dyDescent="0.3">
      <c r="A583" s="2"/>
      <c r="B583" s="2"/>
      <c r="C583" s="2"/>
      <c r="D583" s="2"/>
      <c r="E583" s="2"/>
      <c r="F583" s="2"/>
    </row>
    <row r="584" spans="1:6" ht="15.75" customHeight="1" x14ac:dyDescent="0.3">
      <c r="A584" s="2"/>
      <c r="B584" s="2"/>
      <c r="C584" s="2"/>
      <c r="D584" s="2"/>
      <c r="E584" s="2"/>
      <c r="F584" s="2"/>
    </row>
    <row r="585" spans="1:6" ht="15.75" customHeight="1" x14ac:dyDescent="0.3">
      <c r="A585" s="2"/>
      <c r="B585" s="2"/>
      <c r="C585" s="2"/>
      <c r="D585" s="2"/>
      <c r="E585" s="2"/>
      <c r="F585" s="2"/>
    </row>
    <row r="586" spans="1:6" ht="15.75" customHeight="1" x14ac:dyDescent="0.3">
      <c r="A586" s="2"/>
      <c r="B586" s="2"/>
      <c r="C586" s="2"/>
      <c r="D586" s="2"/>
      <c r="E586" s="2"/>
      <c r="F586" s="2"/>
    </row>
    <row r="587" spans="1:6" ht="15.75" customHeight="1" x14ac:dyDescent="0.3">
      <c r="A587" s="2"/>
      <c r="B587" s="2"/>
      <c r="C587" s="2"/>
      <c r="D587" s="2"/>
      <c r="E587" s="2"/>
      <c r="F587" s="2"/>
    </row>
    <row r="588" spans="1:6" ht="15.75" customHeight="1" x14ac:dyDescent="0.3">
      <c r="A588" s="2"/>
      <c r="B588" s="2"/>
      <c r="C588" s="2"/>
      <c r="D588" s="2"/>
      <c r="E588" s="2"/>
      <c r="F588" s="2"/>
    </row>
    <row r="589" spans="1:6" ht="15.75" customHeight="1" x14ac:dyDescent="0.3">
      <c r="A589" s="2"/>
      <c r="B589" s="2"/>
      <c r="C589" s="2"/>
      <c r="D589" s="2"/>
      <c r="E589" s="2"/>
      <c r="F589" s="2"/>
    </row>
    <row r="590" spans="1:6" ht="15.75" customHeight="1" x14ac:dyDescent="0.3">
      <c r="A590" s="2"/>
      <c r="B590" s="2"/>
      <c r="C590" s="2"/>
      <c r="D590" s="2"/>
      <c r="E590" s="2"/>
      <c r="F590" s="2"/>
    </row>
    <row r="591" spans="1:6" ht="15.75" customHeight="1" x14ac:dyDescent="0.3">
      <c r="A591" s="2"/>
      <c r="B591" s="2"/>
      <c r="C591" s="2"/>
      <c r="D591" s="2"/>
      <c r="E591" s="2"/>
      <c r="F591" s="2"/>
    </row>
    <row r="592" spans="1:6" ht="15.75" customHeight="1" x14ac:dyDescent="0.3">
      <c r="A592" s="2"/>
      <c r="B592" s="2"/>
      <c r="C592" s="2"/>
      <c r="D592" s="2"/>
      <c r="E592" s="2"/>
      <c r="F592" s="2"/>
    </row>
    <row r="593" spans="1:6" ht="15.75" customHeight="1" x14ac:dyDescent="0.3">
      <c r="A593" s="2"/>
      <c r="B593" s="2"/>
      <c r="C593" s="2"/>
      <c r="D593" s="2"/>
      <c r="E593" s="2"/>
      <c r="F593" s="2"/>
    </row>
    <row r="594" spans="1:6" ht="15.75" customHeight="1" x14ac:dyDescent="0.3">
      <c r="A594" s="2"/>
      <c r="B594" s="2"/>
      <c r="C594" s="2"/>
      <c r="D594" s="2"/>
      <c r="E594" s="2"/>
      <c r="F594" s="2"/>
    </row>
    <row r="595" spans="1:6" ht="15.75" customHeight="1" x14ac:dyDescent="0.3">
      <c r="A595" s="2"/>
      <c r="B595" s="2"/>
      <c r="C595" s="2"/>
      <c r="D595" s="2"/>
      <c r="E595" s="2"/>
      <c r="F595" s="2"/>
    </row>
    <row r="596" spans="1:6" ht="15.75" customHeight="1" x14ac:dyDescent="0.3">
      <c r="A596" s="2"/>
      <c r="B596" s="2"/>
      <c r="C596" s="2"/>
      <c r="D596" s="2"/>
      <c r="E596" s="2"/>
      <c r="F596" s="2"/>
    </row>
    <row r="597" spans="1:6" ht="15.75" customHeight="1" x14ac:dyDescent="0.3">
      <c r="A597" s="2"/>
      <c r="B597" s="2"/>
      <c r="C597" s="2"/>
      <c r="D597" s="2"/>
      <c r="E597" s="2"/>
      <c r="F597" s="2"/>
    </row>
    <row r="598" spans="1:6" ht="15.75" customHeight="1" x14ac:dyDescent="0.3">
      <c r="A598" s="2"/>
      <c r="B598" s="2"/>
      <c r="C598" s="2"/>
      <c r="D598" s="2"/>
      <c r="E598" s="2"/>
      <c r="F598" s="2"/>
    </row>
    <row r="599" spans="1:6" ht="15.75" customHeight="1" x14ac:dyDescent="0.3">
      <c r="A599" s="2"/>
      <c r="B599" s="2"/>
      <c r="C599" s="2"/>
      <c r="D599" s="2"/>
      <c r="E599" s="2"/>
      <c r="F599" s="2"/>
    </row>
    <row r="600" spans="1:6" ht="15.75" customHeight="1" x14ac:dyDescent="0.3">
      <c r="A600" s="2"/>
      <c r="B600" s="2"/>
      <c r="C600" s="2"/>
      <c r="D600" s="2"/>
      <c r="E600" s="2"/>
      <c r="F600" s="2"/>
    </row>
    <row r="601" spans="1:6" ht="15.75" customHeight="1" x14ac:dyDescent="0.3">
      <c r="A601" s="2"/>
      <c r="B601" s="2"/>
      <c r="C601" s="2"/>
      <c r="D601" s="2"/>
      <c r="E601" s="2"/>
      <c r="F601" s="2"/>
    </row>
    <row r="602" spans="1:6" ht="15.75" customHeight="1" x14ac:dyDescent="0.3">
      <c r="A602" s="2"/>
      <c r="B602" s="2"/>
      <c r="C602" s="2"/>
      <c r="D602" s="2"/>
      <c r="E602" s="2"/>
      <c r="F602" s="2"/>
    </row>
    <row r="603" spans="1:6" ht="15.75" customHeight="1" x14ac:dyDescent="0.3">
      <c r="A603" s="2"/>
      <c r="B603" s="2"/>
      <c r="C603" s="2"/>
      <c r="D603" s="2"/>
      <c r="E603" s="2"/>
      <c r="F603" s="2"/>
    </row>
    <row r="604" spans="1:6" ht="15.75" customHeight="1" x14ac:dyDescent="0.3">
      <c r="A604" s="2"/>
      <c r="B604" s="2"/>
      <c r="C604" s="2"/>
      <c r="D604" s="2"/>
      <c r="E604" s="2"/>
      <c r="F604" s="2"/>
    </row>
    <row r="605" spans="1:6" ht="15.75" customHeight="1" x14ac:dyDescent="0.3">
      <c r="A605" s="2"/>
      <c r="B605" s="2"/>
      <c r="C605" s="2"/>
      <c r="D605" s="2"/>
      <c r="E605" s="2"/>
      <c r="F605" s="2"/>
    </row>
    <row r="606" spans="1:6" ht="15.75" customHeight="1" x14ac:dyDescent="0.3">
      <c r="A606" s="2"/>
      <c r="B606" s="2"/>
      <c r="C606" s="2"/>
      <c r="D606" s="2"/>
      <c r="E606" s="2"/>
      <c r="F606" s="2"/>
    </row>
    <row r="607" spans="1:6" ht="15.75" customHeight="1" x14ac:dyDescent="0.3">
      <c r="A607" s="2"/>
      <c r="B607" s="2"/>
      <c r="C607" s="2"/>
      <c r="D607" s="2"/>
      <c r="E607" s="2"/>
      <c r="F607" s="2"/>
    </row>
    <row r="608" spans="1:6" ht="15.75" customHeight="1" x14ac:dyDescent="0.3">
      <c r="A608" s="2"/>
      <c r="B608" s="2"/>
      <c r="C608" s="2"/>
      <c r="D608" s="2"/>
      <c r="E608" s="2"/>
      <c r="F608" s="2"/>
    </row>
    <row r="609" spans="1:6" ht="15.75" customHeight="1" x14ac:dyDescent="0.3">
      <c r="A609" s="2"/>
      <c r="B609" s="2"/>
      <c r="C609" s="2"/>
      <c r="D609" s="2"/>
      <c r="E609" s="2"/>
      <c r="F609" s="2"/>
    </row>
    <row r="610" spans="1:6" ht="15.75" customHeight="1" x14ac:dyDescent="0.3">
      <c r="A610" s="2"/>
      <c r="B610" s="2"/>
      <c r="C610" s="2"/>
      <c r="D610" s="2"/>
      <c r="E610" s="2"/>
      <c r="F610" s="2"/>
    </row>
    <row r="611" spans="1:6" ht="15.75" customHeight="1" x14ac:dyDescent="0.3">
      <c r="A611" s="2"/>
      <c r="B611" s="2"/>
      <c r="C611" s="2"/>
      <c r="D611" s="2"/>
      <c r="E611" s="2"/>
      <c r="F611" s="2"/>
    </row>
    <row r="612" spans="1:6" ht="15.75" customHeight="1" x14ac:dyDescent="0.3">
      <c r="A612" s="2"/>
      <c r="B612" s="2"/>
      <c r="C612" s="2"/>
      <c r="D612" s="2"/>
      <c r="E612" s="2"/>
      <c r="F612" s="2"/>
    </row>
    <row r="613" spans="1:6" ht="15.75" customHeight="1" x14ac:dyDescent="0.3">
      <c r="A613" s="2"/>
      <c r="B613" s="2"/>
      <c r="C613" s="2"/>
      <c r="D613" s="2"/>
      <c r="E613" s="2"/>
      <c r="F613" s="2"/>
    </row>
    <row r="614" spans="1:6" ht="15.75" customHeight="1" x14ac:dyDescent="0.3">
      <c r="A614" s="2"/>
      <c r="B614" s="2"/>
      <c r="C614" s="2"/>
      <c r="D614" s="2"/>
      <c r="E614" s="2"/>
      <c r="F614" s="2"/>
    </row>
    <row r="615" spans="1:6" ht="15.75" customHeight="1" x14ac:dyDescent="0.3">
      <c r="A615" s="2"/>
      <c r="B615" s="2"/>
      <c r="C615" s="2"/>
      <c r="D615" s="2"/>
      <c r="E615" s="2"/>
      <c r="F615" s="2"/>
    </row>
    <row r="616" spans="1:6" ht="15.75" customHeight="1" x14ac:dyDescent="0.3">
      <c r="A616" s="2"/>
      <c r="B616" s="2"/>
      <c r="C616" s="2"/>
      <c r="D616" s="2"/>
      <c r="E616" s="2"/>
      <c r="F616" s="2"/>
    </row>
    <row r="617" spans="1:6" ht="15.75" customHeight="1" x14ac:dyDescent="0.3">
      <c r="A617" s="2"/>
      <c r="B617" s="2"/>
      <c r="C617" s="2"/>
      <c r="D617" s="2"/>
      <c r="E617" s="2"/>
      <c r="F617" s="2"/>
    </row>
    <row r="618" spans="1:6" ht="15.75" customHeight="1" x14ac:dyDescent="0.3">
      <c r="A618" s="2"/>
      <c r="B618" s="2"/>
      <c r="C618" s="2"/>
      <c r="D618" s="2"/>
      <c r="E618" s="2"/>
      <c r="F618" s="2"/>
    </row>
    <row r="619" spans="1:6" ht="15.75" customHeight="1" x14ac:dyDescent="0.3">
      <c r="A619" s="2"/>
      <c r="B619" s="2"/>
      <c r="C619" s="2"/>
      <c r="D619" s="2"/>
      <c r="E619" s="2"/>
      <c r="F619" s="2"/>
    </row>
    <row r="620" spans="1:6" ht="15.75" customHeight="1" x14ac:dyDescent="0.3">
      <c r="A620" s="2"/>
      <c r="B620" s="2"/>
      <c r="C620" s="2"/>
      <c r="D620" s="2"/>
      <c r="E620" s="2"/>
      <c r="F620" s="2"/>
    </row>
    <row r="621" spans="1:6" ht="15.75" customHeight="1" x14ac:dyDescent="0.3">
      <c r="A621" s="2"/>
      <c r="B621" s="2"/>
      <c r="C621" s="2"/>
      <c r="D621" s="2"/>
      <c r="E621" s="2"/>
      <c r="F621" s="2"/>
    </row>
    <row r="622" spans="1:6" ht="15.75" customHeight="1" x14ac:dyDescent="0.3">
      <c r="A622" s="2"/>
      <c r="B622" s="2"/>
      <c r="C622" s="2"/>
      <c r="D622" s="2"/>
      <c r="E622" s="2"/>
      <c r="F622" s="2"/>
    </row>
    <row r="623" spans="1:6" ht="15.75" customHeight="1" x14ac:dyDescent="0.3">
      <c r="A623" s="2"/>
      <c r="B623" s="2"/>
      <c r="C623" s="2"/>
      <c r="D623" s="2"/>
      <c r="E623" s="2"/>
      <c r="F623" s="2"/>
    </row>
    <row r="624" spans="1:6" ht="15.75" customHeight="1" x14ac:dyDescent="0.3">
      <c r="A624" s="2"/>
      <c r="B624" s="2"/>
      <c r="C624" s="2"/>
      <c r="D624" s="2"/>
      <c r="E624" s="2"/>
      <c r="F624" s="2"/>
    </row>
    <row r="625" spans="1:6" ht="15.75" customHeight="1" x14ac:dyDescent="0.3">
      <c r="A625" s="2"/>
      <c r="B625" s="2"/>
      <c r="C625" s="2"/>
      <c r="D625" s="2"/>
      <c r="E625" s="2"/>
      <c r="F625" s="2"/>
    </row>
    <row r="626" spans="1:6" ht="15.75" customHeight="1" x14ac:dyDescent="0.3">
      <c r="A626" s="2"/>
      <c r="B626" s="2"/>
      <c r="C626" s="2"/>
      <c r="D626" s="2"/>
      <c r="E626" s="2"/>
      <c r="F626" s="2"/>
    </row>
    <row r="627" spans="1:6" ht="15.75" customHeight="1" x14ac:dyDescent="0.3">
      <c r="A627" s="2"/>
      <c r="B627" s="2"/>
      <c r="C627" s="2"/>
      <c r="D627" s="2"/>
      <c r="E627" s="2"/>
      <c r="F627" s="2"/>
    </row>
    <row r="628" spans="1:6" ht="15.75" customHeight="1" x14ac:dyDescent="0.3">
      <c r="A628" s="2"/>
      <c r="B628" s="2"/>
      <c r="C628" s="2"/>
      <c r="D628" s="2"/>
      <c r="E628" s="2"/>
      <c r="F628" s="2"/>
    </row>
    <row r="629" spans="1:6" ht="15.75" customHeight="1" x14ac:dyDescent="0.3">
      <c r="A629" s="2"/>
      <c r="B629" s="2"/>
      <c r="C629" s="2"/>
      <c r="D629" s="2"/>
      <c r="E629" s="2"/>
      <c r="F629" s="2"/>
    </row>
    <row r="630" spans="1:6" ht="15.75" customHeight="1" x14ac:dyDescent="0.3">
      <c r="A630" s="2"/>
      <c r="B630" s="2"/>
      <c r="C630" s="2"/>
      <c r="D630" s="2"/>
      <c r="E630" s="2"/>
      <c r="F630" s="2"/>
    </row>
    <row r="631" spans="1:6" ht="15.75" customHeight="1" x14ac:dyDescent="0.3">
      <c r="A631" s="2"/>
      <c r="B631" s="2"/>
      <c r="C631" s="2"/>
      <c r="D631" s="2"/>
      <c r="E631" s="2"/>
      <c r="F631" s="2"/>
    </row>
    <row r="632" spans="1:6" ht="15.75" customHeight="1" x14ac:dyDescent="0.3">
      <c r="A632" s="2"/>
      <c r="B632" s="2"/>
      <c r="C632" s="2"/>
      <c r="D632" s="2"/>
      <c r="E632" s="2"/>
      <c r="F632" s="2"/>
    </row>
    <row r="633" spans="1:6" ht="15.75" customHeight="1" x14ac:dyDescent="0.3">
      <c r="A633" s="2"/>
      <c r="B633" s="2"/>
      <c r="C633" s="2"/>
      <c r="D633" s="2"/>
      <c r="E633" s="2"/>
      <c r="F633" s="2"/>
    </row>
    <row r="634" spans="1:6" ht="15.75" customHeight="1" x14ac:dyDescent="0.3">
      <c r="A634" s="2"/>
      <c r="B634" s="2"/>
      <c r="C634" s="2"/>
      <c r="D634" s="2"/>
      <c r="E634" s="2"/>
      <c r="F634" s="2"/>
    </row>
    <row r="635" spans="1:6" ht="15.75" customHeight="1" x14ac:dyDescent="0.3">
      <c r="A635" s="2"/>
      <c r="B635" s="2"/>
      <c r="C635" s="2"/>
      <c r="D635" s="2"/>
      <c r="E635" s="2"/>
      <c r="F635" s="2"/>
    </row>
    <row r="636" spans="1:6" ht="15.75" customHeight="1" x14ac:dyDescent="0.3">
      <c r="A636" s="2"/>
      <c r="B636" s="2"/>
      <c r="C636" s="2"/>
      <c r="D636" s="2"/>
      <c r="E636" s="2"/>
      <c r="F636" s="2"/>
    </row>
    <row r="637" spans="1:6" ht="15.75" customHeight="1" x14ac:dyDescent="0.3">
      <c r="A637" s="2"/>
      <c r="B637" s="2"/>
      <c r="C637" s="2"/>
      <c r="D637" s="2"/>
      <c r="E637" s="2"/>
      <c r="F637" s="2"/>
    </row>
    <row r="638" spans="1:6" ht="15.75" customHeight="1" x14ac:dyDescent="0.3">
      <c r="A638" s="2"/>
      <c r="B638" s="2"/>
      <c r="C638" s="2"/>
      <c r="D638" s="2"/>
      <c r="E638" s="2"/>
      <c r="F638" s="2"/>
    </row>
    <row r="639" spans="1:6" ht="15.75" customHeight="1" x14ac:dyDescent="0.3">
      <c r="A639" s="2"/>
      <c r="B639" s="2"/>
      <c r="C639" s="2"/>
      <c r="D639" s="2"/>
      <c r="E639" s="2"/>
      <c r="F639" s="2"/>
    </row>
    <row r="640" spans="1:6" ht="15.75" customHeight="1" x14ac:dyDescent="0.3">
      <c r="A640" s="2"/>
      <c r="B640" s="2"/>
      <c r="C640" s="2"/>
      <c r="D640" s="2"/>
      <c r="E640" s="2"/>
      <c r="F640" s="2"/>
    </row>
    <row r="641" spans="1:6" ht="15.75" customHeight="1" x14ac:dyDescent="0.3">
      <c r="A641" s="2"/>
      <c r="B641" s="2"/>
      <c r="C641" s="2"/>
      <c r="D641" s="2"/>
      <c r="E641" s="2"/>
      <c r="F641" s="2"/>
    </row>
    <row r="642" spans="1:6" ht="15.75" customHeight="1" x14ac:dyDescent="0.3">
      <c r="A642" s="2"/>
      <c r="B642" s="2"/>
      <c r="C642" s="2"/>
      <c r="D642" s="2"/>
      <c r="E642" s="2"/>
      <c r="F642" s="2"/>
    </row>
    <row r="643" spans="1:6" ht="15.75" customHeight="1" x14ac:dyDescent="0.3">
      <c r="A643" s="2"/>
      <c r="B643" s="2"/>
      <c r="C643" s="2"/>
      <c r="D643" s="2"/>
      <c r="E643" s="2"/>
      <c r="F643" s="2"/>
    </row>
    <row r="644" spans="1:6" ht="15.75" customHeight="1" x14ac:dyDescent="0.3">
      <c r="A644" s="2"/>
      <c r="B644" s="2"/>
      <c r="C644" s="2"/>
      <c r="D644" s="2"/>
      <c r="E644" s="2"/>
      <c r="F644" s="2"/>
    </row>
    <row r="645" spans="1:6" ht="15.75" customHeight="1" x14ac:dyDescent="0.3">
      <c r="A645" s="2"/>
      <c r="B645" s="2"/>
      <c r="C645" s="2"/>
      <c r="D645" s="2"/>
      <c r="E645" s="2"/>
      <c r="F645" s="2"/>
    </row>
    <row r="646" spans="1:6" ht="15.75" customHeight="1" x14ac:dyDescent="0.3">
      <c r="A646" s="2"/>
      <c r="B646" s="2"/>
      <c r="C646" s="2"/>
      <c r="D646" s="2"/>
      <c r="E646" s="2"/>
      <c r="F646" s="2"/>
    </row>
    <row r="647" spans="1:6" ht="15.75" customHeight="1" x14ac:dyDescent="0.3">
      <c r="A647" s="2"/>
      <c r="B647" s="2"/>
      <c r="C647" s="2"/>
      <c r="D647" s="2"/>
      <c r="E647" s="2"/>
      <c r="F647" s="2"/>
    </row>
    <row r="648" spans="1:6" ht="15.75" customHeight="1" x14ac:dyDescent="0.3">
      <c r="A648" s="2"/>
      <c r="B648" s="2"/>
      <c r="C648" s="2"/>
      <c r="D648" s="2"/>
      <c r="E648" s="2"/>
      <c r="F648" s="2"/>
    </row>
    <row r="649" spans="1:6" ht="15.75" customHeight="1" x14ac:dyDescent="0.3">
      <c r="A649" s="2"/>
      <c r="B649" s="2"/>
      <c r="C649" s="2"/>
      <c r="D649" s="2"/>
      <c r="E649" s="2"/>
      <c r="F649" s="2"/>
    </row>
    <row r="650" spans="1:6" ht="15.75" customHeight="1" x14ac:dyDescent="0.3">
      <c r="A650" s="2"/>
      <c r="B650" s="2"/>
      <c r="C650" s="2"/>
      <c r="D650" s="2"/>
      <c r="E650" s="2"/>
      <c r="F650" s="2"/>
    </row>
    <row r="651" spans="1:6" ht="15.75" customHeight="1" x14ac:dyDescent="0.3">
      <c r="A651" s="2"/>
      <c r="B651" s="2"/>
      <c r="C651" s="2"/>
      <c r="D651" s="2"/>
      <c r="E651" s="2"/>
      <c r="F651" s="2"/>
    </row>
    <row r="652" spans="1:6" ht="15.75" customHeight="1" x14ac:dyDescent="0.3">
      <c r="A652" s="2"/>
      <c r="B652" s="2"/>
      <c r="C652" s="2"/>
      <c r="D652" s="2"/>
      <c r="E652" s="2"/>
      <c r="F652" s="2"/>
    </row>
    <row r="653" spans="1:6" ht="15.75" customHeight="1" x14ac:dyDescent="0.3">
      <c r="A653" s="2"/>
      <c r="B653" s="2"/>
      <c r="C653" s="2"/>
      <c r="D653" s="2"/>
      <c r="E653" s="2"/>
      <c r="F653" s="2"/>
    </row>
    <row r="654" spans="1:6" ht="15.75" customHeight="1" x14ac:dyDescent="0.3">
      <c r="A654" s="2"/>
      <c r="B654" s="2"/>
      <c r="C654" s="2"/>
      <c r="D654" s="2"/>
      <c r="E654" s="2"/>
      <c r="F654" s="2"/>
    </row>
    <row r="655" spans="1:6" ht="15.75" customHeight="1" x14ac:dyDescent="0.3">
      <c r="A655" s="2"/>
      <c r="B655" s="2"/>
      <c r="C655" s="2"/>
      <c r="D655" s="2"/>
      <c r="E655" s="2"/>
      <c r="F655" s="2"/>
    </row>
    <row r="656" spans="1:6" ht="15.75" customHeight="1" x14ac:dyDescent="0.3">
      <c r="A656" s="2"/>
      <c r="B656" s="2"/>
      <c r="C656" s="2"/>
      <c r="D656" s="2"/>
      <c r="E656" s="2"/>
      <c r="F656" s="2"/>
    </row>
    <row r="657" spans="1:6" ht="15.75" customHeight="1" x14ac:dyDescent="0.3">
      <c r="A657" s="2"/>
      <c r="B657" s="2"/>
      <c r="C657" s="2"/>
      <c r="D657" s="2"/>
      <c r="E657" s="2"/>
      <c r="F657" s="2"/>
    </row>
    <row r="658" spans="1:6" ht="15.75" customHeight="1" x14ac:dyDescent="0.3">
      <c r="A658" s="2"/>
      <c r="B658" s="2"/>
      <c r="C658" s="2"/>
      <c r="D658" s="2"/>
      <c r="E658" s="2"/>
      <c r="F658" s="2"/>
    </row>
    <row r="659" spans="1:6" ht="15.75" customHeight="1" x14ac:dyDescent="0.3">
      <c r="A659" s="2"/>
      <c r="B659" s="2"/>
      <c r="C659" s="2"/>
      <c r="D659" s="2"/>
      <c r="E659" s="2"/>
      <c r="F659" s="2"/>
    </row>
    <row r="660" spans="1:6" ht="15.75" customHeight="1" x14ac:dyDescent="0.3">
      <c r="A660" s="2"/>
      <c r="B660" s="2"/>
      <c r="C660" s="2"/>
      <c r="D660" s="2"/>
      <c r="E660" s="2"/>
      <c r="F660" s="2"/>
    </row>
    <row r="661" spans="1:6" ht="15.75" customHeight="1" x14ac:dyDescent="0.3">
      <c r="A661" s="2"/>
      <c r="B661" s="2"/>
      <c r="C661" s="2"/>
      <c r="D661" s="2"/>
      <c r="E661" s="2"/>
      <c r="F661" s="2"/>
    </row>
    <row r="662" spans="1:6" ht="15.75" customHeight="1" x14ac:dyDescent="0.3">
      <c r="A662" s="2"/>
      <c r="B662" s="2"/>
      <c r="C662" s="2"/>
      <c r="D662" s="2"/>
      <c r="E662" s="2"/>
      <c r="F662" s="2"/>
    </row>
    <row r="663" spans="1:6" ht="15.75" customHeight="1" x14ac:dyDescent="0.3">
      <c r="A663" s="2"/>
      <c r="B663" s="2"/>
      <c r="C663" s="2"/>
      <c r="D663" s="2"/>
      <c r="E663" s="2"/>
      <c r="F663" s="2"/>
    </row>
    <row r="664" spans="1:6" ht="15.75" customHeight="1" x14ac:dyDescent="0.3">
      <c r="A664" s="2"/>
      <c r="B664" s="2"/>
      <c r="C664" s="2"/>
      <c r="D664" s="2"/>
      <c r="E664" s="2"/>
      <c r="F664" s="2"/>
    </row>
    <row r="665" spans="1:6" ht="15.75" customHeight="1" x14ac:dyDescent="0.3">
      <c r="A665" s="2"/>
      <c r="B665" s="2"/>
      <c r="C665" s="2"/>
      <c r="D665" s="2"/>
      <c r="E665" s="2"/>
      <c r="F665" s="2"/>
    </row>
    <row r="666" spans="1:6" ht="15.75" customHeight="1" x14ac:dyDescent="0.3">
      <c r="A666" s="2"/>
      <c r="B666" s="2"/>
      <c r="C666" s="2"/>
      <c r="D666" s="2"/>
      <c r="E666" s="2"/>
      <c r="F666" s="2"/>
    </row>
    <row r="667" spans="1:6" ht="15.75" customHeight="1" x14ac:dyDescent="0.3">
      <c r="A667" s="2"/>
      <c r="B667" s="2"/>
      <c r="C667" s="2"/>
      <c r="D667" s="2"/>
      <c r="E667" s="2"/>
      <c r="F667" s="2"/>
    </row>
    <row r="668" spans="1:6" ht="15.75" customHeight="1" x14ac:dyDescent="0.3">
      <c r="A668" s="2"/>
      <c r="B668" s="2"/>
      <c r="C668" s="2"/>
      <c r="D668" s="2"/>
      <c r="E668" s="2"/>
      <c r="F668" s="2"/>
    </row>
    <row r="669" spans="1:6" ht="15.75" customHeight="1" x14ac:dyDescent="0.3">
      <c r="A669" s="2"/>
      <c r="B669" s="2"/>
      <c r="C669" s="2"/>
      <c r="D669" s="2"/>
      <c r="E669" s="2"/>
      <c r="F669" s="2"/>
    </row>
    <row r="670" spans="1:6" ht="15.75" customHeight="1" x14ac:dyDescent="0.3">
      <c r="A670" s="2"/>
      <c r="B670" s="2"/>
      <c r="C670" s="2"/>
      <c r="D670" s="2"/>
      <c r="E670" s="2"/>
      <c r="F670" s="2"/>
    </row>
    <row r="671" spans="1:6" ht="15.75" customHeight="1" x14ac:dyDescent="0.3">
      <c r="A671" s="2"/>
      <c r="B671" s="2"/>
      <c r="C671" s="2"/>
      <c r="D671" s="2"/>
      <c r="E671" s="2"/>
      <c r="F671" s="2"/>
    </row>
    <row r="672" spans="1:6" ht="15.75" customHeight="1" x14ac:dyDescent="0.3">
      <c r="A672" s="2"/>
      <c r="B672" s="2"/>
      <c r="C672" s="2"/>
      <c r="D672" s="2"/>
      <c r="E672" s="2"/>
      <c r="F672" s="2"/>
    </row>
    <row r="673" spans="1:6" ht="15.75" customHeight="1" x14ac:dyDescent="0.3">
      <c r="A673" s="2"/>
      <c r="B673" s="2"/>
      <c r="C673" s="2"/>
      <c r="D673" s="2"/>
      <c r="E673" s="2"/>
      <c r="F673" s="2"/>
    </row>
    <row r="674" spans="1:6" ht="15.75" customHeight="1" x14ac:dyDescent="0.3">
      <c r="A674" s="2"/>
      <c r="B674" s="2"/>
      <c r="C674" s="2"/>
      <c r="D674" s="2"/>
      <c r="E674" s="2"/>
      <c r="F674" s="2"/>
    </row>
    <row r="675" spans="1:6" ht="15.75" customHeight="1" x14ac:dyDescent="0.3">
      <c r="A675" s="2"/>
      <c r="B675" s="2"/>
      <c r="C675" s="2"/>
      <c r="D675" s="2"/>
      <c r="E675" s="2"/>
      <c r="F675" s="2"/>
    </row>
    <row r="676" spans="1:6" ht="15.75" customHeight="1" x14ac:dyDescent="0.3">
      <c r="A676" s="2"/>
      <c r="B676" s="2"/>
      <c r="C676" s="2"/>
      <c r="D676" s="2"/>
      <c r="E676" s="2"/>
      <c r="F676" s="2"/>
    </row>
    <row r="677" spans="1:6" ht="15.75" customHeight="1" x14ac:dyDescent="0.3">
      <c r="A677" s="2"/>
      <c r="B677" s="2"/>
      <c r="C677" s="2"/>
      <c r="D677" s="2"/>
      <c r="E677" s="2"/>
      <c r="F677" s="2"/>
    </row>
    <row r="678" spans="1:6" ht="15.75" customHeight="1" x14ac:dyDescent="0.3">
      <c r="A678" s="2"/>
      <c r="B678" s="2"/>
      <c r="C678" s="2"/>
      <c r="D678" s="2"/>
      <c r="E678" s="2"/>
      <c r="F678" s="2"/>
    </row>
    <row r="679" spans="1:6" ht="15.75" customHeight="1" x14ac:dyDescent="0.3">
      <c r="A679" s="2"/>
      <c r="B679" s="2"/>
      <c r="C679" s="2"/>
      <c r="D679" s="2"/>
      <c r="E679" s="2"/>
      <c r="F679" s="2"/>
    </row>
    <row r="680" spans="1:6" ht="15.75" customHeight="1" x14ac:dyDescent="0.3">
      <c r="A680" s="2"/>
      <c r="B680" s="2"/>
      <c r="C680" s="2"/>
      <c r="D680" s="2"/>
      <c r="E680" s="2"/>
      <c r="F680" s="2"/>
    </row>
    <row r="681" spans="1:6" ht="15.75" customHeight="1" x14ac:dyDescent="0.3">
      <c r="A681" s="2"/>
      <c r="B681" s="2"/>
      <c r="C681" s="2"/>
      <c r="D681" s="2"/>
      <c r="E681" s="2"/>
      <c r="F681" s="2"/>
    </row>
    <row r="682" spans="1:6" ht="15.75" customHeight="1" x14ac:dyDescent="0.3">
      <c r="A682" s="2"/>
      <c r="B682" s="2"/>
      <c r="C682" s="2"/>
      <c r="D682" s="2"/>
      <c r="E682" s="2"/>
      <c r="F682" s="2"/>
    </row>
    <row r="683" spans="1:6" ht="15.75" customHeight="1" x14ac:dyDescent="0.3">
      <c r="A683" s="2"/>
      <c r="B683" s="2"/>
      <c r="C683" s="2"/>
      <c r="D683" s="2"/>
      <c r="E683" s="2"/>
      <c r="F683" s="2"/>
    </row>
    <row r="684" spans="1:6" ht="15.75" customHeight="1" x14ac:dyDescent="0.3">
      <c r="A684" s="2"/>
      <c r="B684" s="2"/>
      <c r="C684" s="2"/>
      <c r="D684" s="2"/>
      <c r="E684" s="2"/>
      <c r="F684" s="2"/>
    </row>
    <row r="685" spans="1:6" ht="15.75" customHeight="1" x14ac:dyDescent="0.3">
      <c r="A685" s="2"/>
      <c r="B685" s="2"/>
      <c r="C685" s="2"/>
      <c r="D685" s="2"/>
      <c r="E685" s="2"/>
      <c r="F685" s="2"/>
    </row>
    <row r="686" spans="1:6" ht="15.75" customHeight="1" x14ac:dyDescent="0.3">
      <c r="A686" s="2"/>
      <c r="B686" s="2"/>
      <c r="C686" s="2"/>
      <c r="D686" s="2"/>
      <c r="E686" s="2"/>
      <c r="F686" s="2"/>
    </row>
    <row r="687" spans="1:6" ht="15.75" customHeight="1" x14ac:dyDescent="0.3">
      <c r="A687" s="2"/>
      <c r="B687" s="2"/>
      <c r="C687" s="2"/>
      <c r="D687" s="2"/>
      <c r="E687" s="2"/>
      <c r="F687" s="2"/>
    </row>
    <row r="688" spans="1:6" ht="15.75" customHeight="1" x14ac:dyDescent="0.3">
      <c r="A688" s="2"/>
      <c r="B688" s="2"/>
      <c r="C688" s="2"/>
      <c r="D688" s="2"/>
      <c r="E688" s="2"/>
      <c r="F688" s="2"/>
    </row>
    <row r="689" spans="1:6" ht="15.75" customHeight="1" x14ac:dyDescent="0.3">
      <c r="A689" s="2"/>
      <c r="B689" s="2"/>
      <c r="C689" s="2"/>
      <c r="D689" s="2"/>
      <c r="E689" s="2"/>
      <c r="F689" s="2"/>
    </row>
    <row r="690" spans="1:6" ht="15.75" customHeight="1" x14ac:dyDescent="0.3">
      <c r="A690" s="2"/>
      <c r="B690" s="2"/>
      <c r="C690" s="2"/>
      <c r="D690" s="2"/>
      <c r="E690" s="2"/>
      <c r="F690" s="2"/>
    </row>
    <row r="691" spans="1:6" ht="15.75" customHeight="1" x14ac:dyDescent="0.3">
      <c r="A691" s="2"/>
      <c r="B691" s="2"/>
      <c r="C691" s="2"/>
      <c r="D691" s="2"/>
      <c r="E691" s="2"/>
      <c r="F691" s="2"/>
    </row>
    <row r="692" spans="1:6" ht="15.75" customHeight="1" x14ac:dyDescent="0.3">
      <c r="A692" s="2"/>
      <c r="B692" s="2"/>
      <c r="C692" s="2"/>
      <c r="D692" s="2"/>
      <c r="E692" s="2"/>
      <c r="F692" s="2"/>
    </row>
    <row r="693" spans="1:6" ht="15.75" customHeight="1" x14ac:dyDescent="0.3">
      <c r="A693" s="2"/>
      <c r="B693" s="2"/>
      <c r="C693" s="2"/>
      <c r="D693" s="2"/>
      <c r="E693" s="2"/>
      <c r="F693" s="2"/>
    </row>
    <row r="694" spans="1:6" ht="15.75" customHeight="1" x14ac:dyDescent="0.3">
      <c r="A694" s="2"/>
      <c r="B694" s="2"/>
      <c r="C694" s="2"/>
      <c r="D694" s="2"/>
      <c r="E694" s="2"/>
      <c r="F694" s="2"/>
    </row>
    <row r="695" spans="1:6" ht="15.75" customHeight="1" x14ac:dyDescent="0.3">
      <c r="A695" s="2"/>
      <c r="B695" s="2"/>
      <c r="C695" s="2"/>
      <c r="D695" s="2"/>
      <c r="E695" s="2"/>
      <c r="F695" s="2"/>
    </row>
    <row r="696" spans="1:6" ht="15.75" customHeight="1" x14ac:dyDescent="0.3">
      <c r="A696" s="2"/>
      <c r="B696" s="2"/>
      <c r="C696" s="2"/>
      <c r="D696" s="2"/>
      <c r="E696" s="2"/>
      <c r="F696" s="2"/>
    </row>
    <row r="697" spans="1:6" ht="15.75" customHeight="1" x14ac:dyDescent="0.3">
      <c r="A697" s="2"/>
      <c r="B697" s="2"/>
      <c r="C697" s="2"/>
      <c r="D697" s="2"/>
      <c r="E697" s="2"/>
      <c r="F697" s="2"/>
    </row>
    <row r="698" spans="1:6" ht="15.75" customHeight="1" x14ac:dyDescent="0.3">
      <c r="A698" s="2"/>
      <c r="B698" s="2"/>
      <c r="C698" s="2"/>
      <c r="D698" s="2"/>
      <c r="E698" s="2"/>
      <c r="F698" s="2"/>
    </row>
    <row r="699" spans="1:6" ht="15.75" customHeight="1" x14ac:dyDescent="0.3">
      <c r="A699" s="2"/>
      <c r="B699" s="2"/>
      <c r="C699" s="2"/>
      <c r="D699" s="2"/>
      <c r="E699" s="2"/>
      <c r="F699" s="2"/>
    </row>
    <row r="700" spans="1:6" ht="15.75" customHeight="1" x14ac:dyDescent="0.3">
      <c r="A700" s="2"/>
      <c r="B700" s="2"/>
      <c r="C700" s="2"/>
      <c r="D700" s="2"/>
      <c r="E700" s="2"/>
      <c r="F700" s="2"/>
    </row>
    <row r="701" spans="1:6" ht="15.75" customHeight="1" x14ac:dyDescent="0.3">
      <c r="A701" s="2"/>
      <c r="B701" s="2"/>
      <c r="C701" s="2"/>
      <c r="D701" s="2"/>
      <c r="E701" s="2"/>
      <c r="F701" s="2"/>
    </row>
    <row r="702" spans="1:6" ht="15.75" customHeight="1" x14ac:dyDescent="0.3">
      <c r="A702" s="2"/>
      <c r="B702" s="2"/>
      <c r="C702" s="2"/>
      <c r="D702" s="2"/>
      <c r="E702" s="2"/>
      <c r="F702" s="2"/>
    </row>
    <row r="703" spans="1:6" ht="15.75" customHeight="1" x14ac:dyDescent="0.3">
      <c r="A703" s="2"/>
      <c r="B703" s="2"/>
      <c r="C703" s="2"/>
      <c r="D703" s="2"/>
      <c r="E703" s="2"/>
      <c r="F703" s="2"/>
    </row>
    <row r="704" spans="1:6" ht="15.75" customHeight="1" x14ac:dyDescent="0.3">
      <c r="A704" s="2"/>
      <c r="B704" s="2"/>
      <c r="C704" s="2"/>
      <c r="D704" s="2"/>
      <c r="E704" s="2"/>
      <c r="F704" s="2"/>
    </row>
    <row r="705" spans="1:6" ht="15.75" customHeight="1" x14ac:dyDescent="0.3">
      <c r="A705" s="2"/>
      <c r="B705" s="2"/>
      <c r="C705" s="2"/>
      <c r="D705" s="2"/>
      <c r="E705" s="2"/>
      <c r="F705" s="2"/>
    </row>
    <row r="706" spans="1:6" ht="15.75" customHeight="1" x14ac:dyDescent="0.3">
      <c r="A706" s="2"/>
      <c r="B706" s="2"/>
      <c r="C706" s="2"/>
      <c r="D706" s="2"/>
      <c r="E706" s="2"/>
      <c r="F706" s="2"/>
    </row>
    <row r="707" spans="1:6" ht="15.75" customHeight="1" x14ac:dyDescent="0.3">
      <c r="A707" s="2"/>
      <c r="B707" s="2"/>
      <c r="C707" s="2"/>
      <c r="D707" s="2"/>
      <c r="E707" s="2"/>
      <c r="F707" s="2"/>
    </row>
    <row r="708" spans="1:6" ht="15.75" customHeight="1" x14ac:dyDescent="0.3">
      <c r="A708" s="2"/>
      <c r="B708" s="2"/>
      <c r="C708" s="2"/>
      <c r="D708" s="2"/>
      <c r="E708" s="2"/>
      <c r="F708" s="2"/>
    </row>
    <row r="709" spans="1:6" ht="15.75" customHeight="1" x14ac:dyDescent="0.3">
      <c r="A709" s="2"/>
      <c r="B709" s="2"/>
      <c r="C709" s="2"/>
      <c r="D709" s="2"/>
      <c r="E709" s="2"/>
      <c r="F709" s="2"/>
    </row>
    <row r="710" spans="1:6" ht="15.75" customHeight="1" x14ac:dyDescent="0.3">
      <c r="A710" s="2"/>
      <c r="B710" s="2"/>
      <c r="C710" s="2"/>
      <c r="D710" s="2"/>
      <c r="E710" s="2"/>
      <c r="F710" s="2"/>
    </row>
    <row r="711" spans="1:6" ht="15.75" customHeight="1" x14ac:dyDescent="0.3">
      <c r="A711" s="2"/>
      <c r="B711" s="2"/>
      <c r="C711" s="2"/>
      <c r="D711" s="2"/>
      <c r="E711" s="2"/>
      <c r="F711" s="2"/>
    </row>
    <row r="712" spans="1:6" ht="15.75" customHeight="1" x14ac:dyDescent="0.3">
      <c r="A712" s="2"/>
      <c r="B712" s="2"/>
      <c r="C712" s="2"/>
      <c r="D712" s="2"/>
      <c r="E712" s="2"/>
      <c r="F712" s="2"/>
    </row>
    <row r="713" spans="1:6" ht="15.75" customHeight="1" x14ac:dyDescent="0.3">
      <c r="A713" s="2"/>
      <c r="B713" s="2"/>
      <c r="C713" s="2"/>
      <c r="D713" s="2"/>
      <c r="E713" s="2"/>
      <c r="F713" s="2"/>
    </row>
    <row r="714" spans="1:6" ht="15.75" customHeight="1" x14ac:dyDescent="0.3">
      <c r="A714" s="2"/>
      <c r="B714" s="2"/>
      <c r="C714" s="2"/>
      <c r="D714" s="2"/>
      <c r="E714" s="2"/>
      <c r="F714" s="2"/>
    </row>
    <row r="715" spans="1:6" ht="15.75" customHeight="1" x14ac:dyDescent="0.3">
      <c r="A715" s="2"/>
      <c r="B715" s="2"/>
      <c r="C715" s="2"/>
      <c r="D715" s="2"/>
      <c r="E715" s="2"/>
      <c r="F715" s="2"/>
    </row>
    <row r="716" spans="1:6" ht="15.75" customHeight="1" x14ac:dyDescent="0.3">
      <c r="A716" s="2"/>
      <c r="B716" s="2"/>
      <c r="C716" s="2"/>
      <c r="D716" s="2"/>
      <c r="E716" s="2"/>
      <c r="F716" s="2"/>
    </row>
    <row r="717" spans="1:6" ht="15.75" customHeight="1" x14ac:dyDescent="0.3">
      <c r="A717" s="2"/>
      <c r="B717" s="2"/>
      <c r="C717" s="2"/>
      <c r="D717" s="2"/>
      <c r="E717" s="2"/>
      <c r="F717" s="2"/>
    </row>
    <row r="718" spans="1:6" ht="15.75" customHeight="1" x14ac:dyDescent="0.3">
      <c r="A718" s="2"/>
      <c r="B718" s="2"/>
      <c r="C718" s="2"/>
      <c r="D718" s="2"/>
      <c r="E718" s="2"/>
      <c r="F718" s="2"/>
    </row>
    <row r="719" spans="1:6" ht="15.75" customHeight="1" x14ac:dyDescent="0.3">
      <c r="A719" s="2"/>
      <c r="B719" s="2"/>
      <c r="C719" s="2"/>
      <c r="D719" s="2"/>
      <c r="E719" s="2"/>
      <c r="F719" s="2"/>
    </row>
    <row r="720" spans="1:6" ht="15.75" customHeight="1" x14ac:dyDescent="0.3">
      <c r="A720" s="2"/>
      <c r="B720" s="2"/>
      <c r="C720" s="2"/>
      <c r="D720" s="2"/>
      <c r="E720" s="2"/>
      <c r="F720" s="2"/>
    </row>
    <row r="721" spans="1:6" ht="15.75" customHeight="1" x14ac:dyDescent="0.3">
      <c r="A721" s="2"/>
      <c r="B721" s="2"/>
      <c r="C721" s="2"/>
      <c r="D721" s="2"/>
      <c r="E721" s="2"/>
      <c r="F721" s="2"/>
    </row>
    <row r="722" spans="1:6" ht="15.75" customHeight="1" x14ac:dyDescent="0.3">
      <c r="A722" s="2"/>
      <c r="B722" s="2"/>
      <c r="C722" s="2"/>
      <c r="D722" s="2"/>
      <c r="E722" s="2"/>
      <c r="F722" s="2"/>
    </row>
    <row r="723" spans="1:6" ht="15.75" customHeight="1" x14ac:dyDescent="0.3">
      <c r="A723" s="2"/>
      <c r="B723" s="2"/>
      <c r="C723" s="2"/>
      <c r="D723" s="2"/>
      <c r="E723" s="2"/>
      <c r="F723" s="2"/>
    </row>
    <row r="724" spans="1:6" ht="15.75" customHeight="1" x14ac:dyDescent="0.3">
      <c r="A724" s="2"/>
      <c r="B724" s="2"/>
      <c r="C724" s="2"/>
      <c r="D724" s="2"/>
      <c r="E724" s="2"/>
      <c r="F724" s="2"/>
    </row>
    <row r="725" spans="1:6" ht="15.75" customHeight="1" x14ac:dyDescent="0.3">
      <c r="A725" s="2"/>
      <c r="B725" s="2"/>
      <c r="C725" s="2"/>
      <c r="D725" s="2"/>
      <c r="E725" s="2"/>
      <c r="F725" s="2"/>
    </row>
    <row r="726" spans="1:6" ht="15.75" customHeight="1" x14ac:dyDescent="0.3">
      <c r="A726" s="2"/>
      <c r="B726" s="2"/>
      <c r="C726" s="2"/>
      <c r="D726" s="2"/>
      <c r="E726" s="2"/>
      <c r="F726" s="2"/>
    </row>
    <row r="727" spans="1:6" ht="15.75" customHeight="1" x14ac:dyDescent="0.3">
      <c r="A727" s="2"/>
      <c r="B727" s="2"/>
      <c r="C727" s="2"/>
      <c r="D727" s="2"/>
      <c r="E727" s="2"/>
      <c r="F727" s="2"/>
    </row>
    <row r="728" spans="1:6" ht="15.75" customHeight="1" x14ac:dyDescent="0.3">
      <c r="A728" s="2"/>
      <c r="B728" s="2"/>
      <c r="C728" s="2"/>
      <c r="D728" s="2"/>
      <c r="E728" s="2"/>
      <c r="F728" s="2"/>
    </row>
    <row r="729" spans="1:6" ht="15.75" customHeight="1" x14ac:dyDescent="0.3">
      <c r="A729" s="2"/>
      <c r="B729" s="2"/>
      <c r="C729" s="2"/>
      <c r="D729" s="2"/>
      <c r="E729" s="2"/>
      <c r="F729" s="2"/>
    </row>
    <row r="730" spans="1:6" ht="15.75" customHeight="1" x14ac:dyDescent="0.3">
      <c r="A730" s="2"/>
      <c r="B730" s="2"/>
      <c r="C730" s="2"/>
      <c r="D730" s="2"/>
      <c r="E730" s="2"/>
      <c r="F730" s="2"/>
    </row>
    <row r="731" spans="1:6" ht="15.75" customHeight="1" x14ac:dyDescent="0.3">
      <c r="A731" s="2"/>
      <c r="B731" s="2"/>
      <c r="C731" s="2"/>
      <c r="D731" s="2"/>
      <c r="E731" s="2"/>
      <c r="F731" s="2"/>
    </row>
    <row r="732" spans="1:6" ht="15.75" customHeight="1" x14ac:dyDescent="0.3">
      <c r="A732" s="2"/>
      <c r="B732" s="2"/>
      <c r="C732" s="2"/>
      <c r="D732" s="2"/>
      <c r="E732" s="2"/>
      <c r="F732" s="2"/>
    </row>
    <row r="733" spans="1:6" ht="15.75" customHeight="1" x14ac:dyDescent="0.3">
      <c r="A733" s="2"/>
      <c r="B733" s="2"/>
      <c r="C733" s="2"/>
      <c r="D733" s="2"/>
      <c r="E733" s="2"/>
      <c r="F733" s="2"/>
    </row>
    <row r="734" spans="1:6" ht="15.75" customHeight="1" x14ac:dyDescent="0.3">
      <c r="A734" s="2"/>
      <c r="B734" s="2"/>
      <c r="C734" s="2"/>
      <c r="D734" s="2"/>
      <c r="E734" s="2"/>
      <c r="F734" s="2"/>
    </row>
    <row r="735" spans="1:6" ht="15.75" customHeight="1" x14ac:dyDescent="0.3">
      <c r="A735" s="2"/>
      <c r="B735" s="2"/>
      <c r="C735" s="2"/>
      <c r="D735" s="2"/>
      <c r="E735" s="2"/>
      <c r="F735" s="2"/>
    </row>
    <row r="736" spans="1:6" ht="15.75" customHeight="1" x14ac:dyDescent="0.3">
      <c r="A736" s="2"/>
      <c r="B736" s="2"/>
      <c r="C736" s="2"/>
      <c r="D736" s="2"/>
      <c r="E736" s="2"/>
      <c r="F736" s="2"/>
    </row>
    <row r="737" spans="1:6" ht="15.75" customHeight="1" x14ac:dyDescent="0.3">
      <c r="A737" s="2"/>
      <c r="B737" s="2"/>
      <c r="C737" s="2"/>
      <c r="D737" s="2"/>
      <c r="E737" s="2"/>
      <c r="F737" s="2"/>
    </row>
    <row r="738" spans="1:6" ht="15.75" customHeight="1" x14ac:dyDescent="0.3">
      <c r="A738" s="2"/>
      <c r="B738" s="2"/>
      <c r="C738" s="2"/>
      <c r="D738" s="2"/>
      <c r="E738" s="2"/>
      <c r="F738" s="2"/>
    </row>
    <row r="739" spans="1:6" ht="15.75" customHeight="1" x14ac:dyDescent="0.3">
      <c r="A739" s="2"/>
      <c r="B739" s="2"/>
      <c r="C739" s="2"/>
      <c r="D739" s="2"/>
      <c r="E739" s="2"/>
      <c r="F739" s="2"/>
    </row>
    <row r="740" spans="1:6" ht="15.75" customHeight="1" x14ac:dyDescent="0.3">
      <c r="A740" s="2"/>
      <c r="B740" s="2"/>
      <c r="C740" s="2"/>
      <c r="D740" s="2"/>
      <c r="E740" s="2"/>
      <c r="F740" s="2"/>
    </row>
    <row r="741" spans="1:6" ht="15.75" customHeight="1" x14ac:dyDescent="0.3">
      <c r="A741" s="2"/>
      <c r="B741" s="2"/>
      <c r="C741" s="2"/>
      <c r="D741" s="2"/>
      <c r="E741" s="2"/>
      <c r="F741" s="2"/>
    </row>
    <row r="742" spans="1:6" ht="15.75" customHeight="1" x14ac:dyDescent="0.3">
      <c r="A742" s="2"/>
      <c r="B742" s="2"/>
      <c r="C742" s="2"/>
      <c r="D742" s="2"/>
      <c r="E742" s="2"/>
      <c r="F742" s="2"/>
    </row>
    <row r="743" spans="1:6" ht="15.75" customHeight="1" x14ac:dyDescent="0.3">
      <c r="A743" s="2"/>
      <c r="B743" s="2"/>
      <c r="C743" s="2"/>
      <c r="D743" s="2"/>
      <c r="E743" s="2"/>
      <c r="F743" s="2"/>
    </row>
    <row r="744" spans="1:6" ht="15.75" customHeight="1" x14ac:dyDescent="0.3">
      <c r="A744" s="2"/>
      <c r="B744" s="2"/>
      <c r="C744" s="2"/>
      <c r="D744" s="2"/>
      <c r="E744" s="2"/>
      <c r="F744" s="2"/>
    </row>
    <row r="745" spans="1:6" ht="15.75" customHeight="1" x14ac:dyDescent="0.3">
      <c r="A745" s="2"/>
      <c r="B745" s="2"/>
      <c r="C745" s="2"/>
      <c r="D745" s="2"/>
      <c r="E745" s="2"/>
      <c r="F745" s="2"/>
    </row>
    <row r="746" spans="1:6" ht="15.75" customHeight="1" x14ac:dyDescent="0.3">
      <c r="A746" s="2"/>
      <c r="B746" s="2"/>
      <c r="C746" s="2"/>
      <c r="D746" s="2"/>
      <c r="E746" s="2"/>
      <c r="F746" s="2"/>
    </row>
    <row r="747" spans="1:6" ht="15.75" customHeight="1" x14ac:dyDescent="0.3">
      <c r="A747" s="2"/>
      <c r="B747" s="2"/>
      <c r="C747" s="2"/>
      <c r="D747" s="2"/>
      <c r="E747" s="2"/>
      <c r="F747" s="2"/>
    </row>
    <row r="748" spans="1:6" ht="15.75" customHeight="1" x14ac:dyDescent="0.3">
      <c r="A748" s="2"/>
      <c r="B748" s="2"/>
      <c r="C748" s="2"/>
      <c r="D748" s="2"/>
      <c r="E748" s="2"/>
      <c r="F748" s="2"/>
    </row>
    <row r="749" spans="1:6" ht="15.75" customHeight="1" x14ac:dyDescent="0.3">
      <c r="A749" s="2"/>
      <c r="B749" s="2"/>
      <c r="C749" s="2"/>
      <c r="D749" s="2"/>
      <c r="E749" s="2"/>
      <c r="F749" s="2"/>
    </row>
    <row r="750" spans="1:6" ht="15.75" customHeight="1" x14ac:dyDescent="0.3">
      <c r="A750" s="2"/>
      <c r="B750" s="2"/>
      <c r="C750" s="2"/>
      <c r="D750" s="2"/>
      <c r="E750" s="2"/>
      <c r="F750" s="2"/>
    </row>
    <row r="751" spans="1:6" ht="15.75" customHeight="1" x14ac:dyDescent="0.3">
      <c r="A751" s="2"/>
      <c r="B751" s="2"/>
      <c r="C751" s="2"/>
      <c r="D751" s="2"/>
      <c r="E751" s="2"/>
      <c r="F751" s="2"/>
    </row>
    <row r="752" spans="1:6" ht="15.75" customHeight="1" x14ac:dyDescent="0.3">
      <c r="A752" s="2"/>
      <c r="B752" s="2"/>
      <c r="C752" s="2"/>
      <c r="D752" s="2"/>
      <c r="E752" s="2"/>
      <c r="F752" s="2"/>
    </row>
    <row r="753" spans="1:6" ht="15.75" customHeight="1" x14ac:dyDescent="0.3">
      <c r="A753" s="2"/>
      <c r="B753" s="2"/>
      <c r="C753" s="2"/>
      <c r="D753" s="2"/>
      <c r="E753" s="2"/>
      <c r="F753" s="2"/>
    </row>
    <row r="754" spans="1:6" ht="15.75" customHeight="1" x14ac:dyDescent="0.3">
      <c r="A754" s="2"/>
      <c r="B754" s="2"/>
      <c r="C754" s="2"/>
      <c r="D754" s="2"/>
      <c r="E754" s="2"/>
      <c r="F754" s="2"/>
    </row>
    <row r="755" spans="1:6" ht="15.75" customHeight="1" x14ac:dyDescent="0.3">
      <c r="A755" s="2"/>
      <c r="B755" s="2"/>
      <c r="C755" s="2"/>
      <c r="D755" s="2"/>
      <c r="E755" s="2"/>
      <c r="F755" s="2"/>
    </row>
    <row r="756" spans="1:6" ht="15.75" customHeight="1" x14ac:dyDescent="0.3">
      <c r="A756" s="2"/>
      <c r="B756" s="2"/>
      <c r="C756" s="2"/>
      <c r="D756" s="2"/>
      <c r="E756" s="2"/>
      <c r="F756" s="2"/>
    </row>
    <row r="757" spans="1:6" ht="15.75" customHeight="1" x14ac:dyDescent="0.3">
      <c r="A757" s="2"/>
      <c r="B757" s="2"/>
      <c r="C757" s="2"/>
      <c r="D757" s="2"/>
      <c r="E757" s="2"/>
      <c r="F757" s="2"/>
    </row>
    <row r="758" spans="1:6" ht="15.75" customHeight="1" x14ac:dyDescent="0.3">
      <c r="A758" s="2"/>
      <c r="B758" s="2"/>
      <c r="C758" s="2"/>
      <c r="D758" s="2"/>
      <c r="E758" s="2"/>
      <c r="F758" s="2"/>
    </row>
    <row r="759" spans="1:6" ht="15.75" customHeight="1" x14ac:dyDescent="0.3">
      <c r="A759" s="2"/>
      <c r="B759" s="2"/>
      <c r="C759" s="2"/>
      <c r="D759" s="2"/>
      <c r="E759" s="2"/>
      <c r="F759" s="2"/>
    </row>
    <row r="760" spans="1:6" ht="15.75" customHeight="1" x14ac:dyDescent="0.3">
      <c r="A760" s="2"/>
      <c r="B760" s="2"/>
      <c r="C760" s="2"/>
      <c r="D760" s="2"/>
      <c r="E760" s="2"/>
      <c r="F760" s="2"/>
    </row>
    <row r="761" spans="1:6" ht="15.75" customHeight="1" x14ac:dyDescent="0.3">
      <c r="A761" s="2"/>
      <c r="B761" s="2"/>
      <c r="C761" s="2"/>
      <c r="D761" s="2"/>
      <c r="E761" s="2"/>
      <c r="F761" s="2"/>
    </row>
    <row r="762" spans="1:6" ht="15.75" customHeight="1" x14ac:dyDescent="0.3">
      <c r="A762" s="2"/>
      <c r="B762" s="2"/>
      <c r="C762" s="2"/>
      <c r="D762" s="2"/>
      <c r="E762" s="2"/>
      <c r="F762" s="2"/>
    </row>
    <row r="763" spans="1:6" ht="15.75" customHeight="1" x14ac:dyDescent="0.3">
      <c r="A763" s="2"/>
      <c r="B763" s="2"/>
      <c r="C763" s="2"/>
      <c r="D763" s="2"/>
      <c r="E763" s="2"/>
      <c r="F763" s="2"/>
    </row>
    <row r="764" spans="1:6" ht="15.75" customHeight="1" x14ac:dyDescent="0.3">
      <c r="A764" s="2"/>
      <c r="B764" s="2"/>
      <c r="C764" s="2"/>
      <c r="D764" s="2"/>
      <c r="E764" s="2"/>
      <c r="F764" s="2"/>
    </row>
    <row r="765" spans="1:6" ht="15.75" customHeight="1" x14ac:dyDescent="0.3">
      <c r="A765" s="2"/>
      <c r="B765" s="2"/>
      <c r="C765" s="2"/>
      <c r="D765" s="2"/>
      <c r="E765" s="2"/>
      <c r="F765" s="2"/>
    </row>
    <row r="766" spans="1:6" ht="15.75" customHeight="1" x14ac:dyDescent="0.3">
      <c r="A766" s="2"/>
      <c r="B766" s="2"/>
      <c r="C766" s="2"/>
      <c r="D766" s="2"/>
      <c r="E766" s="2"/>
      <c r="F766" s="2"/>
    </row>
    <row r="767" spans="1:6" ht="15.75" customHeight="1" x14ac:dyDescent="0.3">
      <c r="A767" s="2"/>
      <c r="B767" s="2"/>
      <c r="C767" s="2"/>
      <c r="D767" s="2"/>
      <c r="E767" s="2"/>
      <c r="F767" s="2"/>
    </row>
    <row r="768" spans="1:6" ht="15.75" customHeight="1" x14ac:dyDescent="0.3">
      <c r="A768" s="2"/>
      <c r="B768" s="2"/>
      <c r="C768" s="2"/>
      <c r="D768" s="2"/>
      <c r="E768" s="2"/>
      <c r="F768" s="2"/>
    </row>
    <row r="769" spans="1:6" ht="15.75" customHeight="1" x14ac:dyDescent="0.3">
      <c r="A769" s="2"/>
      <c r="B769" s="2"/>
      <c r="C769" s="2"/>
      <c r="D769" s="2"/>
      <c r="E769" s="2"/>
      <c r="F769" s="2"/>
    </row>
    <row r="770" spans="1:6" ht="15.75" customHeight="1" x14ac:dyDescent="0.3">
      <c r="A770" s="2"/>
      <c r="B770" s="2"/>
      <c r="C770" s="2"/>
      <c r="D770" s="2"/>
      <c r="E770" s="2"/>
      <c r="F770" s="2"/>
    </row>
    <row r="771" spans="1:6" ht="15.75" customHeight="1" x14ac:dyDescent="0.3">
      <c r="A771" s="2"/>
      <c r="B771" s="2"/>
      <c r="C771" s="2"/>
      <c r="D771" s="2"/>
      <c r="E771" s="2"/>
      <c r="F771" s="2"/>
    </row>
    <row r="772" spans="1:6" ht="15.75" customHeight="1" x14ac:dyDescent="0.3">
      <c r="A772" s="2"/>
      <c r="B772" s="2"/>
      <c r="C772" s="2"/>
      <c r="D772" s="2"/>
      <c r="E772" s="2"/>
      <c r="F772" s="2"/>
    </row>
    <row r="773" spans="1:6" ht="15.75" customHeight="1" x14ac:dyDescent="0.3">
      <c r="A773" s="2"/>
      <c r="B773" s="2"/>
      <c r="C773" s="2"/>
      <c r="D773" s="2"/>
      <c r="E773" s="2"/>
      <c r="F773" s="2"/>
    </row>
    <row r="774" spans="1:6" ht="15.75" customHeight="1" x14ac:dyDescent="0.3">
      <c r="A774" s="2"/>
      <c r="B774" s="2"/>
      <c r="C774" s="2"/>
      <c r="D774" s="2"/>
      <c r="E774" s="2"/>
      <c r="F774" s="2"/>
    </row>
    <row r="775" spans="1:6" ht="15.75" customHeight="1" x14ac:dyDescent="0.3">
      <c r="A775" s="2"/>
      <c r="B775" s="2"/>
      <c r="C775" s="2"/>
      <c r="D775" s="2"/>
      <c r="E775" s="2"/>
      <c r="F775" s="2"/>
    </row>
    <row r="776" spans="1:6" ht="15.75" customHeight="1" x14ac:dyDescent="0.3">
      <c r="A776" s="2"/>
      <c r="B776" s="2"/>
      <c r="C776" s="2"/>
      <c r="D776" s="2"/>
      <c r="E776" s="2"/>
      <c r="F776" s="2"/>
    </row>
    <row r="777" spans="1:6" ht="15.75" customHeight="1" x14ac:dyDescent="0.3">
      <c r="A777" s="2"/>
      <c r="B777" s="2"/>
      <c r="C777" s="2"/>
      <c r="D777" s="2"/>
      <c r="E777" s="2"/>
      <c r="F777" s="2"/>
    </row>
    <row r="778" spans="1:6" ht="15.75" customHeight="1" x14ac:dyDescent="0.3">
      <c r="A778" s="2"/>
      <c r="B778" s="2"/>
      <c r="C778" s="2"/>
      <c r="D778" s="2"/>
      <c r="E778" s="2"/>
      <c r="F778" s="2"/>
    </row>
    <row r="779" spans="1:6" ht="15.75" customHeight="1" x14ac:dyDescent="0.3">
      <c r="A779" s="2"/>
      <c r="B779" s="2"/>
      <c r="C779" s="2"/>
      <c r="D779" s="2"/>
      <c r="E779" s="2"/>
      <c r="F779" s="2"/>
    </row>
    <row r="780" spans="1:6" ht="15.75" customHeight="1" x14ac:dyDescent="0.3">
      <c r="A780" s="2"/>
      <c r="B780" s="2"/>
      <c r="C780" s="2"/>
      <c r="D780" s="2"/>
      <c r="E780" s="2"/>
      <c r="F780" s="2"/>
    </row>
    <row r="781" spans="1:6" ht="15.75" customHeight="1" x14ac:dyDescent="0.3">
      <c r="A781" s="2"/>
      <c r="B781" s="2"/>
      <c r="C781" s="2"/>
      <c r="D781" s="2"/>
      <c r="E781" s="2"/>
      <c r="F781" s="2"/>
    </row>
    <row r="782" spans="1:6" ht="15.75" customHeight="1" x14ac:dyDescent="0.3">
      <c r="A782" s="2"/>
      <c r="B782" s="2"/>
      <c r="C782" s="2"/>
      <c r="D782" s="2"/>
      <c r="E782" s="2"/>
      <c r="F782" s="2"/>
    </row>
    <row r="783" spans="1:6" ht="15.75" customHeight="1" x14ac:dyDescent="0.3">
      <c r="A783" s="2"/>
      <c r="B783" s="2"/>
      <c r="C783" s="2"/>
      <c r="D783" s="2"/>
      <c r="E783" s="2"/>
      <c r="F783" s="2"/>
    </row>
    <row r="784" spans="1:6" ht="15.75" customHeight="1" x14ac:dyDescent="0.3">
      <c r="A784" s="2"/>
      <c r="B784" s="2"/>
      <c r="C784" s="2"/>
      <c r="D784" s="2"/>
      <c r="E784" s="2"/>
      <c r="F784" s="2"/>
    </row>
    <row r="785" spans="1:6" ht="15.75" customHeight="1" x14ac:dyDescent="0.3">
      <c r="A785" s="2"/>
      <c r="B785" s="2"/>
      <c r="C785" s="2"/>
      <c r="D785" s="2"/>
      <c r="E785" s="2"/>
      <c r="F785" s="2"/>
    </row>
    <row r="786" spans="1:6" ht="15.75" customHeight="1" x14ac:dyDescent="0.3">
      <c r="A786" s="2"/>
      <c r="B786" s="2"/>
      <c r="C786" s="2"/>
      <c r="D786" s="2"/>
      <c r="E786" s="2"/>
      <c r="F786" s="2"/>
    </row>
    <row r="787" spans="1:6" ht="15.75" customHeight="1" x14ac:dyDescent="0.3">
      <c r="A787" s="2"/>
      <c r="B787" s="2"/>
      <c r="C787" s="2"/>
      <c r="D787" s="2"/>
      <c r="E787" s="2"/>
      <c r="F787" s="2"/>
    </row>
    <row r="788" spans="1:6" ht="15.75" customHeight="1" x14ac:dyDescent="0.3">
      <c r="A788" s="2"/>
      <c r="B788" s="2"/>
      <c r="C788" s="2"/>
      <c r="D788" s="2"/>
      <c r="E788" s="2"/>
      <c r="F788" s="2"/>
    </row>
    <row r="789" spans="1:6" ht="15.75" customHeight="1" x14ac:dyDescent="0.3">
      <c r="A789" s="2"/>
      <c r="B789" s="2"/>
      <c r="C789" s="2"/>
      <c r="D789" s="2"/>
      <c r="E789" s="2"/>
      <c r="F789" s="2"/>
    </row>
    <row r="790" spans="1:6" ht="15.75" customHeight="1" x14ac:dyDescent="0.3">
      <c r="A790" s="2"/>
      <c r="B790" s="2"/>
      <c r="C790" s="2"/>
      <c r="D790" s="2"/>
      <c r="E790" s="2"/>
      <c r="F790" s="2"/>
    </row>
    <row r="791" spans="1:6" ht="15.75" customHeight="1" x14ac:dyDescent="0.3">
      <c r="A791" s="2"/>
      <c r="B791" s="2"/>
      <c r="C791" s="2"/>
      <c r="D791" s="2"/>
      <c r="E791" s="2"/>
      <c r="F791" s="2"/>
    </row>
    <row r="792" spans="1:6" ht="15.75" customHeight="1" x14ac:dyDescent="0.3">
      <c r="A792" s="2"/>
      <c r="B792" s="2"/>
      <c r="C792" s="2"/>
      <c r="D792" s="2"/>
      <c r="E792" s="2"/>
      <c r="F792" s="2"/>
    </row>
    <row r="793" spans="1:6" ht="15.75" customHeight="1" x14ac:dyDescent="0.3">
      <c r="A793" s="2"/>
      <c r="B793" s="2"/>
      <c r="C793" s="2"/>
      <c r="D793" s="2"/>
      <c r="E793" s="2"/>
      <c r="F793" s="2"/>
    </row>
    <row r="794" spans="1:6" ht="15.75" customHeight="1" x14ac:dyDescent="0.3">
      <c r="A794" s="2"/>
      <c r="B794" s="2"/>
      <c r="C794" s="2"/>
      <c r="D794" s="2"/>
      <c r="E794" s="2"/>
      <c r="F794" s="2"/>
    </row>
    <row r="795" spans="1:6" ht="15.75" customHeight="1" x14ac:dyDescent="0.3">
      <c r="A795" s="2"/>
      <c r="B795" s="2"/>
      <c r="C795" s="2"/>
      <c r="D795" s="2"/>
      <c r="E795" s="2"/>
      <c r="F795" s="2"/>
    </row>
    <row r="796" spans="1:6" ht="15.75" customHeight="1" x14ac:dyDescent="0.3">
      <c r="A796" s="2"/>
      <c r="B796" s="2"/>
      <c r="C796" s="2"/>
      <c r="D796" s="2"/>
      <c r="E796" s="2"/>
      <c r="F796" s="2"/>
    </row>
    <row r="797" spans="1:6" ht="15.75" customHeight="1" x14ac:dyDescent="0.3">
      <c r="A797" s="2"/>
      <c r="B797" s="2"/>
      <c r="C797" s="2"/>
      <c r="D797" s="2"/>
      <c r="E797" s="2"/>
      <c r="F797" s="2"/>
    </row>
    <row r="798" spans="1:6" ht="15.75" customHeight="1" x14ac:dyDescent="0.3">
      <c r="A798" s="2"/>
      <c r="B798" s="2"/>
      <c r="C798" s="2"/>
      <c r="D798" s="2"/>
      <c r="E798" s="2"/>
      <c r="F798" s="2"/>
    </row>
    <row r="799" spans="1:6" ht="15.75" customHeight="1" x14ac:dyDescent="0.3">
      <c r="A799" s="2"/>
      <c r="B799" s="2"/>
      <c r="C799" s="2"/>
      <c r="D799" s="2"/>
      <c r="E799" s="2"/>
      <c r="F799" s="2"/>
    </row>
    <row r="800" spans="1:6" ht="15.75" customHeight="1" x14ac:dyDescent="0.3">
      <c r="A800" s="2"/>
      <c r="B800" s="2"/>
      <c r="C800" s="2"/>
      <c r="D800" s="2"/>
      <c r="E800" s="2"/>
      <c r="F800" s="2"/>
    </row>
    <row r="801" spans="1:6" ht="15.75" customHeight="1" x14ac:dyDescent="0.3">
      <c r="A801" s="2"/>
      <c r="B801" s="2"/>
      <c r="C801" s="2"/>
      <c r="D801" s="2"/>
      <c r="E801" s="2"/>
      <c r="F801" s="2"/>
    </row>
    <row r="802" spans="1:6" ht="15.75" customHeight="1" x14ac:dyDescent="0.3">
      <c r="A802" s="2"/>
      <c r="B802" s="2"/>
      <c r="C802" s="2"/>
      <c r="D802" s="2"/>
      <c r="E802" s="2"/>
      <c r="F802" s="2"/>
    </row>
    <row r="803" spans="1:6" ht="15.75" customHeight="1" x14ac:dyDescent="0.3">
      <c r="A803" s="2"/>
      <c r="B803" s="2"/>
      <c r="C803" s="2"/>
      <c r="D803" s="2"/>
      <c r="E803" s="2"/>
      <c r="F803" s="2"/>
    </row>
    <row r="804" spans="1:6" ht="15.75" customHeight="1" x14ac:dyDescent="0.3">
      <c r="A804" s="2"/>
      <c r="B804" s="2"/>
      <c r="C804" s="2"/>
      <c r="D804" s="2"/>
      <c r="E804" s="2"/>
      <c r="F804" s="2"/>
    </row>
    <row r="805" spans="1:6" ht="15.75" customHeight="1" x14ac:dyDescent="0.3">
      <c r="A805" s="2"/>
      <c r="B805" s="2"/>
      <c r="C805" s="2"/>
      <c r="D805" s="2"/>
      <c r="E805" s="2"/>
      <c r="F805" s="2"/>
    </row>
    <row r="806" spans="1:6" ht="15.75" customHeight="1" x14ac:dyDescent="0.3">
      <c r="A806" s="2"/>
      <c r="B806" s="2"/>
      <c r="C806" s="2"/>
      <c r="D806" s="2"/>
      <c r="E806" s="2"/>
      <c r="F806" s="2"/>
    </row>
    <row r="807" spans="1:6" ht="15.75" customHeight="1" x14ac:dyDescent="0.3">
      <c r="A807" s="2"/>
      <c r="B807" s="2"/>
      <c r="C807" s="2"/>
      <c r="D807" s="2"/>
      <c r="E807" s="2"/>
      <c r="F807" s="2"/>
    </row>
    <row r="808" spans="1:6" ht="15.75" customHeight="1" x14ac:dyDescent="0.3">
      <c r="A808" s="2"/>
      <c r="B808" s="2"/>
      <c r="C808" s="2"/>
      <c r="D808" s="2"/>
      <c r="E808" s="2"/>
      <c r="F808" s="2"/>
    </row>
    <row r="809" spans="1:6" ht="15.75" customHeight="1" x14ac:dyDescent="0.3">
      <c r="A809" s="2"/>
      <c r="B809" s="2"/>
      <c r="C809" s="2"/>
      <c r="D809" s="2"/>
      <c r="E809" s="2"/>
      <c r="F809" s="2"/>
    </row>
    <row r="810" spans="1:6" ht="15.75" customHeight="1" x14ac:dyDescent="0.3">
      <c r="A810" s="2"/>
      <c r="B810" s="2"/>
      <c r="C810" s="2"/>
      <c r="D810" s="2"/>
      <c r="E810" s="2"/>
      <c r="F810" s="2"/>
    </row>
    <row r="811" spans="1:6" ht="15.75" customHeight="1" x14ac:dyDescent="0.3">
      <c r="A811" s="2"/>
      <c r="B811" s="2"/>
      <c r="C811" s="2"/>
      <c r="D811" s="2"/>
      <c r="E811" s="2"/>
      <c r="F811" s="2"/>
    </row>
    <row r="812" spans="1:6" ht="15.75" customHeight="1" x14ac:dyDescent="0.3">
      <c r="A812" s="2"/>
      <c r="B812" s="2"/>
      <c r="C812" s="2"/>
      <c r="D812" s="2"/>
      <c r="E812" s="2"/>
      <c r="F812" s="2"/>
    </row>
    <row r="813" spans="1:6" ht="15.75" customHeight="1" x14ac:dyDescent="0.3">
      <c r="A813" s="2"/>
      <c r="B813" s="2"/>
      <c r="C813" s="2"/>
      <c r="D813" s="2"/>
      <c r="E813" s="2"/>
      <c r="F813" s="2"/>
    </row>
    <row r="814" spans="1:6" ht="15.75" customHeight="1" x14ac:dyDescent="0.3">
      <c r="A814" s="2"/>
      <c r="B814" s="2"/>
      <c r="C814" s="2"/>
      <c r="D814" s="2"/>
      <c r="E814" s="2"/>
      <c r="F814" s="2"/>
    </row>
    <row r="815" spans="1:6" ht="15.75" customHeight="1" x14ac:dyDescent="0.3">
      <c r="A815" s="2"/>
      <c r="B815" s="2"/>
      <c r="C815" s="2"/>
      <c r="D815" s="2"/>
      <c r="E815" s="2"/>
      <c r="F815" s="2"/>
    </row>
    <row r="816" spans="1:6" ht="15.75" customHeight="1" x14ac:dyDescent="0.3">
      <c r="A816" s="2"/>
      <c r="B816" s="2"/>
      <c r="C816" s="2"/>
      <c r="D816" s="2"/>
      <c r="E816" s="2"/>
      <c r="F816" s="2"/>
    </row>
    <row r="817" spans="1:6" ht="15.75" customHeight="1" x14ac:dyDescent="0.3">
      <c r="A817" s="2"/>
      <c r="B817" s="2"/>
      <c r="C817" s="2"/>
      <c r="D817" s="2"/>
      <c r="E817" s="2"/>
      <c r="F817" s="2"/>
    </row>
    <row r="818" spans="1:6" ht="15.75" customHeight="1" x14ac:dyDescent="0.3">
      <c r="A818" s="2"/>
      <c r="B818" s="2"/>
      <c r="C818" s="2"/>
      <c r="D818" s="2"/>
      <c r="E818" s="2"/>
      <c r="F818" s="2"/>
    </row>
    <row r="819" spans="1:6" ht="15.75" customHeight="1" x14ac:dyDescent="0.3">
      <c r="A819" s="2"/>
      <c r="B819" s="2"/>
      <c r="C819" s="2"/>
      <c r="D819" s="2"/>
      <c r="E819" s="2"/>
      <c r="F819" s="2"/>
    </row>
    <row r="820" spans="1:6" ht="15.75" customHeight="1" x14ac:dyDescent="0.3">
      <c r="A820" s="2"/>
      <c r="B820" s="2"/>
      <c r="C820" s="2"/>
      <c r="D820" s="2"/>
      <c r="E820" s="2"/>
      <c r="F820" s="2"/>
    </row>
    <row r="821" spans="1:6" ht="15.75" customHeight="1" x14ac:dyDescent="0.3">
      <c r="A821" s="2"/>
      <c r="B821" s="2"/>
      <c r="C821" s="2"/>
      <c r="D821" s="2"/>
      <c r="E821" s="2"/>
      <c r="F821" s="2"/>
    </row>
    <row r="822" spans="1:6" ht="15.75" customHeight="1" x14ac:dyDescent="0.3">
      <c r="A822" s="2"/>
      <c r="B822" s="2"/>
      <c r="C822" s="2"/>
      <c r="D822" s="2"/>
      <c r="E822" s="2"/>
      <c r="F822" s="2"/>
    </row>
    <row r="823" spans="1:6" ht="15.75" customHeight="1" x14ac:dyDescent="0.3">
      <c r="A823" s="2"/>
      <c r="B823" s="2"/>
      <c r="C823" s="2"/>
      <c r="D823" s="2"/>
      <c r="E823" s="2"/>
      <c r="F823" s="2"/>
    </row>
    <row r="824" spans="1:6" ht="15.75" customHeight="1" x14ac:dyDescent="0.3">
      <c r="A824" s="2"/>
      <c r="B824" s="2"/>
      <c r="C824" s="2"/>
      <c r="D824" s="2"/>
      <c r="E824" s="2"/>
      <c r="F824" s="2"/>
    </row>
    <row r="825" spans="1:6" ht="15.75" customHeight="1" x14ac:dyDescent="0.3">
      <c r="A825" s="2"/>
      <c r="B825" s="2"/>
      <c r="C825" s="2"/>
      <c r="D825" s="2"/>
      <c r="E825" s="2"/>
      <c r="F825" s="2"/>
    </row>
    <row r="826" spans="1:6" ht="15.75" customHeight="1" x14ac:dyDescent="0.3">
      <c r="A826" s="2"/>
      <c r="B826" s="2"/>
      <c r="C826" s="2"/>
      <c r="D826" s="2"/>
      <c r="E826" s="2"/>
      <c r="F826" s="2"/>
    </row>
    <row r="827" spans="1:6" ht="15.75" customHeight="1" x14ac:dyDescent="0.3">
      <c r="A827" s="2"/>
      <c r="B827" s="2"/>
      <c r="C827" s="2"/>
      <c r="D827" s="2"/>
      <c r="E827" s="2"/>
      <c r="F827" s="2"/>
    </row>
    <row r="828" spans="1:6" ht="15.75" customHeight="1" x14ac:dyDescent="0.3">
      <c r="A828" s="2"/>
      <c r="B828" s="2"/>
      <c r="C828" s="2"/>
      <c r="D828" s="2"/>
      <c r="E828" s="2"/>
      <c r="F828" s="2"/>
    </row>
    <row r="829" spans="1:6" ht="15.75" customHeight="1" x14ac:dyDescent="0.3">
      <c r="A829" s="2"/>
      <c r="B829" s="2"/>
      <c r="C829" s="2"/>
      <c r="D829" s="2"/>
      <c r="E829" s="2"/>
      <c r="F829" s="2"/>
    </row>
    <row r="830" spans="1:6" ht="15.75" customHeight="1" x14ac:dyDescent="0.3">
      <c r="A830" s="2"/>
      <c r="B830" s="2"/>
      <c r="C830" s="2"/>
      <c r="D830" s="2"/>
      <c r="E830" s="2"/>
      <c r="F830" s="2"/>
    </row>
    <row r="831" spans="1:6" ht="15.75" customHeight="1" x14ac:dyDescent="0.3">
      <c r="A831" s="2"/>
      <c r="B831" s="2"/>
      <c r="C831" s="2"/>
      <c r="D831" s="2"/>
      <c r="E831" s="2"/>
      <c r="F831" s="2"/>
    </row>
    <row r="832" spans="1:6" ht="15.75" customHeight="1" x14ac:dyDescent="0.3">
      <c r="A832" s="2"/>
      <c r="B832" s="2"/>
      <c r="C832" s="2"/>
      <c r="D832" s="2"/>
      <c r="E832" s="2"/>
      <c r="F832" s="2"/>
    </row>
    <row r="833" spans="1:6" ht="15.75" customHeight="1" x14ac:dyDescent="0.3">
      <c r="A833" s="2"/>
      <c r="B833" s="2"/>
      <c r="C833" s="2"/>
      <c r="D833" s="2"/>
      <c r="E833" s="2"/>
      <c r="F833" s="2"/>
    </row>
    <row r="834" spans="1:6" ht="15.75" customHeight="1" x14ac:dyDescent="0.3">
      <c r="A834" s="2"/>
      <c r="B834" s="2"/>
      <c r="C834" s="2"/>
      <c r="D834" s="2"/>
      <c r="E834" s="2"/>
      <c r="F834" s="2"/>
    </row>
    <row r="835" spans="1:6" ht="15.75" customHeight="1" x14ac:dyDescent="0.3">
      <c r="A835" s="2"/>
      <c r="B835" s="2"/>
      <c r="C835" s="2"/>
      <c r="D835" s="2"/>
      <c r="E835" s="2"/>
      <c r="F835" s="2"/>
    </row>
    <row r="836" spans="1:6" ht="15.75" customHeight="1" x14ac:dyDescent="0.3">
      <c r="A836" s="2"/>
      <c r="B836" s="2"/>
      <c r="C836" s="2"/>
      <c r="D836" s="2"/>
      <c r="E836" s="2"/>
      <c r="F836" s="2"/>
    </row>
    <row r="837" spans="1:6" ht="15.75" customHeight="1" x14ac:dyDescent="0.3">
      <c r="A837" s="2"/>
      <c r="B837" s="2"/>
      <c r="C837" s="2"/>
      <c r="D837" s="2"/>
      <c r="E837" s="2"/>
      <c r="F837" s="2"/>
    </row>
    <row r="838" spans="1:6" ht="15.75" customHeight="1" x14ac:dyDescent="0.3">
      <c r="A838" s="2"/>
      <c r="B838" s="2"/>
      <c r="C838" s="2"/>
      <c r="D838" s="2"/>
      <c r="E838" s="2"/>
      <c r="F838" s="2"/>
    </row>
    <row r="839" spans="1:6" ht="15.75" customHeight="1" x14ac:dyDescent="0.3">
      <c r="A839" s="2"/>
      <c r="B839" s="2"/>
      <c r="C839" s="2"/>
      <c r="D839" s="2"/>
      <c r="E839" s="2"/>
      <c r="F839" s="2"/>
    </row>
    <row r="840" spans="1:6" ht="15.75" customHeight="1" x14ac:dyDescent="0.3">
      <c r="A840" s="2"/>
      <c r="B840" s="2"/>
      <c r="C840" s="2"/>
      <c r="D840" s="2"/>
      <c r="E840" s="2"/>
      <c r="F840" s="2"/>
    </row>
    <row r="841" spans="1:6" ht="15.75" customHeight="1" x14ac:dyDescent="0.3">
      <c r="A841" s="2"/>
      <c r="B841" s="2"/>
      <c r="C841" s="2"/>
      <c r="D841" s="2"/>
      <c r="E841" s="2"/>
      <c r="F841" s="2"/>
    </row>
    <row r="842" spans="1:6" ht="15.75" customHeight="1" x14ac:dyDescent="0.3">
      <c r="A842" s="2"/>
      <c r="B842" s="2"/>
      <c r="C842" s="2"/>
      <c r="D842" s="2"/>
      <c r="E842" s="2"/>
      <c r="F842" s="2"/>
    </row>
    <row r="843" spans="1:6" ht="15.75" customHeight="1" x14ac:dyDescent="0.3">
      <c r="A843" s="2"/>
      <c r="B843" s="2"/>
      <c r="C843" s="2"/>
      <c r="D843" s="2"/>
      <c r="E843" s="2"/>
      <c r="F843" s="2"/>
    </row>
    <row r="844" spans="1:6" ht="15.75" customHeight="1" x14ac:dyDescent="0.3">
      <c r="A844" s="2"/>
      <c r="B844" s="2"/>
      <c r="C844" s="2"/>
      <c r="D844" s="2"/>
      <c r="E844" s="2"/>
      <c r="F844" s="2"/>
    </row>
    <row r="845" spans="1:6" ht="15.75" customHeight="1" x14ac:dyDescent="0.3">
      <c r="A845" s="2"/>
      <c r="B845" s="2"/>
      <c r="C845" s="2"/>
      <c r="D845" s="2"/>
      <c r="E845" s="2"/>
      <c r="F845" s="2"/>
    </row>
    <row r="846" spans="1:6" ht="15.75" customHeight="1" x14ac:dyDescent="0.3">
      <c r="A846" s="2"/>
      <c r="B846" s="2"/>
      <c r="C846" s="2"/>
      <c r="D846" s="2"/>
      <c r="E846" s="2"/>
      <c r="F846" s="2"/>
    </row>
    <row r="847" spans="1:6" ht="15.75" customHeight="1" x14ac:dyDescent="0.3">
      <c r="A847" s="2"/>
      <c r="B847" s="2"/>
      <c r="C847" s="2"/>
      <c r="D847" s="2"/>
      <c r="E847" s="2"/>
      <c r="F847" s="2"/>
    </row>
    <row r="848" spans="1:6" ht="15.75" customHeight="1" x14ac:dyDescent="0.3">
      <c r="A848" s="2"/>
      <c r="B848" s="2"/>
      <c r="C848" s="2"/>
      <c r="D848" s="2"/>
      <c r="E848" s="2"/>
      <c r="F848" s="2"/>
    </row>
    <row r="849" spans="1:6" ht="15.75" customHeight="1" x14ac:dyDescent="0.3">
      <c r="A849" s="2"/>
      <c r="B849" s="2"/>
      <c r="C849" s="2"/>
      <c r="D849" s="2"/>
      <c r="E849" s="2"/>
      <c r="F849" s="2"/>
    </row>
    <row r="850" spans="1:6" ht="15.75" customHeight="1" x14ac:dyDescent="0.3">
      <c r="A850" s="2"/>
      <c r="B850" s="2"/>
      <c r="C850" s="2"/>
      <c r="D850" s="2"/>
      <c r="E850" s="2"/>
      <c r="F850" s="2"/>
    </row>
    <row r="851" spans="1:6" ht="15.75" customHeight="1" x14ac:dyDescent="0.3">
      <c r="A851" s="2"/>
      <c r="B851" s="2"/>
      <c r="C851" s="2"/>
      <c r="D851" s="2"/>
      <c r="E851" s="2"/>
      <c r="F851" s="2"/>
    </row>
    <row r="852" spans="1:6" ht="15.75" customHeight="1" x14ac:dyDescent="0.3">
      <c r="A852" s="2"/>
      <c r="B852" s="2"/>
      <c r="C852" s="2"/>
      <c r="D852" s="2"/>
      <c r="E852" s="2"/>
      <c r="F852" s="2"/>
    </row>
    <row r="853" spans="1:6" ht="15.75" customHeight="1" x14ac:dyDescent="0.3">
      <c r="A853" s="2"/>
      <c r="B853" s="2"/>
      <c r="C853" s="2"/>
      <c r="D853" s="2"/>
      <c r="E853" s="2"/>
      <c r="F853" s="2"/>
    </row>
    <row r="854" spans="1:6" ht="15.75" customHeight="1" x14ac:dyDescent="0.3">
      <c r="A854" s="2"/>
      <c r="B854" s="2"/>
      <c r="C854" s="2"/>
      <c r="D854" s="2"/>
      <c r="E854" s="2"/>
      <c r="F854" s="2"/>
    </row>
    <row r="855" spans="1:6" ht="15.75" customHeight="1" x14ac:dyDescent="0.3">
      <c r="A855" s="2"/>
      <c r="B855" s="2"/>
      <c r="C855" s="2"/>
      <c r="D855" s="2"/>
      <c r="E855" s="2"/>
      <c r="F855" s="2"/>
    </row>
    <row r="856" spans="1:6" ht="15.75" customHeight="1" x14ac:dyDescent="0.3">
      <c r="A856" s="2"/>
      <c r="B856" s="2"/>
      <c r="C856" s="2"/>
      <c r="D856" s="2"/>
      <c r="E856" s="2"/>
      <c r="F856" s="2"/>
    </row>
    <row r="857" spans="1:6" ht="15.75" customHeight="1" x14ac:dyDescent="0.3">
      <c r="A857" s="2"/>
      <c r="B857" s="2"/>
      <c r="C857" s="2"/>
      <c r="D857" s="2"/>
      <c r="E857" s="2"/>
      <c r="F857" s="2"/>
    </row>
    <row r="858" spans="1:6" ht="15.75" customHeight="1" x14ac:dyDescent="0.3">
      <c r="A858" s="2"/>
      <c r="B858" s="2"/>
      <c r="C858" s="2"/>
      <c r="D858" s="2"/>
      <c r="E858" s="2"/>
      <c r="F858" s="2"/>
    </row>
    <row r="859" spans="1:6" ht="15.75" customHeight="1" x14ac:dyDescent="0.3">
      <c r="A859" s="2"/>
      <c r="B859" s="2"/>
      <c r="C859" s="2"/>
      <c r="D859" s="2"/>
      <c r="E859" s="2"/>
      <c r="F859" s="2"/>
    </row>
    <row r="860" spans="1:6" ht="15.75" customHeight="1" x14ac:dyDescent="0.3">
      <c r="A860" s="2"/>
      <c r="B860" s="2"/>
      <c r="C860" s="2"/>
      <c r="D860" s="2"/>
      <c r="E860" s="2"/>
      <c r="F860" s="2"/>
    </row>
    <row r="861" spans="1:6" ht="15.75" customHeight="1" x14ac:dyDescent="0.3">
      <c r="A861" s="2"/>
      <c r="B861" s="2"/>
      <c r="C861" s="2"/>
      <c r="D861" s="2"/>
      <c r="E861" s="2"/>
      <c r="F861" s="2"/>
    </row>
    <row r="862" spans="1:6" ht="15.75" customHeight="1" x14ac:dyDescent="0.3">
      <c r="A862" s="2"/>
      <c r="B862" s="2"/>
      <c r="C862" s="2"/>
      <c r="D862" s="2"/>
      <c r="E862" s="2"/>
      <c r="F862" s="2"/>
    </row>
    <row r="863" spans="1:6" ht="15.75" customHeight="1" x14ac:dyDescent="0.3">
      <c r="A863" s="2"/>
      <c r="B863" s="2"/>
      <c r="C863" s="2"/>
      <c r="D863" s="2"/>
      <c r="E863" s="2"/>
      <c r="F863" s="2"/>
    </row>
    <row r="864" spans="1:6" ht="15.75" customHeight="1" x14ac:dyDescent="0.3">
      <c r="A864" s="2"/>
      <c r="B864" s="2"/>
      <c r="C864" s="2"/>
      <c r="D864" s="2"/>
      <c r="E864" s="2"/>
      <c r="F864" s="2"/>
    </row>
    <row r="865" spans="1:6" ht="15.75" customHeight="1" x14ac:dyDescent="0.3">
      <c r="A865" s="2"/>
      <c r="B865" s="2"/>
      <c r="C865" s="2"/>
      <c r="D865" s="2"/>
      <c r="E865" s="2"/>
      <c r="F865" s="2"/>
    </row>
    <row r="866" spans="1:6" ht="15.75" customHeight="1" x14ac:dyDescent="0.3">
      <c r="A866" s="2"/>
      <c r="B866" s="2"/>
      <c r="C866" s="2"/>
      <c r="D866" s="2"/>
      <c r="E866" s="2"/>
      <c r="F866" s="2"/>
    </row>
    <row r="867" spans="1:6" ht="15.75" customHeight="1" x14ac:dyDescent="0.3">
      <c r="A867" s="2"/>
      <c r="B867" s="2"/>
      <c r="C867" s="2"/>
      <c r="D867" s="2"/>
      <c r="E867" s="2"/>
      <c r="F867" s="2"/>
    </row>
    <row r="868" spans="1:6" ht="15.75" customHeight="1" x14ac:dyDescent="0.3">
      <c r="A868" s="2"/>
      <c r="B868" s="2"/>
      <c r="C868" s="2"/>
      <c r="D868" s="2"/>
      <c r="E868" s="2"/>
      <c r="F868" s="2"/>
    </row>
    <row r="869" spans="1:6" ht="15.75" customHeight="1" x14ac:dyDescent="0.3">
      <c r="A869" s="2"/>
      <c r="B869" s="2"/>
      <c r="C869" s="2"/>
      <c r="D869" s="2"/>
      <c r="E869" s="2"/>
      <c r="F869" s="2"/>
    </row>
    <row r="870" spans="1:6" ht="15.75" customHeight="1" x14ac:dyDescent="0.3">
      <c r="A870" s="2"/>
      <c r="B870" s="2"/>
      <c r="C870" s="2"/>
      <c r="D870" s="2"/>
      <c r="E870" s="2"/>
      <c r="F870" s="2"/>
    </row>
    <row r="871" spans="1:6" ht="15.75" customHeight="1" x14ac:dyDescent="0.3">
      <c r="A871" s="2"/>
      <c r="B871" s="2"/>
      <c r="C871" s="2"/>
      <c r="D871" s="2"/>
      <c r="E871" s="2"/>
      <c r="F871" s="2"/>
    </row>
    <row r="872" spans="1:6" ht="15.75" customHeight="1" x14ac:dyDescent="0.3">
      <c r="A872" s="2"/>
      <c r="B872" s="2"/>
      <c r="C872" s="2"/>
      <c r="D872" s="2"/>
      <c r="E872" s="2"/>
      <c r="F872" s="2"/>
    </row>
    <row r="873" spans="1:6" ht="15.75" customHeight="1" x14ac:dyDescent="0.3">
      <c r="A873" s="2"/>
      <c r="B873" s="2"/>
      <c r="C873" s="2"/>
      <c r="D873" s="2"/>
      <c r="E873" s="2"/>
      <c r="F873" s="2"/>
    </row>
    <row r="874" spans="1:6" ht="15.75" customHeight="1" x14ac:dyDescent="0.3">
      <c r="A874" s="2"/>
      <c r="B874" s="2"/>
      <c r="C874" s="2"/>
      <c r="D874" s="2"/>
      <c r="E874" s="2"/>
      <c r="F874" s="2"/>
    </row>
    <row r="875" spans="1:6" ht="15.75" customHeight="1" x14ac:dyDescent="0.3">
      <c r="A875" s="2"/>
      <c r="B875" s="2"/>
      <c r="C875" s="2"/>
      <c r="D875" s="2"/>
      <c r="E875" s="2"/>
      <c r="F875" s="2"/>
    </row>
    <row r="876" spans="1:6" ht="15.75" customHeight="1" x14ac:dyDescent="0.3">
      <c r="A876" s="2"/>
      <c r="B876" s="2"/>
      <c r="C876" s="2"/>
      <c r="D876" s="2"/>
      <c r="E876" s="2"/>
      <c r="F876" s="2"/>
    </row>
    <row r="877" spans="1:6" ht="15.75" customHeight="1" x14ac:dyDescent="0.3">
      <c r="A877" s="2"/>
      <c r="B877" s="2"/>
      <c r="C877" s="2"/>
      <c r="D877" s="2"/>
      <c r="E877" s="2"/>
      <c r="F877" s="2"/>
    </row>
    <row r="878" spans="1:6" ht="15.75" customHeight="1" x14ac:dyDescent="0.3">
      <c r="A878" s="2"/>
      <c r="B878" s="2"/>
      <c r="C878" s="2"/>
      <c r="D878" s="2"/>
      <c r="E878" s="2"/>
      <c r="F878" s="2"/>
    </row>
    <row r="879" spans="1:6" ht="15.75" customHeight="1" x14ac:dyDescent="0.3">
      <c r="A879" s="2"/>
      <c r="B879" s="2"/>
      <c r="C879" s="2"/>
      <c r="D879" s="2"/>
      <c r="E879" s="2"/>
      <c r="F879" s="2"/>
    </row>
    <row r="880" spans="1:6" ht="15.75" customHeight="1" x14ac:dyDescent="0.3">
      <c r="A880" s="2"/>
      <c r="B880" s="2"/>
      <c r="C880" s="2"/>
      <c r="D880" s="2"/>
      <c r="E880" s="2"/>
      <c r="F880" s="2"/>
    </row>
    <row r="881" spans="1:6" ht="15.75" customHeight="1" x14ac:dyDescent="0.3">
      <c r="A881" s="2"/>
      <c r="B881" s="2"/>
      <c r="C881" s="2"/>
      <c r="D881" s="2"/>
      <c r="E881" s="2"/>
      <c r="F881" s="2"/>
    </row>
    <row r="882" spans="1:6" ht="15.75" customHeight="1" x14ac:dyDescent="0.3">
      <c r="A882" s="2"/>
      <c r="B882" s="2"/>
      <c r="C882" s="2"/>
      <c r="D882" s="2"/>
      <c r="E882" s="2"/>
      <c r="F882" s="2"/>
    </row>
    <row r="883" spans="1:6" ht="15.75" customHeight="1" x14ac:dyDescent="0.3">
      <c r="A883" s="2"/>
      <c r="B883" s="2"/>
      <c r="C883" s="2"/>
      <c r="D883" s="2"/>
      <c r="E883" s="2"/>
      <c r="F883" s="2"/>
    </row>
    <row r="884" spans="1:6" ht="15.75" customHeight="1" x14ac:dyDescent="0.3">
      <c r="A884" s="2"/>
      <c r="B884" s="2"/>
      <c r="C884" s="2"/>
      <c r="D884" s="2"/>
      <c r="E884" s="2"/>
      <c r="F884" s="2"/>
    </row>
    <row r="885" spans="1:6" ht="15.75" customHeight="1" x14ac:dyDescent="0.3">
      <c r="A885" s="2"/>
      <c r="B885" s="2"/>
      <c r="C885" s="2"/>
      <c r="D885" s="2"/>
      <c r="E885" s="2"/>
      <c r="F885" s="2"/>
    </row>
    <row r="886" spans="1:6" ht="15.75" customHeight="1" x14ac:dyDescent="0.3">
      <c r="A886" s="2"/>
      <c r="B886" s="2"/>
      <c r="C886" s="2"/>
      <c r="D886" s="2"/>
      <c r="E886" s="2"/>
      <c r="F886" s="2"/>
    </row>
    <row r="887" spans="1:6" ht="15.75" customHeight="1" x14ac:dyDescent="0.3">
      <c r="A887" s="2"/>
      <c r="B887" s="2"/>
      <c r="C887" s="2"/>
      <c r="D887" s="2"/>
      <c r="E887" s="2"/>
      <c r="F887" s="2"/>
    </row>
    <row r="888" spans="1:6" ht="15.75" customHeight="1" x14ac:dyDescent="0.3">
      <c r="A888" s="2"/>
      <c r="B888" s="2"/>
      <c r="C888" s="2"/>
      <c r="D888" s="2"/>
      <c r="E888" s="2"/>
      <c r="F888" s="2"/>
    </row>
    <row r="889" spans="1:6" ht="15.75" customHeight="1" x14ac:dyDescent="0.3">
      <c r="A889" s="2"/>
      <c r="B889" s="2"/>
      <c r="C889" s="2"/>
      <c r="D889" s="2"/>
      <c r="E889" s="2"/>
      <c r="F889" s="2"/>
    </row>
    <row r="890" spans="1:6" ht="15.75" customHeight="1" x14ac:dyDescent="0.3">
      <c r="A890" s="2"/>
      <c r="B890" s="2"/>
      <c r="C890" s="2"/>
      <c r="D890" s="2"/>
      <c r="E890" s="2"/>
      <c r="F890" s="2"/>
    </row>
    <row r="891" spans="1:6" ht="15.75" customHeight="1" x14ac:dyDescent="0.3">
      <c r="A891" s="2"/>
      <c r="B891" s="2"/>
      <c r="C891" s="2"/>
      <c r="D891" s="2"/>
      <c r="E891" s="2"/>
      <c r="F891" s="2"/>
    </row>
    <row r="892" spans="1:6" ht="15.75" customHeight="1" x14ac:dyDescent="0.3">
      <c r="A892" s="2"/>
      <c r="B892" s="2"/>
      <c r="C892" s="2"/>
      <c r="D892" s="2"/>
      <c r="E892" s="2"/>
      <c r="F892" s="2"/>
    </row>
    <row r="893" spans="1:6" ht="15.75" customHeight="1" x14ac:dyDescent="0.3">
      <c r="A893" s="2"/>
      <c r="B893" s="2"/>
      <c r="C893" s="2"/>
      <c r="D893" s="2"/>
      <c r="E893" s="2"/>
      <c r="F893" s="2"/>
    </row>
    <row r="894" spans="1:6" ht="15.75" customHeight="1" x14ac:dyDescent="0.3">
      <c r="A894" s="2"/>
      <c r="B894" s="2"/>
      <c r="C894" s="2"/>
      <c r="D894" s="2"/>
      <c r="E894" s="2"/>
      <c r="F894" s="2"/>
    </row>
    <row r="895" spans="1:6" ht="15.75" customHeight="1" x14ac:dyDescent="0.3">
      <c r="A895" s="2"/>
      <c r="B895" s="2"/>
      <c r="C895" s="2"/>
      <c r="D895" s="2"/>
      <c r="E895" s="2"/>
      <c r="F895" s="2"/>
    </row>
    <row r="896" spans="1:6" ht="15.75" customHeight="1" x14ac:dyDescent="0.3">
      <c r="A896" s="2"/>
      <c r="B896" s="2"/>
      <c r="C896" s="2"/>
      <c r="D896" s="2"/>
      <c r="E896" s="2"/>
      <c r="F896" s="2"/>
    </row>
    <row r="897" spans="1:6" ht="15.75" customHeight="1" x14ac:dyDescent="0.3">
      <c r="A897" s="2"/>
      <c r="B897" s="2"/>
      <c r="C897" s="2"/>
      <c r="D897" s="2"/>
      <c r="E897" s="2"/>
      <c r="F897" s="2"/>
    </row>
    <row r="898" spans="1:6" ht="15.75" customHeight="1" x14ac:dyDescent="0.3">
      <c r="A898" s="2"/>
      <c r="B898" s="2"/>
      <c r="C898" s="2"/>
      <c r="D898" s="2"/>
      <c r="E898" s="2"/>
      <c r="F898" s="2"/>
    </row>
    <row r="899" spans="1:6" ht="15.75" customHeight="1" x14ac:dyDescent="0.3">
      <c r="A899" s="2"/>
      <c r="B899" s="2"/>
      <c r="C899" s="2"/>
      <c r="D899" s="2"/>
      <c r="E899" s="2"/>
      <c r="F899" s="2"/>
    </row>
    <row r="900" spans="1:6" ht="15.75" customHeight="1" x14ac:dyDescent="0.3">
      <c r="A900" s="2"/>
      <c r="B900" s="2"/>
      <c r="C900" s="2"/>
      <c r="D900" s="2"/>
      <c r="E900" s="2"/>
      <c r="F900" s="2"/>
    </row>
    <row r="901" spans="1:6" ht="15.75" customHeight="1" x14ac:dyDescent="0.3">
      <c r="A901" s="2"/>
      <c r="B901" s="2"/>
      <c r="C901" s="2"/>
      <c r="D901" s="2"/>
      <c r="E901" s="2"/>
      <c r="F901" s="2"/>
    </row>
    <row r="902" spans="1:6" ht="15.75" customHeight="1" x14ac:dyDescent="0.3">
      <c r="A902" s="2"/>
      <c r="B902" s="2"/>
      <c r="C902" s="2"/>
      <c r="D902" s="2"/>
      <c r="E902" s="2"/>
      <c r="F902" s="2"/>
    </row>
    <row r="903" spans="1:6" ht="15.75" customHeight="1" x14ac:dyDescent="0.3">
      <c r="A903" s="2"/>
      <c r="B903" s="2"/>
      <c r="C903" s="2"/>
      <c r="D903" s="2"/>
      <c r="E903" s="2"/>
      <c r="F903" s="2"/>
    </row>
    <row r="904" spans="1:6" ht="15.75" customHeight="1" x14ac:dyDescent="0.3">
      <c r="A904" s="2"/>
      <c r="B904" s="2"/>
      <c r="C904" s="2"/>
      <c r="D904" s="2"/>
      <c r="E904" s="2"/>
      <c r="F904" s="2"/>
    </row>
    <row r="905" spans="1:6" ht="15.75" customHeight="1" x14ac:dyDescent="0.3">
      <c r="A905" s="2"/>
      <c r="B905" s="2"/>
      <c r="C905" s="2"/>
      <c r="D905" s="2"/>
      <c r="E905" s="2"/>
      <c r="F905" s="2"/>
    </row>
    <row r="906" spans="1:6" ht="15.75" customHeight="1" x14ac:dyDescent="0.3">
      <c r="A906" s="2"/>
      <c r="B906" s="2"/>
      <c r="C906" s="2"/>
      <c r="D906" s="2"/>
      <c r="E906" s="2"/>
      <c r="F906" s="2"/>
    </row>
    <row r="907" spans="1:6" ht="15.75" customHeight="1" x14ac:dyDescent="0.3">
      <c r="A907" s="2"/>
      <c r="B907" s="2"/>
      <c r="C907" s="2"/>
      <c r="D907" s="2"/>
      <c r="E907" s="2"/>
      <c r="F907" s="2"/>
    </row>
    <row r="908" spans="1:6" ht="15.75" customHeight="1" x14ac:dyDescent="0.3">
      <c r="A908" s="2"/>
      <c r="B908" s="2"/>
      <c r="C908" s="2"/>
      <c r="D908" s="2"/>
      <c r="E908" s="2"/>
      <c r="F908" s="2"/>
    </row>
    <row r="909" spans="1:6" ht="15.75" customHeight="1" x14ac:dyDescent="0.3">
      <c r="A909" s="2"/>
      <c r="B909" s="2"/>
      <c r="C909" s="2"/>
      <c r="D909" s="2"/>
      <c r="E909" s="2"/>
      <c r="F909" s="2"/>
    </row>
    <row r="910" spans="1:6" ht="15.75" customHeight="1" x14ac:dyDescent="0.3">
      <c r="A910" s="2"/>
      <c r="B910" s="2"/>
      <c r="C910" s="2"/>
      <c r="D910" s="2"/>
      <c r="E910" s="2"/>
      <c r="F910" s="2"/>
    </row>
    <row r="911" spans="1:6" ht="15.75" customHeight="1" x14ac:dyDescent="0.3">
      <c r="A911" s="2"/>
      <c r="B911" s="2"/>
      <c r="C911" s="2"/>
      <c r="D911" s="2"/>
      <c r="E911" s="2"/>
      <c r="F911" s="2"/>
    </row>
    <row r="912" spans="1:6" ht="15.75" customHeight="1" x14ac:dyDescent="0.3">
      <c r="A912" s="2"/>
      <c r="B912" s="2"/>
      <c r="C912" s="2"/>
      <c r="D912" s="2"/>
      <c r="E912" s="2"/>
      <c r="F912" s="2"/>
    </row>
    <row r="913" spans="1:6" ht="15.75" customHeight="1" x14ac:dyDescent="0.3">
      <c r="A913" s="2"/>
      <c r="B913" s="2"/>
      <c r="C913" s="2"/>
      <c r="D913" s="2"/>
      <c r="E913" s="2"/>
      <c r="F913" s="2"/>
    </row>
    <row r="914" spans="1:6" ht="15.75" customHeight="1" x14ac:dyDescent="0.3">
      <c r="A914" s="2"/>
      <c r="B914" s="2"/>
      <c r="C914" s="2"/>
      <c r="D914" s="2"/>
      <c r="E914" s="2"/>
      <c r="F914" s="2"/>
    </row>
    <row r="915" spans="1:6" ht="15.75" customHeight="1" x14ac:dyDescent="0.3">
      <c r="A915" s="2"/>
      <c r="B915" s="2"/>
      <c r="C915" s="2"/>
      <c r="D915" s="2"/>
      <c r="E915" s="2"/>
      <c r="F915" s="2"/>
    </row>
    <row r="916" spans="1:6" ht="15.75" customHeight="1" x14ac:dyDescent="0.3">
      <c r="A916" s="2"/>
      <c r="B916" s="2"/>
      <c r="C916" s="2"/>
      <c r="D916" s="2"/>
      <c r="E916" s="2"/>
      <c r="F916" s="2"/>
    </row>
    <row r="917" spans="1:6" ht="15.75" customHeight="1" x14ac:dyDescent="0.3">
      <c r="A917" s="2"/>
      <c r="B917" s="2"/>
      <c r="C917" s="2"/>
      <c r="D917" s="2"/>
      <c r="E917" s="2"/>
      <c r="F917" s="2"/>
    </row>
    <row r="918" spans="1:6" ht="15.75" customHeight="1" x14ac:dyDescent="0.3">
      <c r="A918" s="2"/>
      <c r="B918" s="2"/>
      <c r="C918" s="2"/>
      <c r="D918" s="2"/>
      <c r="E918" s="2"/>
      <c r="F918" s="2"/>
    </row>
    <row r="919" spans="1:6" ht="15.75" customHeight="1" x14ac:dyDescent="0.3">
      <c r="A919" s="2"/>
      <c r="B919" s="2"/>
      <c r="C919" s="2"/>
      <c r="D919" s="2"/>
      <c r="E919" s="2"/>
      <c r="F919" s="2"/>
    </row>
    <row r="920" spans="1:6" ht="15.75" customHeight="1" x14ac:dyDescent="0.3">
      <c r="A920" s="2"/>
      <c r="B920" s="2"/>
      <c r="C920" s="2"/>
      <c r="D920" s="2"/>
      <c r="E920" s="2"/>
      <c r="F920" s="2"/>
    </row>
    <row r="921" spans="1:6" ht="15.75" customHeight="1" x14ac:dyDescent="0.3">
      <c r="A921" s="2"/>
      <c r="B921" s="2"/>
      <c r="C921" s="2"/>
      <c r="D921" s="2"/>
      <c r="E921" s="2"/>
      <c r="F921" s="2"/>
    </row>
    <row r="922" spans="1:6" ht="15.75" customHeight="1" x14ac:dyDescent="0.3">
      <c r="A922" s="2"/>
      <c r="B922" s="2"/>
      <c r="C922" s="2"/>
      <c r="D922" s="2"/>
      <c r="E922" s="2"/>
      <c r="F922" s="2"/>
    </row>
    <row r="923" spans="1:6" ht="15.75" customHeight="1" x14ac:dyDescent="0.3">
      <c r="A923" s="2"/>
      <c r="B923" s="2"/>
      <c r="C923" s="2"/>
      <c r="D923" s="2"/>
      <c r="E923" s="2"/>
      <c r="F923" s="2"/>
    </row>
    <row r="924" spans="1:6" ht="15.75" customHeight="1" x14ac:dyDescent="0.3">
      <c r="A924" s="2"/>
      <c r="B924" s="2"/>
      <c r="C924" s="2"/>
      <c r="D924" s="2"/>
      <c r="E924" s="2"/>
      <c r="F924" s="2"/>
    </row>
    <row r="925" spans="1:6" ht="15.75" customHeight="1" x14ac:dyDescent="0.3">
      <c r="A925" s="2"/>
      <c r="B925" s="2"/>
      <c r="C925" s="2"/>
      <c r="D925" s="2"/>
      <c r="E925" s="2"/>
      <c r="F925" s="2"/>
    </row>
    <row r="926" spans="1:6" ht="15.75" customHeight="1" x14ac:dyDescent="0.3">
      <c r="A926" s="2"/>
      <c r="B926" s="2"/>
      <c r="C926" s="2"/>
      <c r="D926" s="2"/>
      <c r="E926" s="2"/>
      <c r="F926" s="2"/>
    </row>
    <row r="927" spans="1:6" ht="15.75" customHeight="1" x14ac:dyDescent="0.3">
      <c r="A927" s="2"/>
      <c r="B927" s="2"/>
      <c r="C927" s="2"/>
      <c r="D927" s="2"/>
      <c r="E927" s="2"/>
      <c r="F927" s="2"/>
    </row>
    <row r="928" spans="1:6" ht="15.75" customHeight="1" x14ac:dyDescent="0.3">
      <c r="A928" s="2"/>
      <c r="B928" s="2"/>
      <c r="C928" s="2"/>
      <c r="D928" s="2"/>
      <c r="E928" s="2"/>
      <c r="F928" s="2"/>
    </row>
    <row r="929" spans="1:6" ht="15.75" customHeight="1" x14ac:dyDescent="0.3">
      <c r="A929" s="2"/>
      <c r="B929" s="2"/>
      <c r="C929" s="2"/>
      <c r="D929" s="2"/>
      <c r="E929" s="2"/>
      <c r="F929" s="2"/>
    </row>
    <row r="930" spans="1:6" ht="15.75" customHeight="1" x14ac:dyDescent="0.3">
      <c r="A930" s="2"/>
      <c r="B930" s="2"/>
      <c r="C930" s="2"/>
      <c r="D930" s="2"/>
      <c r="E930" s="2"/>
      <c r="F930" s="2"/>
    </row>
    <row r="931" spans="1:6" ht="15.75" customHeight="1" x14ac:dyDescent="0.3">
      <c r="A931" s="2"/>
      <c r="B931" s="2"/>
      <c r="C931" s="2"/>
      <c r="D931" s="2"/>
      <c r="E931" s="2"/>
      <c r="F931" s="2"/>
    </row>
    <row r="932" spans="1:6" ht="15.75" customHeight="1" x14ac:dyDescent="0.3">
      <c r="A932" s="2"/>
      <c r="B932" s="2"/>
      <c r="C932" s="2"/>
      <c r="D932" s="2"/>
      <c r="E932" s="2"/>
      <c r="F932" s="2"/>
    </row>
    <row r="933" spans="1:6" ht="15.75" customHeight="1" x14ac:dyDescent="0.3">
      <c r="A933" s="2"/>
      <c r="B933" s="2"/>
      <c r="C933" s="2"/>
      <c r="D933" s="2"/>
      <c r="E933" s="2"/>
      <c r="F933" s="2"/>
    </row>
    <row r="934" spans="1:6" ht="15.75" customHeight="1" x14ac:dyDescent="0.3">
      <c r="A934" s="2"/>
      <c r="B934" s="2"/>
      <c r="C934" s="2"/>
      <c r="D934" s="2"/>
      <c r="E934" s="2"/>
      <c r="F934" s="2"/>
    </row>
    <row r="935" spans="1:6" ht="15.75" customHeight="1" x14ac:dyDescent="0.3">
      <c r="A935" s="2"/>
      <c r="B935" s="2"/>
      <c r="C935" s="2"/>
      <c r="D935" s="2"/>
      <c r="E935" s="2"/>
      <c r="F935" s="2"/>
    </row>
    <row r="936" spans="1:6" ht="15.75" customHeight="1" x14ac:dyDescent="0.3">
      <c r="A936" s="2"/>
      <c r="B936" s="2"/>
      <c r="C936" s="2"/>
      <c r="D936" s="2"/>
      <c r="E936" s="2"/>
      <c r="F936" s="2"/>
    </row>
    <row r="937" spans="1:6" ht="15.75" customHeight="1" x14ac:dyDescent="0.3">
      <c r="A937" s="2"/>
      <c r="B937" s="2"/>
      <c r="C937" s="2"/>
      <c r="D937" s="2"/>
      <c r="E937" s="2"/>
      <c r="F937" s="2"/>
    </row>
    <row r="938" spans="1:6" ht="15.75" customHeight="1" x14ac:dyDescent="0.3">
      <c r="A938" s="2"/>
      <c r="B938" s="2"/>
      <c r="C938" s="2"/>
      <c r="D938" s="2"/>
      <c r="E938" s="2"/>
      <c r="F938" s="2"/>
    </row>
    <row r="939" spans="1:6" ht="15.75" customHeight="1" x14ac:dyDescent="0.3">
      <c r="A939" s="2"/>
      <c r="B939" s="2"/>
      <c r="C939" s="2"/>
      <c r="D939" s="2"/>
      <c r="E939" s="2"/>
      <c r="F939" s="2"/>
    </row>
    <row r="940" spans="1:6" ht="15.75" customHeight="1" x14ac:dyDescent="0.3">
      <c r="A940" s="2"/>
      <c r="B940" s="2"/>
      <c r="C940" s="2"/>
      <c r="D940" s="2"/>
      <c r="E940" s="2"/>
      <c r="F940" s="2"/>
    </row>
    <row r="941" spans="1:6" ht="15.75" customHeight="1" x14ac:dyDescent="0.3">
      <c r="A941" s="2"/>
      <c r="B941" s="2"/>
      <c r="C941" s="2"/>
      <c r="D941" s="2"/>
      <c r="E941" s="2"/>
      <c r="F941" s="2"/>
    </row>
    <row r="942" spans="1:6" ht="15.75" customHeight="1" x14ac:dyDescent="0.3">
      <c r="A942" s="2"/>
      <c r="B942" s="2"/>
      <c r="C942" s="2"/>
      <c r="D942" s="2"/>
      <c r="E942" s="2"/>
      <c r="F942" s="2"/>
    </row>
    <row r="943" spans="1:6" ht="15.75" customHeight="1" x14ac:dyDescent="0.3">
      <c r="A943" s="2"/>
      <c r="B943" s="2"/>
      <c r="C943" s="2"/>
      <c r="D943" s="2"/>
      <c r="E943" s="2"/>
      <c r="F943" s="2"/>
    </row>
    <row r="944" spans="1:6" ht="15.75" customHeight="1" x14ac:dyDescent="0.3">
      <c r="A944" s="2"/>
      <c r="B944" s="2"/>
      <c r="C944" s="2"/>
      <c r="D944" s="2"/>
      <c r="E944" s="2"/>
      <c r="F944" s="2"/>
    </row>
    <row r="945" spans="1:6" ht="15.75" customHeight="1" x14ac:dyDescent="0.3">
      <c r="A945" s="2"/>
      <c r="B945" s="2"/>
      <c r="C945" s="2"/>
      <c r="D945" s="2"/>
      <c r="E945" s="2"/>
      <c r="F945" s="2"/>
    </row>
    <row r="946" spans="1:6" ht="15.75" customHeight="1" x14ac:dyDescent="0.3">
      <c r="A946" s="2"/>
      <c r="B946" s="2"/>
      <c r="C946" s="2"/>
      <c r="D946" s="2"/>
      <c r="E946" s="2"/>
      <c r="F946" s="2"/>
    </row>
    <row r="947" spans="1:6" ht="15.75" customHeight="1" x14ac:dyDescent="0.3">
      <c r="A947" s="2"/>
      <c r="B947" s="2"/>
      <c r="C947" s="2"/>
      <c r="D947" s="2"/>
      <c r="E947" s="2"/>
      <c r="F947" s="2"/>
    </row>
    <row r="948" spans="1:6" ht="15.75" customHeight="1" x14ac:dyDescent="0.3">
      <c r="A948" s="2"/>
      <c r="B948" s="2"/>
      <c r="C948" s="2"/>
      <c r="D948" s="2"/>
      <c r="E948" s="2"/>
      <c r="F948" s="2"/>
    </row>
    <row r="949" spans="1:6" ht="15.75" customHeight="1" x14ac:dyDescent="0.3">
      <c r="A949" s="2"/>
      <c r="B949" s="2"/>
      <c r="C949" s="2"/>
      <c r="D949" s="2"/>
      <c r="E949" s="2"/>
      <c r="F949" s="2"/>
    </row>
    <row r="950" spans="1:6" ht="15.75" customHeight="1" x14ac:dyDescent="0.3">
      <c r="A950" s="2"/>
      <c r="B950" s="2"/>
      <c r="C950" s="2"/>
      <c r="D950" s="2"/>
      <c r="E950" s="2"/>
      <c r="F950" s="2"/>
    </row>
    <row r="951" spans="1:6" ht="15.75" customHeight="1" x14ac:dyDescent="0.3">
      <c r="A951" s="2"/>
      <c r="B951" s="2"/>
      <c r="C951" s="2"/>
      <c r="D951" s="2"/>
      <c r="E951" s="2"/>
      <c r="F951" s="2"/>
    </row>
    <row r="952" spans="1:6" ht="15.75" customHeight="1" x14ac:dyDescent="0.3">
      <c r="A952" s="2"/>
      <c r="B952" s="2"/>
      <c r="C952" s="2"/>
      <c r="D952" s="2"/>
      <c r="E952" s="2"/>
      <c r="F952" s="2"/>
    </row>
    <row r="953" spans="1:6" ht="15.75" customHeight="1" x14ac:dyDescent="0.3">
      <c r="A953" s="2"/>
      <c r="B953" s="2"/>
      <c r="C953" s="2"/>
      <c r="D953" s="2"/>
      <c r="E953" s="2"/>
      <c r="F953" s="2"/>
    </row>
    <row r="954" spans="1:6" ht="15.75" customHeight="1" x14ac:dyDescent="0.3">
      <c r="A954" s="2"/>
      <c r="B954" s="2"/>
      <c r="C954" s="2"/>
      <c r="D954" s="2"/>
      <c r="E954" s="2"/>
      <c r="F954" s="2"/>
    </row>
    <row r="955" spans="1:6" ht="15.75" customHeight="1" x14ac:dyDescent="0.3">
      <c r="A955" s="2"/>
      <c r="B955" s="2"/>
      <c r="C955" s="2"/>
      <c r="D955" s="2"/>
      <c r="E955" s="2"/>
      <c r="F955" s="2"/>
    </row>
    <row r="956" spans="1:6" ht="15.75" customHeight="1" x14ac:dyDescent="0.3">
      <c r="A956" s="2"/>
      <c r="B956" s="2"/>
      <c r="C956" s="2"/>
      <c r="D956" s="2"/>
      <c r="E956" s="2"/>
      <c r="F956" s="2"/>
    </row>
    <row r="957" spans="1:6" ht="15.75" customHeight="1" x14ac:dyDescent="0.3">
      <c r="A957" s="2"/>
      <c r="B957" s="2"/>
      <c r="C957" s="2"/>
      <c r="D957" s="2"/>
      <c r="E957" s="2"/>
      <c r="F957" s="2"/>
    </row>
    <row r="958" spans="1:6" ht="15.75" customHeight="1" x14ac:dyDescent="0.3">
      <c r="A958" s="2"/>
      <c r="B958" s="2"/>
      <c r="C958" s="2"/>
      <c r="D958" s="2"/>
      <c r="E958" s="2"/>
      <c r="F958" s="2"/>
    </row>
    <row r="959" spans="1:6" ht="15.75" customHeight="1" x14ac:dyDescent="0.3">
      <c r="A959" s="2"/>
      <c r="B959" s="2"/>
      <c r="C959" s="2"/>
      <c r="D959" s="2"/>
      <c r="E959" s="2"/>
      <c r="F959" s="2"/>
    </row>
    <row r="960" spans="1:6" ht="15.75" customHeight="1" x14ac:dyDescent="0.3">
      <c r="A960" s="2"/>
      <c r="B960" s="2"/>
      <c r="C960" s="2"/>
      <c r="D960" s="2"/>
      <c r="E960" s="2"/>
      <c r="F960" s="2"/>
    </row>
    <row r="961" spans="1:6" ht="15.75" customHeight="1" x14ac:dyDescent="0.3">
      <c r="A961" s="2"/>
      <c r="B961" s="2"/>
      <c r="C961" s="2"/>
      <c r="D961" s="2"/>
      <c r="E961" s="2"/>
      <c r="F961" s="2"/>
    </row>
    <row r="962" spans="1:6" ht="15.75" customHeight="1" x14ac:dyDescent="0.3">
      <c r="A962" s="2"/>
      <c r="B962" s="2"/>
      <c r="C962" s="2"/>
      <c r="D962" s="2"/>
      <c r="E962" s="2"/>
      <c r="F962" s="2"/>
    </row>
    <row r="963" spans="1:6" ht="15.75" customHeight="1" x14ac:dyDescent="0.3">
      <c r="A963" s="2"/>
      <c r="B963" s="2"/>
      <c r="C963" s="2"/>
      <c r="D963" s="2"/>
      <c r="E963" s="2"/>
      <c r="F963" s="2"/>
    </row>
    <row r="964" spans="1:6" ht="15.75" customHeight="1" x14ac:dyDescent="0.3">
      <c r="A964" s="2"/>
      <c r="B964" s="2"/>
      <c r="C964" s="2"/>
      <c r="D964" s="2"/>
      <c r="E964" s="2"/>
      <c r="F964" s="2"/>
    </row>
    <row r="965" spans="1:6" ht="15.75" customHeight="1" x14ac:dyDescent="0.3">
      <c r="A965" s="2"/>
      <c r="B965" s="2"/>
      <c r="C965" s="2"/>
      <c r="D965" s="2"/>
      <c r="E965" s="2"/>
      <c r="F965" s="2"/>
    </row>
    <row r="966" spans="1:6" ht="15.75" customHeight="1" x14ac:dyDescent="0.3">
      <c r="A966" s="2"/>
      <c r="B966" s="2"/>
      <c r="C966" s="2"/>
      <c r="D966" s="2"/>
      <c r="E966" s="2"/>
      <c r="F966" s="2"/>
    </row>
    <row r="967" spans="1:6" ht="15.75" customHeight="1" x14ac:dyDescent="0.3">
      <c r="A967" s="2"/>
      <c r="B967" s="2"/>
      <c r="C967" s="2"/>
      <c r="D967" s="2"/>
      <c r="E967" s="2"/>
      <c r="F967" s="2"/>
    </row>
    <row r="968" spans="1:6" ht="15.75" customHeight="1" x14ac:dyDescent="0.3">
      <c r="A968" s="2"/>
      <c r="B968" s="2"/>
      <c r="C968" s="2"/>
      <c r="D968" s="2"/>
      <c r="E968" s="2"/>
      <c r="F968" s="2"/>
    </row>
    <row r="969" spans="1:6" ht="15.75" customHeight="1" x14ac:dyDescent="0.3">
      <c r="A969" s="2"/>
      <c r="B969" s="2"/>
      <c r="C969" s="2"/>
      <c r="D969" s="2"/>
      <c r="E969" s="2"/>
      <c r="F969" s="2"/>
    </row>
    <row r="970" spans="1:6" ht="15.75" customHeight="1" x14ac:dyDescent="0.3">
      <c r="A970" s="2"/>
      <c r="B970" s="2"/>
      <c r="C970" s="2"/>
      <c r="D970" s="2"/>
      <c r="E970" s="2"/>
      <c r="F970" s="2"/>
    </row>
    <row r="971" spans="1:6" ht="15.75" customHeight="1" x14ac:dyDescent="0.3">
      <c r="A971" s="2"/>
      <c r="B971" s="2"/>
      <c r="C971" s="2"/>
      <c r="D971" s="2"/>
      <c r="E971" s="2"/>
      <c r="F971" s="2"/>
    </row>
    <row r="972" spans="1:6" ht="15.75" customHeight="1" x14ac:dyDescent="0.3">
      <c r="A972" s="2"/>
      <c r="B972" s="2"/>
      <c r="C972" s="2"/>
      <c r="D972" s="2"/>
      <c r="E972" s="2"/>
      <c r="F972" s="2"/>
    </row>
    <row r="973" spans="1:6" ht="15.75" customHeight="1" x14ac:dyDescent="0.3">
      <c r="A973" s="2"/>
      <c r="B973" s="2"/>
      <c r="C973" s="2"/>
      <c r="D973" s="2"/>
      <c r="E973" s="2"/>
      <c r="F973" s="2"/>
    </row>
    <row r="974" spans="1:6" ht="15.75" customHeight="1" x14ac:dyDescent="0.3">
      <c r="A974" s="2"/>
      <c r="B974" s="2"/>
      <c r="C974" s="2"/>
      <c r="D974" s="2"/>
      <c r="E974" s="2"/>
      <c r="F974" s="2"/>
    </row>
    <row r="975" spans="1:6" ht="15.75" customHeight="1" x14ac:dyDescent="0.3">
      <c r="A975" s="2"/>
      <c r="B975" s="2"/>
      <c r="C975" s="2"/>
      <c r="D975" s="2"/>
      <c r="E975" s="2"/>
      <c r="F975" s="2"/>
    </row>
    <row r="976" spans="1:6" ht="15.75" customHeight="1" x14ac:dyDescent="0.3">
      <c r="A976" s="2"/>
      <c r="B976" s="2"/>
      <c r="C976" s="2"/>
      <c r="D976" s="2"/>
      <c r="E976" s="2"/>
      <c r="F976" s="2"/>
    </row>
    <row r="977" spans="1:6" ht="15.75" customHeight="1" x14ac:dyDescent="0.3">
      <c r="A977" s="2"/>
      <c r="B977" s="2"/>
      <c r="C977" s="2"/>
      <c r="D977" s="2"/>
      <c r="E977" s="2"/>
      <c r="F977" s="2"/>
    </row>
    <row r="978" spans="1:6" ht="15.75" customHeight="1" x14ac:dyDescent="0.3">
      <c r="A978" s="2"/>
      <c r="B978" s="2"/>
      <c r="C978" s="2"/>
      <c r="D978" s="2"/>
      <c r="E978" s="2"/>
      <c r="F978" s="2"/>
    </row>
    <row r="979" spans="1:6" ht="15.75" customHeight="1" x14ac:dyDescent="0.3">
      <c r="A979" s="2"/>
      <c r="B979" s="2"/>
      <c r="C979" s="2"/>
      <c r="D979" s="2"/>
      <c r="E979" s="2"/>
      <c r="F979" s="2"/>
    </row>
    <row r="980" spans="1:6" ht="15.75" customHeight="1" x14ac:dyDescent="0.3">
      <c r="A980" s="2"/>
      <c r="B980" s="2"/>
      <c r="C980" s="2"/>
      <c r="D980" s="2"/>
      <c r="E980" s="2"/>
      <c r="F980" s="2"/>
    </row>
    <row r="981" spans="1:6" ht="15.75" customHeight="1" x14ac:dyDescent="0.3">
      <c r="A981" s="2"/>
      <c r="B981" s="2"/>
      <c r="C981" s="2"/>
      <c r="D981" s="2"/>
      <c r="E981" s="2"/>
      <c r="F981" s="2"/>
    </row>
    <row r="982" spans="1:6" ht="15.75" customHeight="1" x14ac:dyDescent="0.3">
      <c r="A982" s="2"/>
      <c r="B982" s="2"/>
      <c r="C982" s="2"/>
      <c r="D982" s="2"/>
      <c r="E982" s="2"/>
      <c r="F982" s="2"/>
    </row>
    <row r="983" spans="1:6" ht="15.75" customHeight="1" x14ac:dyDescent="0.3">
      <c r="A983" s="2"/>
      <c r="B983" s="2"/>
      <c r="C983" s="2"/>
      <c r="D983" s="2"/>
      <c r="E983" s="2"/>
      <c r="F983" s="2"/>
    </row>
    <row r="984" spans="1:6" ht="15.75" customHeight="1" x14ac:dyDescent="0.3">
      <c r="A984" s="2"/>
      <c r="B984" s="2"/>
      <c r="C984" s="2"/>
      <c r="D984" s="2"/>
      <c r="E984" s="2"/>
      <c r="F984" s="2"/>
    </row>
    <row r="985" spans="1:6" ht="15.75" customHeight="1" x14ac:dyDescent="0.3">
      <c r="A985" s="2"/>
      <c r="B985" s="2"/>
      <c r="C985" s="2"/>
      <c r="D985" s="2"/>
      <c r="E985" s="2"/>
      <c r="F985" s="2"/>
    </row>
    <row r="986" spans="1:6" ht="15.75" customHeight="1" x14ac:dyDescent="0.3">
      <c r="A986" s="2"/>
      <c r="B986" s="2"/>
      <c r="C986" s="2"/>
      <c r="D986" s="2"/>
      <c r="E986" s="2"/>
      <c r="F986" s="2"/>
    </row>
    <row r="987" spans="1:6" ht="15.75" customHeight="1" x14ac:dyDescent="0.3">
      <c r="A987" s="2"/>
      <c r="B987" s="2"/>
      <c r="C987" s="2"/>
      <c r="D987" s="2"/>
      <c r="E987" s="2"/>
      <c r="F987" s="2"/>
    </row>
    <row r="988" spans="1:6" ht="15.75" customHeight="1" x14ac:dyDescent="0.3">
      <c r="A988" s="2"/>
      <c r="B988" s="2"/>
      <c r="C988" s="2"/>
      <c r="D988" s="2"/>
      <c r="E988" s="2"/>
      <c r="F988" s="2"/>
    </row>
    <row r="989" spans="1:6" ht="15.75" customHeight="1" x14ac:dyDescent="0.3">
      <c r="A989" s="2"/>
      <c r="B989" s="2"/>
      <c r="C989" s="2"/>
      <c r="D989" s="2"/>
      <c r="E989" s="2"/>
      <c r="F989" s="2"/>
    </row>
    <row r="990" spans="1:6" ht="15.75" customHeight="1" x14ac:dyDescent="0.3">
      <c r="A990" s="2"/>
      <c r="B990" s="2"/>
      <c r="C990" s="2"/>
      <c r="D990" s="2"/>
      <c r="E990" s="2"/>
      <c r="F990" s="2"/>
    </row>
    <row r="991" spans="1:6" ht="15.75" customHeight="1" x14ac:dyDescent="0.3">
      <c r="A991" s="2"/>
      <c r="B991" s="2"/>
      <c r="C991" s="2"/>
      <c r="D991" s="2"/>
      <c r="E991" s="2"/>
      <c r="F991" s="2"/>
    </row>
    <row r="992" spans="1:6" ht="15.75" customHeight="1" x14ac:dyDescent="0.3">
      <c r="A992" s="2"/>
      <c r="B992" s="2"/>
      <c r="C992" s="2"/>
      <c r="D992" s="2"/>
      <c r="E992" s="2"/>
      <c r="F992" s="2"/>
    </row>
    <row r="993" spans="1:6" ht="15.75" customHeight="1" x14ac:dyDescent="0.3">
      <c r="A993" s="2"/>
      <c r="B993" s="2"/>
      <c r="C993" s="2"/>
      <c r="D993" s="2"/>
      <c r="E993" s="2"/>
      <c r="F993" s="2"/>
    </row>
    <row r="994" spans="1:6" ht="15.75" customHeight="1" x14ac:dyDescent="0.3">
      <c r="A994" s="2"/>
      <c r="B994" s="2"/>
      <c r="C994" s="2"/>
      <c r="D994" s="2"/>
      <c r="E994" s="2"/>
      <c r="F994" s="2"/>
    </row>
    <row r="995" spans="1:6" ht="15.75" customHeight="1" x14ac:dyDescent="0.3">
      <c r="A995" s="2"/>
      <c r="B995" s="2"/>
      <c r="C995" s="2"/>
      <c r="D995" s="2"/>
      <c r="E995" s="2"/>
      <c r="F995" s="2"/>
    </row>
    <row r="996" spans="1:6" ht="15.75" customHeight="1" x14ac:dyDescent="0.3">
      <c r="A996" s="2"/>
      <c r="B996" s="2"/>
      <c r="C996" s="2"/>
      <c r="D996" s="2"/>
      <c r="E996" s="2"/>
      <c r="F996" s="2"/>
    </row>
    <row r="997" spans="1:6" ht="15.75" customHeight="1" x14ac:dyDescent="0.3">
      <c r="A997" s="2"/>
      <c r="B997" s="2"/>
      <c r="C997" s="2"/>
      <c r="D997" s="2"/>
      <c r="E997" s="2"/>
      <c r="F997" s="2"/>
    </row>
    <row r="998" spans="1:6" ht="15.75" customHeight="1" x14ac:dyDescent="0.3">
      <c r="A998" s="2"/>
      <c r="B998" s="2"/>
      <c r="C998" s="2"/>
      <c r="D998" s="2"/>
      <c r="E998" s="2"/>
      <c r="F998" s="2"/>
    </row>
    <row r="999" spans="1:6" ht="15.75" customHeight="1" x14ac:dyDescent="0.3">
      <c r="A999" s="2"/>
      <c r="B999" s="2"/>
      <c r="C999" s="2"/>
      <c r="D999" s="2"/>
      <c r="E999" s="2"/>
      <c r="F999" s="2"/>
    </row>
    <row r="1000" spans="1:6" ht="15.75" customHeight="1" x14ac:dyDescent="0.3">
      <c r="A1000" s="2"/>
      <c r="B1000" s="2"/>
      <c r="C1000" s="2"/>
      <c r="D1000" s="2"/>
      <c r="E1000" s="2"/>
      <c r="F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2" width="18" customWidth="1"/>
    <col min="3" max="4" width="12" customWidth="1"/>
    <col min="5" max="5" width="10" customWidth="1"/>
    <col min="6" max="6" width="16" customWidth="1"/>
    <col min="7" max="8" width="14" customWidth="1"/>
  </cols>
  <sheetData>
    <row r="1" spans="1:26" ht="14.4" x14ac:dyDescent="0.3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19</v>
      </c>
      <c r="H2" s="9" t="s">
        <v>42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9" t="s">
        <v>43</v>
      </c>
      <c r="B3" s="9" t="s">
        <v>44</v>
      </c>
      <c r="C3" s="2"/>
      <c r="D3" s="9" t="s">
        <v>45</v>
      </c>
      <c r="E3" s="9" t="s">
        <v>46</v>
      </c>
      <c r="F3" s="9" t="s">
        <v>47</v>
      </c>
      <c r="G3" s="9" t="s">
        <v>20</v>
      </c>
      <c r="H3" s="9" t="s">
        <v>48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9" t="s">
        <v>49</v>
      </c>
      <c r="B4" s="9" t="s">
        <v>50</v>
      </c>
      <c r="C4" s="2"/>
      <c r="D4" s="9" t="s">
        <v>51</v>
      </c>
      <c r="E4" s="2"/>
      <c r="F4" s="9" t="s">
        <v>52</v>
      </c>
      <c r="G4" s="9" t="s">
        <v>21</v>
      </c>
      <c r="H4" s="9" t="s">
        <v>53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9" t="s">
        <v>54</v>
      </c>
      <c r="B5" s="9" t="s">
        <v>55</v>
      </c>
      <c r="C5" s="2"/>
      <c r="D5" s="2"/>
      <c r="E5" s="2"/>
      <c r="F5" s="2"/>
      <c r="G5" s="9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56</v>
      </c>
      <c r="B6" s="9" t="s">
        <v>57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9" t="s">
        <v>58</v>
      </c>
      <c r="B7" s="9" t="s">
        <v>59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9" t="s">
        <v>60</v>
      </c>
      <c r="B8" s="9" t="s">
        <v>61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9"/>
      <c r="B9" s="9" t="s">
        <v>62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</row>
    <row r="225" spans="1:8" ht="15.75" customHeight="1" x14ac:dyDescent="0.3">
      <c r="A225" s="2"/>
      <c r="B225" s="2"/>
      <c r="C225" s="2"/>
      <c r="D225" s="2"/>
      <c r="E225" s="2"/>
      <c r="F225" s="2"/>
      <c r="G225" s="2"/>
      <c r="H225" s="2"/>
    </row>
    <row r="226" spans="1:8" ht="15.75" customHeight="1" x14ac:dyDescent="0.3">
      <c r="A226" s="2"/>
      <c r="B226" s="2"/>
      <c r="C226" s="2"/>
      <c r="D226" s="2"/>
      <c r="E226" s="2"/>
      <c r="F226" s="2"/>
      <c r="G226" s="2"/>
      <c r="H226" s="2"/>
    </row>
    <row r="227" spans="1:8" ht="15.75" customHeight="1" x14ac:dyDescent="0.3">
      <c r="A227" s="2"/>
      <c r="B227" s="2"/>
      <c r="C227" s="2"/>
      <c r="D227" s="2"/>
      <c r="E227" s="2"/>
      <c r="F227" s="2"/>
      <c r="G227" s="2"/>
      <c r="H227" s="2"/>
    </row>
    <row r="228" spans="1:8" ht="15.75" customHeight="1" x14ac:dyDescent="0.3">
      <c r="A228" s="2"/>
      <c r="B228" s="2"/>
      <c r="C228" s="2"/>
      <c r="D228" s="2"/>
      <c r="E228" s="2"/>
      <c r="F228" s="2"/>
      <c r="G228" s="2"/>
      <c r="H228" s="2"/>
    </row>
    <row r="229" spans="1:8" ht="15.75" customHeight="1" x14ac:dyDescent="0.3">
      <c r="A229" s="2"/>
      <c r="B229" s="2"/>
      <c r="C229" s="2"/>
      <c r="D229" s="2"/>
      <c r="E229" s="2"/>
      <c r="F229" s="2"/>
      <c r="G229" s="2"/>
      <c r="H229" s="2"/>
    </row>
    <row r="230" spans="1:8" ht="15.75" customHeight="1" x14ac:dyDescent="0.3">
      <c r="A230" s="2"/>
      <c r="B230" s="2"/>
      <c r="C230" s="2"/>
      <c r="D230" s="2"/>
      <c r="E230" s="2"/>
      <c r="F230" s="2"/>
      <c r="G230" s="2"/>
      <c r="H230" s="2"/>
    </row>
    <row r="231" spans="1:8" ht="15.75" customHeight="1" x14ac:dyDescent="0.3">
      <c r="A231" s="2"/>
      <c r="B231" s="2"/>
      <c r="C231" s="2"/>
      <c r="D231" s="2"/>
      <c r="E231" s="2"/>
      <c r="F231" s="2"/>
      <c r="G231" s="2"/>
      <c r="H231" s="2"/>
    </row>
    <row r="232" spans="1:8" ht="15.75" customHeight="1" x14ac:dyDescent="0.3">
      <c r="A232" s="2"/>
      <c r="B232" s="2"/>
      <c r="C232" s="2"/>
      <c r="D232" s="2"/>
      <c r="E232" s="2"/>
      <c r="F232" s="2"/>
      <c r="G232" s="2"/>
      <c r="H232" s="2"/>
    </row>
    <row r="233" spans="1:8" ht="15.75" customHeight="1" x14ac:dyDescent="0.3">
      <c r="A233" s="2"/>
      <c r="B233" s="2"/>
      <c r="C233" s="2"/>
      <c r="D233" s="2"/>
      <c r="E233" s="2"/>
      <c r="F233" s="2"/>
      <c r="G233" s="2"/>
      <c r="H233" s="2"/>
    </row>
    <row r="234" spans="1:8" ht="15.75" customHeight="1" x14ac:dyDescent="0.3">
      <c r="A234" s="2"/>
      <c r="B234" s="2"/>
      <c r="C234" s="2"/>
      <c r="D234" s="2"/>
      <c r="E234" s="2"/>
      <c r="F234" s="2"/>
      <c r="G234" s="2"/>
      <c r="H234" s="2"/>
    </row>
    <row r="235" spans="1:8" ht="15.75" customHeight="1" x14ac:dyDescent="0.3">
      <c r="A235" s="2"/>
      <c r="B235" s="2"/>
      <c r="C235" s="2"/>
      <c r="D235" s="2"/>
      <c r="E235" s="2"/>
      <c r="F235" s="2"/>
      <c r="G235" s="2"/>
      <c r="H235" s="2"/>
    </row>
    <row r="236" spans="1:8" ht="15.75" customHeight="1" x14ac:dyDescent="0.3">
      <c r="A236" s="2"/>
      <c r="B236" s="2"/>
      <c r="C236" s="2"/>
      <c r="D236" s="2"/>
      <c r="E236" s="2"/>
      <c r="F236" s="2"/>
      <c r="G236" s="2"/>
      <c r="H236" s="2"/>
    </row>
    <row r="237" spans="1:8" ht="15.75" customHeight="1" x14ac:dyDescent="0.3">
      <c r="A237" s="2"/>
      <c r="B237" s="2"/>
      <c r="C237" s="2"/>
      <c r="D237" s="2"/>
      <c r="E237" s="2"/>
      <c r="F237" s="2"/>
      <c r="G237" s="2"/>
      <c r="H237" s="2"/>
    </row>
    <row r="238" spans="1:8" ht="15.75" customHeight="1" x14ac:dyDescent="0.3">
      <c r="A238" s="2"/>
      <c r="B238" s="2"/>
      <c r="C238" s="2"/>
      <c r="D238" s="2"/>
      <c r="E238" s="2"/>
      <c r="F238" s="2"/>
      <c r="G238" s="2"/>
      <c r="H238" s="2"/>
    </row>
    <row r="239" spans="1:8" ht="15.75" customHeight="1" x14ac:dyDescent="0.3">
      <c r="A239" s="2"/>
      <c r="B239" s="2"/>
      <c r="C239" s="2"/>
      <c r="D239" s="2"/>
      <c r="E239" s="2"/>
      <c r="F239" s="2"/>
      <c r="G239" s="2"/>
      <c r="H239" s="2"/>
    </row>
    <row r="240" spans="1:8" ht="15.75" customHeight="1" x14ac:dyDescent="0.3">
      <c r="A240" s="2"/>
      <c r="B240" s="2"/>
      <c r="C240" s="2"/>
      <c r="D240" s="2"/>
      <c r="E240" s="2"/>
      <c r="F240" s="2"/>
      <c r="G240" s="2"/>
      <c r="H240" s="2"/>
    </row>
    <row r="241" spans="1:8" ht="15.75" customHeight="1" x14ac:dyDescent="0.3">
      <c r="A241" s="2"/>
      <c r="B241" s="2"/>
      <c r="C241" s="2"/>
      <c r="D241" s="2"/>
      <c r="E241" s="2"/>
      <c r="F241" s="2"/>
      <c r="G241" s="2"/>
      <c r="H241" s="2"/>
    </row>
    <row r="242" spans="1:8" ht="15.75" customHeight="1" x14ac:dyDescent="0.3">
      <c r="A242" s="2"/>
      <c r="B242" s="2"/>
      <c r="C242" s="2"/>
      <c r="D242" s="2"/>
      <c r="E242" s="2"/>
      <c r="F242" s="2"/>
      <c r="G242" s="2"/>
      <c r="H242" s="2"/>
    </row>
    <row r="243" spans="1:8" ht="15.75" customHeight="1" x14ac:dyDescent="0.3">
      <c r="A243" s="2"/>
      <c r="B243" s="2"/>
      <c r="C243" s="2"/>
      <c r="D243" s="2"/>
      <c r="E243" s="2"/>
      <c r="F243" s="2"/>
      <c r="G243" s="2"/>
      <c r="H243" s="2"/>
    </row>
    <row r="244" spans="1:8" ht="15.75" customHeight="1" x14ac:dyDescent="0.3">
      <c r="A244" s="2"/>
      <c r="B244" s="2"/>
      <c r="C244" s="2"/>
      <c r="D244" s="2"/>
      <c r="E244" s="2"/>
      <c r="F244" s="2"/>
      <c r="G244" s="2"/>
      <c r="H244" s="2"/>
    </row>
    <row r="245" spans="1:8" ht="15.75" customHeight="1" x14ac:dyDescent="0.3">
      <c r="A245" s="2"/>
      <c r="B245" s="2"/>
      <c r="C245" s="2"/>
      <c r="D245" s="2"/>
      <c r="E245" s="2"/>
      <c r="F245" s="2"/>
      <c r="G245" s="2"/>
      <c r="H245" s="2"/>
    </row>
    <row r="246" spans="1:8" ht="15.75" customHeight="1" x14ac:dyDescent="0.3">
      <c r="A246" s="2"/>
      <c r="B246" s="2"/>
      <c r="C246" s="2"/>
      <c r="D246" s="2"/>
      <c r="E246" s="2"/>
      <c r="F246" s="2"/>
      <c r="G246" s="2"/>
      <c r="H246" s="2"/>
    </row>
    <row r="247" spans="1:8" ht="15.75" customHeight="1" x14ac:dyDescent="0.3">
      <c r="A247" s="2"/>
      <c r="B247" s="2"/>
      <c r="C247" s="2"/>
      <c r="D247" s="2"/>
      <c r="E247" s="2"/>
      <c r="F247" s="2"/>
      <c r="G247" s="2"/>
      <c r="H247" s="2"/>
    </row>
    <row r="248" spans="1:8" ht="15.75" customHeight="1" x14ac:dyDescent="0.3">
      <c r="A248" s="2"/>
      <c r="B248" s="2"/>
      <c r="C248" s="2"/>
      <c r="D248" s="2"/>
      <c r="E248" s="2"/>
      <c r="F248" s="2"/>
      <c r="G248" s="2"/>
      <c r="H248" s="2"/>
    </row>
    <row r="249" spans="1:8" ht="15.75" customHeight="1" x14ac:dyDescent="0.3">
      <c r="A249" s="2"/>
      <c r="B249" s="2"/>
      <c r="C249" s="2"/>
      <c r="D249" s="2"/>
      <c r="E249" s="2"/>
      <c r="F249" s="2"/>
      <c r="G249" s="2"/>
      <c r="H249" s="2"/>
    </row>
    <row r="250" spans="1:8" ht="15.75" customHeight="1" x14ac:dyDescent="0.3">
      <c r="A250" s="2"/>
      <c r="B250" s="2"/>
      <c r="C250" s="2"/>
      <c r="D250" s="2"/>
      <c r="E250" s="2"/>
      <c r="F250" s="2"/>
      <c r="G250" s="2"/>
      <c r="H250" s="2"/>
    </row>
    <row r="251" spans="1:8" ht="15.75" customHeight="1" x14ac:dyDescent="0.3">
      <c r="A251" s="2"/>
      <c r="B251" s="2"/>
      <c r="C251" s="2"/>
      <c r="D251" s="2"/>
      <c r="E251" s="2"/>
      <c r="F251" s="2"/>
      <c r="G251" s="2"/>
      <c r="H251" s="2"/>
    </row>
    <row r="252" spans="1:8" ht="15.75" customHeight="1" x14ac:dyDescent="0.3">
      <c r="A252" s="2"/>
      <c r="B252" s="2"/>
      <c r="C252" s="2"/>
      <c r="D252" s="2"/>
      <c r="E252" s="2"/>
      <c r="F252" s="2"/>
      <c r="G252" s="2"/>
      <c r="H252" s="2"/>
    </row>
    <row r="253" spans="1:8" ht="15.75" customHeight="1" x14ac:dyDescent="0.3">
      <c r="A253" s="2"/>
      <c r="B253" s="2"/>
      <c r="C253" s="2"/>
      <c r="D253" s="2"/>
      <c r="E253" s="2"/>
      <c r="F253" s="2"/>
      <c r="G253" s="2"/>
      <c r="H253" s="2"/>
    </row>
    <row r="254" spans="1:8" ht="15.75" customHeight="1" x14ac:dyDescent="0.3">
      <c r="A254" s="2"/>
      <c r="B254" s="2"/>
      <c r="C254" s="2"/>
      <c r="D254" s="2"/>
      <c r="E254" s="2"/>
      <c r="F254" s="2"/>
      <c r="G254" s="2"/>
      <c r="H254" s="2"/>
    </row>
    <row r="255" spans="1:8" ht="15.75" customHeight="1" x14ac:dyDescent="0.3">
      <c r="A255" s="2"/>
      <c r="B255" s="2"/>
      <c r="C255" s="2"/>
      <c r="D255" s="2"/>
      <c r="E255" s="2"/>
      <c r="F255" s="2"/>
      <c r="G255" s="2"/>
      <c r="H255" s="2"/>
    </row>
    <row r="256" spans="1:8" ht="15.75" customHeight="1" x14ac:dyDescent="0.3">
      <c r="A256" s="2"/>
      <c r="B256" s="2"/>
      <c r="C256" s="2"/>
      <c r="D256" s="2"/>
      <c r="E256" s="2"/>
      <c r="F256" s="2"/>
      <c r="G256" s="2"/>
      <c r="H256" s="2"/>
    </row>
    <row r="257" spans="1:8" ht="15.75" customHeight="1" x14ac:dyDescent="0.3">
      <c r="A257" s="2"/>
      <c r="B257" s="2"/>
      <c r="C257" s="2"/>
      <c r="D257" s="2"/>
      <c r="E257" s="2"/>
      <c r="F257" s="2"/>
      <c r="G257" s="2"/>
      <c r="H257" s="2"/>
    </row>
    <row r="258" spans="1:8" ht="15.75" customHeight="1" x14ac:dyDescent="0.3">
      <c r="A258" s="2"/>
      <c r="B258" s="2"/>
      <c r="C258" s="2"/>
      <c r="D258" s="2"/>
      <c r="E258" s="2"/>
      <c r="F258" s="2"/>
      <c r="G258" s="2"/>
      <c r="H258" s="2"/>
    </row>
    <row r="259" spans="1:8" ht="15.75" customHeight="1" x14ac:dyDescent="0.3">
      <c r="A259" s="2"/>
      <c r="B259" s="2"/>
      <c r="C259" s="2"/>
      <c r="D259" s="2"/>
      <c r="E259" s="2"/>
      <c r="F259" s="2"/>
      <c r="G259" s="2"/>
      <c r="H259" s="2"/>
    </row>
    <row r="260" spans="1:8" ht="15.75" customHeight="1" x14ac:dyDescent="0.3">
      <c r="A260" s="2"/>
      <c r="B260" s="2"/>
      <c r="C260" s="2"/>
      <c r="D260" s="2"/>
      <c r="E260" s="2"/>
      <c r="F260" s="2"/>
      <c r="G260" s="2"/>
      <c r="H260" s="2"/>
    </row>
    <row r="261" spans="1:8" ht="15.75" customHeight="1" x14ac:dyDescent="0.3">
      <c r="A261" s="2"/>
      <c r="B261" s="2"/>
      <c r="C261" s="2"/>
      <c r="D261" s="2"/>
      <c r="E261" s="2"/>
      <c r="F261" s="2"/>
      <c r="G261" s="2"/>
      <c r="H261" s="2"/>
    </row>
    <row r="262" spans="1:8" ht="15.75" customHeight="1" x14ac:dyDescent="0.3">
      <c r="A262" s="2"/>
      <c r="B262" s="2"/>
      <c r="C262" s="2"/>
      <c r="D262" s="2"/>
      <c r="E262" s="2"/>
      <c r="F262" s="2"/>
      <c r="G262" s="2"/>
      <c r="H262" s="2"/>
    </row>
    <row r="263" spans="1:8" ht="15.75" customHeight="1" x14ac:dyDescent="0.3">
      <c r="A263" s="2"/>
      <c r="B263" s="2"/>
      <c r="C263" s="2"/>
      <c r="D263" s="2"/>
      <c r="E263" s="2"/>
      <c r="F263" s="2"/>
      <c r="G263" s="2"/>
      <c r="H263" s="2"/>
    </row>
    <row r="264" spans="1:8" ht="15.75" customHeight="1" x14ac:dyDescent="0.3">
      <c r="A264" s="2"/>
      <c r="B264" s="2"/>
      <c r="C264" s="2"/>
      <c r="D264" s="2"/>
      <c r="E264" s="2"/>
      <c r="F264" s="2"/>
      <c r="G264" s="2"/>
      <c r="H264" s="2"/>
    </row>
    <row r="265" spans="1:8" ht="15.75" customHeight="1" x14ac:dyDescent="0.3">
      <c r="A265" s="2"/>
      <c r="B265" s="2"/>
      <c r="C265" s="2"/>
      <c r="D265" s="2"/>
      <c r="E265" s="2"/>
      <c r="F265" s="2"/>
      <c r="G265" s="2"/>
      <c r="H265" s="2"/>
    </row>
    <row r="266" spans="1:8" ht="15.75" customHeight="1" x14ac:dyDescent="0.3">
      <c r="A266" s="2"/>
      <c r="B266" s="2"/>
      <c r="C266" s="2"/>
      <c r="D266" s="2"/>
      <c r="E266" s="2"/>
      <c r="F266" s="2"/>
      <c r="G266" s="2"/>
      <c r="H266" s="2"/>
    </row>
    <row r="267" spans="1:8" ht="15.75" customHeight="1" x14ac:dyDescent="0.3">
      <c r="A267" s="2"/>
      <c r="B267" s="2"/>
      <c r="C267" s="2"/>
      <c r="D267" s="2"/>
      <c r="E267" s="2"/>
      <c r="F267" s="2"/>
      <c r="G267" s="2"/>
      <c r="H267" s="2"/>
    </row>
    <row r="268" spans="1:8" ht="15.75" customHeight="1" x14ac:dyDescent="0.3">
      <c r="A268" s="2"/>
      <c r="B268" s="2"/>
      <c r="C268" s="2"/>
      <c r="D268" s="2"/>
      <c r="E268" s="2"/>
      <c r="F268" s="2"/>
      <c r="G268" s="2"/>
      <c r="H268" s="2"/>
    </row>
    <row r="269" spans="1:8" ht="15.75" customHeight="1" x14ac:dyDescent="0.3">
      <c r="A269" s="2"/>
      <c r="B269" s="2"/>
      <c r="C269" s="2"/>
      <c r="D269" s="2"/>
      <c r="E269" s="2"/>
      <c r="F269" s="2"/>
      <c r="G269" s="2"/>
      <c r="H269" s="2"/>
    </row>
    <row r="270" spans="1:8" ht="15.75" customHeight="1" x14ac:dyDescent="0.3">
      <c r="A270" s="2"/>
      <c r="B270" s="2"/>
      <c r="C270" s="2"/>
      <c r="D270" s="2"/>
      <c r="E270" s="2"/>
      <c r="F270" s="2"/>
      <c r="G270" s="2"/>
      <c r="H270" s="2"/>
    </row>
    <row r="271" spans="1:8" ht="15.75" customHeight="1" x14ac:dyDescent="0.3">
      <c r="A271" s="2"/>
      <c r="B271" s="2"/>
      <c r="C271" s="2"/>
      <c r="D271" s="2"/>
      <c r="E271" s="2"/>
      <c r="F271" s="2"/>
      <c r="G271" s="2"/>
      <c r="H271" s="2"/>
    </row>
    <row r="272" spans="1:8" ht="15.75" customHeight="1" x14ac:dyDescent="0.3">
      <c r="A272" s="2"/>
      <c r="B272" s="2"/>
      <c r="C272" s="2"/>
      <c r="D272" s="2"/>
      <c r="E272" s="2"/>
      <c r="F272" s="2"/>
      <c r="G272" s="2"/>
      <c r="H272" s="2"/>
    </row>
    <row r="273" spans="1:8" ht="15.75" customHeight="1" x14ac:dyDescent="0.3">
      <c r="A273" s="2"/>
      <c r="B273" s="2"/>
      <c r="C273" s="2"/>
      <c r="D273" s="2"/>
      <c r="E273" s="2"/>
      <c r="F273" s="2"/>
      <c r="G273" s="2"/>
      <c r="H273" s="2"/>
    </row>
    <row r="274" spans="1:8" ht="15.75" customHeight="1" x14ac:dyDescent="0.3">
      <c r="A274" s="2"/>
      <c r="B274" s="2"/>
      <c r="C274" s="2"/>
      <c r="D274" s="2"/>
      <c r="E274" s="2"/>
      <c r="F274" s="2"/>
      <c r="G274" s="2"/>
      <c r="H274" s="2"/>
    </row>
    <row r="275" spans="1:8" ht="15.75" customHeight="1" x14ac:dyDescent="0.3">
      <c r="A275" s="2"/>
      <c r="B275" s="2"/>
      <c r="C275" s="2"/>
      <c r="D275" s="2"/>
      <c r="E275" s="2"/>
      <c r="F275" s="2"/>
      <c r="G275" s="2"/>
      <c r="H275" s="2"/>
    </row>
    <row r="276" spans="1:8" ht="15.75" customHeight="1" x14ac:dyDescent="0.3">
      <c r="A276" s="2"/>
      <c r="B276" s="2"/>
      <c r="C276" s="2"/>
      <c r="D276" s="2"/>
      <c r="E276" s="2"/>
      <c r="F276" s="2"/>
      <c r="G276" s="2"/>
      <c r="H276" s="2"/>
    </row>
    <row r="277" spans="1:8" ht="15.75" customHeight="1" x14ac:dyDescent="0.3">
      <c r="A277" s="2"/>
      <c r="B277" s="2"/>
      <c r="C277" s="2"/>
      <c r="D277" s="2"/>
      <c r="E277" s="2"/>
      <c r="F277" s="2"/>
      <c r="G277" s="2"/>
      <c r="H277" s="2"/>
    </row>
    <row r="278" spans="1:8" ht="15.75" customHeight="1" x14ac:dyDescent="0.3">
      <c r="A278" s="2"/>
      <c r="B278" s="2"/>
      <c r="C278" s="2"/>
      <c r="D278" s="2"/>
      <c r="E278" s="2"/>
      <c r="F278" s="2"/>
      <c r="G278" s="2"/>
      <c r="H278" s="2"/>
    </row>
    <row r="279" spans="1:8" ht="15.75" customHeight="1" x14ac:dyDescent="0.3">
      <c r="A279" s="2"/>
      <c r="B279" s="2"/>
      <c r="C279" s="2"/>
      <c r="D279" s="2"/>
      <c r="E279" s="2"/>
      <c r="F279" s="2"/>
      <c r="G279" s="2"/>
      <c r="H279" s="2"/>
    </row>
    <row r="280" spans="1:8" ht="15.75" customHeight="1" x14ac:dyDescent="0.3">
      <c r="A280" s="2"/>
      <c r="B280" s="2"/>
      <c r="C280" s="2"/>
      <c r="D280" s="2"/>
      <c r="E280" s="2"/>
      <c r="F280" s="2"/>
      <c r="G280" s="2"/>
      <c r="H280" s="2"/>
    </row>
    <row r="281" spans="1:8" ht="15.75" customHeight="1" x14ac:dyDescent="0.3">
      <c r="A281" s="2"/>
      <c r="B281" s="2"/>
      <c r="C281" s="2"/>
      <c r="D281" s="2"/>
      <c r="E281" s="2"/>
      <c r="F281" s="2"/>
      <c r="G281" s="2"/>
      <c r="H281" s="2"/>
    </row>
    <row r="282" spans="1:8" ht="15.75" customHeight="1" x14ac:dyDescent="0.3">
      <c r="A282" s="2"/>
      <c r="B282" s="2"/>
      <c r="C282" s="2"/>
      <c r="D282" s="2"/>
      <c r="E282" s="2"/>
      <c r="F282" s="2"/>
      <c r="G282" s="2"/>
      <c r="H282" s="2"/>
    </row>
    <row r="283" spans="1:8" ht="15.75" customHeight="1" x14ac:dyDescent="0.3">
      <c r="A283" s="2"/>
      <c r="B283" s="2"/>
      <c r="C283" s="2"/>
      <c r="D283" s="2"/>
      <c r="E283" s="2"/>
      <c r="F283" s="2"/>
      <c r="G283" s="2"/>
      <c r="H283" s="2"/>
    </row>
    <row r="284" spans="1:8" ht="15.75" customHeight="1" x14ac:dyDescent="0.3">
      <c r="A284" s="2"/>
      <c r="B284" s="2"/>
      <c r="C284" s="2"/>
      <c r="D284" s="2"/>
      <c r="E284" s="2"/>
      <c r="F284" s="2"/>
      <c r="G284" s="2"/>
      <c r="H284" s="2"/>
    </row>
    <row r="285" spans="1:8" ht="15.75" customHeight="1" x14ac:dyDescent="0.3">
      <c r="A285" s="2"/>
      <c r="B285" s="2"/>
      <c r="C285" s="2"/>
      <c r="D285" s="2"/>
      <c r="E285" s="2"/>
      <c r="F285" s="2"/>
      <c r="G285" s="2"/>
      <c r="H285" s="2"/>
    </row>
    <row r="286" spans="1:8" ht="15.75" customHeight="1" x14ac:dyDescent="0.3">
      <c r="A286" s="2"/>
      <c r="B286" s="2"/>
      <c r="C286" s="2"/>
      <c r="D286" s="2"/>
      <c r="E286" s="2"/>
      <c r="F286" s="2"/>
      <c r="G286" s="2"/>
      <c r="H286" s="2"/>
    </row>
    <row r="287" spans="1:8" ht="15.75" customHeight="1" x14ac:dyDescent="0.3">
      <c r="A287" s="2"/>
      <c r="B287" s="2"/>
      <c r="C287" s="2"/>
      <c r="D287" s="2"/>
      <c r="E287" s="2"/>
      <c r="F287" s="2"/>
      <c r="G287" s="2"/>
      <c r="H287" s="2"/>
    </row>
    <row r="288" spans="1:8" ht="15.75" customHeight="1" x14ac:dyDescent="0.3">
      <c r="A288" s="2"/>
      <c r="B288" s="2"/>
      <c r="C288" s="2"/>
      <c r="D288" s="2"/>
      <c r="E288" s="2"/>
      <c r="F288" s="2"/>
      <c r="G288" s="2"/>
      <c r="H288" s="2"/>
    </row>
    <row r="289" spans="1:8" ht="15.75" customHeight="1" x14ac:dyDescent="0.3">
      <c r="A289" s="2"/>
      <c r="B289" s="2"/>
      <c r="C289" s="2"/>
      <c r="D289" s="2"/>
      <c r="E289" s="2"/>
      <c r="F289" s="2"/>
      <c r="G289" s="2"/>
      <c r="H289" s="2"/>
    </row>
    <row r="290" spans="1:8" ht="15.75" customHeight="1" x14ac:dyDescent="0.3">
      <c r="A290" s="2"/>
      <c r="B290" s="2"/>
      <c r="C290" s="2"/>
      <c r="D290" s="2"/>
      <c r="E290" s="2"/>
      <c r="F290" s="2"/>
      <c r="G290" s="2"/>
      <c r="H290" s="2"/>
    </row>
    <row r="291" spans="1:8" ht="15.75" customHeight="1" x14ac:dyDescent="0.3">
      <c r="A291" s="2"/>
      <c r="B291" s="2"/>
      <c r="C291" s="2"/>
      <c r="D291" s="2"/>
      <c r="E291" s="2"/>
      <c r="F291" s="2"/>
      <c r="G291" s="2"/>
      <c r="H291" s="2"/>
    </row>
    <row r="292" spans="1:8" ht="15.75" customHeight="1" x14ac:dyDescent="0.3">
      <c r="A292" s="2"/>
      <c r="B292" s="2"/>
      <c r="C292" s="2"/>
      <c r="D292" s="2"/>
      <c r="E292" s="2"/>
      <c r="F292" s="2"/>
      <c r="G292" s="2"/>
      <c r="H292" s="2"/>
    </row>
    <row r="293" spans="1:8" ht="15.75" customHeight="1" x14ac:dyDescent="0.3">
      <c r="A293" s="2"/>
      <c r="B293" s="2"/>
      <c r="C293" s="2"/>
      <c r="D293" s="2"/>
      <c r="E293" s="2"/>
      <c r="F293" s="2"/>
      <c r="G293" s="2"/>
      <c r="H293" s="2"/>
    </row>
    <row r="294" spans="1:8" ht="15.75" customHeight="1" x14ac:dyDescent="0.3">
      <c r="A294" s="2"/>
      <c r="B294" s="2"/>
      <c r="C294" s="2"/>
      <c r="D294" s="2"/>
      <c r="E294" s="2"/>
      <c r="F294" s="2"/>
      <c r="G294" s="2"/>
      <c r="H294" s="2"/>
    </row>
    <row r="295" spans="1:8" ht="15.75" customHeight="1" x14ac:dyDescent="0.3">
      <c r="A295" s="2"/>
      <c r="B295" s="2"/>
      <c r="C295" s="2"/>
      <c r="D295" s="2"/>
      <c r="E295" s="2"/>
      <c r="F295" s="2"/>
      <c r="G295" s="2"/>
      <c r="H295" s="2"/>
    </row>
    <row r="296" spans="1:8" ht="15.75" customHeight="1" x14ac:dyDescent="0.3">
      <c r="A296" s="2"/>
      <c r="B296" s="2"/>
      <c r="C296" s="2"/>
      <c r="D296" s="2"/>
      <c r="E296" s="2"/>
      <c r="F296" s="2"/>
      <c r="G296" s="2"/>
      <c r="H296" s="2"/>
    </row>
    <row r="297" spans="1:8" ht="15.75" customHeight="1" x14ac:dyDescent="0.3">
      <c r="A297" s="2"/>
      <c r="B297" s="2"/>
      <c r="C297" s="2"/>
      <c r="D297" s="2"/>
      <c r="E297" s="2"/>
      <c r="F297" s="2"/>
      <c r="G297" s="2"/>
      <c r="H297" s="2"/>
    </row>
    <row r="298" spans="1:8" ht="15.75" customHeight="1" x14ac:dyDescent="0.3">
      <c r="A298" s="2"/>
      <c r="B298" s="2"/>
      <c r="C298" s="2"/>
      <c r="D298" s="2"/>
      <c r="E298" s="2"/>
      <c r="F298" s="2"/>
      <c r="G298" s="2"/>
      <c r="H298" s="2"/>
    </row>
    <row r="299" spans="1:8" ht="15.75" customHeight="1" x14ac:dyDescent="0.3">
      <c r="A299" s="2"/>
      <c r="B299" s="2"/>
      <c r="C299" s="2"/>
      <c r="D299" s="2"/>
      <c r="E299" s="2"/>
      <c r="F299" s="2"/>
      <c r="G299" s="2"/>
      <c r="H299" s="2"/>
    </row>
    <row r="300" spans="1:8" ht="15.75" customHeight="1" x14ac:dyDescent="0.3">
      <c r="A300" s="2"/>
      <c r="B300" s="2"/>
      <c r="C300" s="2"/>
      <c r="D300" s="2"/>
      <c r="E300" s="2"/>
      <c r="F300" s="2"/>
      <c r="G300" s="2"/>
      <c r="H300" s="2"/>
    </row>
    <row r="301" spans="1:8" ht="15.75" customHeight="1" x14ac:dyDescent="0.3">
      <c r="A301" s="2"/>
      <c r="B301" s="2"/>
      <c r="C301" s="2"/>
      <c r="D301" s="2"/>
      <c r="E301" s="2"/>
      <c r="F301" s="2"/>
      <c r="G301" s="2"/>
      <c r="H301" s="2"/>
    </row>
    <row r="302" spans="1:8" ht="15.75" customHeight="1" x14ac:dyDescent="0.3">
      <c r="A302" s="2"/>
      <c r="B302" s="2"/>
      <c r="C302" s="2"/>
      <c r="D302" s="2"/>
      <c r="E302" s="2"/>
      <c r="F302" s="2"/>
      <c r="G302" s="2"/>
      <c r="H302" s="2"/>
    </row>
    <row r="303" spans="1:8" ht="15.75" customHeight="1" x14ac:dyDescent="0.3">
      <c r="A303" s="2"/>
      <c r="B303" s="2"/>
      <c r="C303" s="2"/>
      <c r="D303" s="2"/>
      <c r="E303" s="2"/>
      <c r="F303" s="2"/>
      <c r="G303" s="2"/>
      <c r="H303" s="2"/>
    </row>
    <row r="304" spans="1:8" ht="15.75" customHeight="1" x14ac:dyDescent="0.3">
      <c r="A304" s="2"/>
      <c r="B304" s="2"/>
      <c r="C304" s="2"/>
      <c r="D304" s="2"/>
      <c r="E304" s="2"/>
      <c r="F304" s="2"/>
      <c r="G304" s="2"/>
      <c r="H304" s="2"/>
    </row>
    <row r="305" spans="1:8" ht="15.75" customHeight="1" x14ac:dyDescent="0.3">
      <c r="A305" s="2"/>
      <c r="B305" s="2"/>
      <c r="C305" s="2"/>
      <c r="D305" s="2"/>
      <c r="E305" s="2"/>
      <c r="F305" s="2"/>
      <c r="G305" s="2"/>
      <c r="H305" s="2"/>
    </row>
    <row r="306" spans="1:8" ht="15.75" customHeight="1" x14ac:dyDescent="0.3">
      <c r="A306" s="2"/>
      <c r="B306" s="2"/>
      <c r="C306" s="2"/>
      <c r="D306" s="2"/>
      <c r="E306" s="2"/>
      <c r="F306" s="2"/>
      <c r="G306" s="2"/>
      <c r="H306" s="2"/>
    </row>
    <row r="307" spans="1:8" ht="15.75" customHeight="1" x14ac:dyDescent="0.3">
      <c r="A307" s="2"/>
      <c r="B307" s="2"/>
      <c r="C307" s="2"/>
      <c r="D307" s="2"/>
      <c r="E307" s="2"/>
      <c r="F307" s="2"/>
      <c r="G307" s="2"/>
      <c r="H307" s="2"/>
    </row>
    <row r="308" spans="1:8" ht="15.75" customHeight="1" x14ac:dyDescent="0.3">
      <c r="A308" s="2"/>
      <c r="B308" s="2"/>
      <c r="C308" s="2"/>
      <c r="D308" s="2"/>
      <c r="E308" s="2"/>
      <c r="F308" s="2"/>
      <c r="G308" s="2"/>
      <c r="H308" s="2"/>
    </row>
    <row r="309" spans="1:8" ht="15.75" customHeight="1" x14ac:dyDescent="0.3">
      <c r="A309" s="2"/>
      <c r="B309" s="2"/>
      <c r="C309" s="2"/>
      <c r="D309" s="2"/>
      <c r="E309" s="2"/>
      <c r="F309" s="2"/>
      <c r="G309" s="2"/>
      <c r="H309" s="2"/>
    </row>
    <row r="310" spans="1:8" ht="15.75" customHeight="1" x14ac:dyDescent="0.3">
      <c r="A310" s="2"/>
      <c r="B310" s="2"/>
      <c r="C310" s="2"/>
      <c r="D310" s="2"/>
      <c r="E310" s="2"/>
      <c r="F310" s="2"/>
      <c r="G310" s="2"/>
      <c r="H310" s="2"/>
    </row>
    <row r="311" spans="1:8" ht="15.75" customHeight="1" x14ac:dyDescent="0.3">
      <c r="A311" s="2"/>
      <c r="B311" s="2"/>
      <c r="C311" s="2"/>
      <c r="D311" s="2"/>
      <c r="E311" s="2"/>
      <c r="F311" s="2"/>
      <c r="G311" s="2"/>
      <c r="H311" s="2"/>
    </row>
    <row r="312" spans="1:8" ht="15.75" customHeight="1" x14ac:dyDescent="0.3">
      <c r="A312" s="2"/>
      <c r="B312" s="2"/>
      <c r="C312" s="2"/>
      <c r="D312" s="2"/>
      <c r="E312" s="2"/>
      <c r="F312" s="2"/>
      <c r="G312" s="2"/>
      <c r="H312" s="2"/>
    </row>
    <row r="313" spans="1:8" ht="15.75" customHeight="1" x14ac:dyDescent="0.3">
      <c r="A313" s="2"/>
      <c r="B313" s="2"/>
      <c r="C313" s="2"/>
      <c r="D313" s="2"/>
      <c r="E313" s="2"/>
      <c r="F313" s="2"/>
      <c r="G313" s="2"/>
      <c r="H313" s="2"/>
    </row>
    <row r="314" spans="1:8" ht="15.75" customHeight="1" x14ac:dyDescent="0.3">
      <c r="A314" s="2"/>
      <c r="B314" s="2"/>
      <c r="C314" s="2"/>
      <c r="D314" s="2"/>
      <c r="E314" s="2"/>
      <c r="F314" s="2"/>
      <c r="G314" s="2"/>
      <c r="H314" s="2"/>
    </row>
    <row r="315" spans="1:8" ht="15.75" customHeight="1" x14ac:dyDescent="0.3">
      <c r="A315" s="2"/>
      <c r="B315" s="2"/>
      <c r="C315" s="2"/>
      <c r="D315" s="2"/>
      <c r="E315" s="2"/>
      <c r="F315" s="2"/>
      <c r="G315" s="2"/>
      <c r="H315" s="2"/>
    </row>
    <row r="316" spans="1:8" ht="15.75" customHeight="1" x14ac:dyDescent="0.3">
      <c r="A316" s="2"/>
      <c r="B316" s="2"/>
      <c r="C316" s="2"/>
      <c r="D316" s="2"/>
      <c r="E316" s="2"/>
      <c r="F316" s="2"/>
      <c r="G316" s="2"/>
      <c r="H316" s="2"/>
    </row>
    <row r="317" spans="1:8" ht="15.75" customHeight="1" x14ac:dyDescent="0.3">
      <c r="A317" s="2"/>
      <c r="B317" s="2"/>
      <c r="C317" s="2"/>
      <c r="D317" s="2"/>
      <c r="E317" s="2"/>
      <c r="F317" s="2"/>
      <c r="G317" s="2"/>
      <c r="H317" s="2"/>
    </row>
    <row r="318" spans="1:8" ht="15.75" customHeight="1" x14ac:dyDescent="0.3">
      <c r="A318" s="2"/>
      <c r="B318" s="2"/>
      <c r="C318" s="2"/>
      <c r="D318" s="2"/>
      <c r="E318" s="2"/>
      <c r="F318" s="2"/>
      <c r="G318" s="2"/>
      <c r="H318" s="2"/>
    </row>
    <row r="319" spans="1:8" ht="15.75" customHeight="1" x14ac:dyDescent="0.3">
      <c r="A319" s="2"/>
      <c r="B319" s="2"/>
      <c r="C319" s="2"/>
      <c r="D319" s="2"/>
      <c r="E319" s="2"/>
      <c r="F319" s="2"/>
      <c r="G319" s="2"/>
      <c r="H319" s="2"/>
    </row>
    <row r="320" spans="1:8" ht="15.75" customHeight="1" x14ac:dyDescent="0.3">
      <c r="A320" s="2"/>
      <c r="B320" s="2"/>
      <c r="C320" s="2"/>
      <c r="D320" s="2"/>
      <c r="E320" s="2"/>
      <c r="F320" s="2"/>
      <c r="G320" s="2"/>
      <c r="H320" s="2"/>
    </row>
    <row r="321" spans="1:8" ht="15.75" customHeight="1" x14ac:dyDescent="0.3">
      <c r="A321" s="2"/>
      <c r="B321" s="2"/>
      <c r="C321" s="2"/>
      <c r="D321" s="2"/>
      <c r="E321" s="2"/>
      <c r="F321" s="2"/>
      <c r="G321" s="2"/>
      <c r="H321" s="2"/>
    </row>
    <row r="322" spans="1:8" ht="15.75" customHeight="1" x14ac:dyDescent="0.3">
      <c r="A322" s="2"/>
      <c r="B322" s="2"/>
      <c r="C322" s="2"/>
      <c r="D322" s="2"/>
      <c r="E322" s="2"/>
      <c r="F322" s="2"/>
      <c r="G322" s="2"/>
      <c r="H322" s="2"/>
    </row>
    <row r="323" spans="1:8" ht="15.75" customHeight="1" x14ac:dyDescent="0.3">
      <c r="A323" s="2"/>
      <c r="B323" s="2"/>
      <c r="C323" s="2"/>
      <c r="D323" s="2"/>
      <c r="E323" s="2"/>
      <c r="F323" s="2"/>
      <c r="G323" s="2"/>
      <c r="H323" s="2"/>
    </row>
    <row r="324" spans="1:8" ht="15.75" customHeight="1" x14ac:dyDescent="0.3">
      <c r="A324" s="2"/>
      <c r="B324" s="2"/>
      <c r="C324" s="2"/>
      <c r="D324" s="2"/>
      <c r="E324" s="2"/>
      <c r="F324" s="2"/>
      <c r="G324" s="2"/>
      <c r="H324" s="2"/>
    </row>
    <row r="325" spans="1:8" ht="15.75" customHeight="1" x14ac:dyDescent="0.3">
      <c r="A325" s="2"/>
      <c r="B325" s="2"/>
      <c r="C325" s="2"/>
      <c r="D325" s="2"/>
      <c r="E325" s="2"/>
      <c r="F325" s="2"/>
      <c r="G325" s="2"/>
      <c r="H325" s="2"/>
    </row>
    <row r="326" spans="1:8" ht="15.75" customHeight="1" x14ac:dyDescent="0.3">
      <c r="A326" s="2"/>
      <c r="B326" s="2"/>
      <c r="C326" s="2"/>
      <c r="D326" s="2"/>
      <c r="E326" s="2"/>
      <c r="F326" s="2"/>
      <c r="G326" s="2"/>
      <c r="H326" s="2"/>
    </row>
    <row r="327" spans="1:8" ht="15.75" customHeight="1" x14ac:dyDescent="0.3">
      <c r="A327" s="2"/>
      <c r="B327" s="2"/>
      <c r="C327" s="2"/>
      <c r="D327" s="2"/>
      <c r="E327" s="2"/>
      <c r="F327" s="2"/>
      <c r="G327" s="2"/>
      <c r="H327" s="2"/>
    </row>
    <row r="328" spans="1:8" ht="15.75" customHeight="1" x14ac:dyDescent="0.3">
      <c r="A328" s="2"/>
      <c r="B328" s="2"/>
      <c r="C328" s="2"/>
      <c r="D328" s="2"/>
      <c r="E328" s="2"/>
      <c r="F328" s="2"/>
      <c r="G328" s="2"/>
      <c r="H328" s="2"/>
    </row>
    <row r="329" spans="1:8" ht="15.75" customHeight="1" x14ac:dyDescent="0.3">
      <c r="A329" s="2"/>
      <c r="B329" s="2"/>
      <c r="C329" s="2"/>
      <c r="D329" s="2"/>
      <c r="E329" s="2"/>
      <c r="F329" s="2"/>
      <c r="G329" s="2"/>
      <c r="H329" s="2"/>
    </row>
    <row r="330" spans="1:8" ht="15.75" customHeight="1" x14ac:dyDescent="0.3">
      <c r="A330" s="2"/>
      <c r="B330" s="2"/>
      <c r="C330" s="2"/>
      <c r="D330" s="2"/>
      <c r="E330" s="2"/>
      <c r="F330" s="2"/>
      <c r="G330" s="2"/>
      <c r="H330" s="2"/>
    </row>
    <row r="331" spans="1:8" ht="15.75" customHeight="1" x14ac:dyDescent="0.3">
      <c r="A331" s="2"/>
      <c r="B331" s="2"/>
      <c r="C331" s="2"/>
      <c r="D331" s="2"/>
      <c r="E331" s="2"/>
      <c r="F331" s="2"/>
      <c r="G331" s="2"/>
      <c r="H331" s="2"/>
    </row>
    <row r="332" spans="1:8" ht="15.75" customHeight="1" x14ac:dyDescent="0.3">
      <c r="A332" s="2"/>
      <c r="B332" s="2"/>
      <c r="C332" s="2"/>
      <c r="D332" s="2"/>
      <c r="E332" s="2"/>
      <c r="F332" s="2"/>
      <c r="G332" s="2"/>
      <c r="H332" s="2"/>
    </row>
    <row r="333" spans="1:8" ht="15.75" customHeight="1" x14ac:dyDescent="0.3">
      <c r="A333" s="2"/>
      <c r="B333" s="2"/>
      <c r="C333" s="2"/>
      <c r="D333" s="2"/>
      <c r="E333" s="2"/>
      <c r="F333" s="2"/>
      <c r="G333" s="2"/>
      <c r="H333" s="2"/>
    </row>
    <row r="334" spans="1:8" ht="15.75" customHeight="1" x14ac:dyDescent="0.3">
      <c r="A334" s="2"/>
      <c r="B334" s="2"/>
      <c r="C334" s="2"/>
      <c r="D334" s="2"/>
      <c r="E334" s="2"/>
      <c r="F334" s="2"/>
      <c r="G334" s="2"/>
      <c r="H334" s="2"/>
    </row>
    <row r="335" spans="1:8" ht="15.75" customHeight="1" x14ac:dyDescent="0.3">
      <c r="A335" s="2"/>
      <c r="B335" s="2"/>
      <c r="C335" s="2"/>
      <c r="D335" s="2"/>
      <c r="E335" s="2"/>
      <c r="F335" s="2"/>
      <c r="G335" s="2"/>
      <c r="H335" s="2"/>
    </row>
    <row r="336" spans="1:8" ht="15.75" customHeight="1" x14ac:dyDescent="0.3">
      <c r="A336" s="2"/>
      <c r="B336" s="2"/>
      <c r="C336" s="2"/>
      <c r="D336" s="2"/>
      <c r="E336" s="2"/>
      <c r="F336" s="2"/>
      <c r="G336" s="2"/>
      <c r="H336" s="2"/>
    </row>
    <row r="337" spans="1:8" ht="15.75" customHeight="1" x14ac:dyDescent="0.3">
      <c r="A337" s="2"/>
      <c r="B337" s="2"/>
      <c r="C337" s="2"/>
      <c r="D337" s="2"/>
      <c r="E337" s="2"/>
      <c r="F337" s="2"/>
      <c r="G337" s="2"/>
      <c r="H337" s="2"/>
    </row>
    <row r="338" spans="1:8" ht="15.75" customHeight="1" x14ac:dyDescent="0.3">
      <c r="A338" s="2"/>
      <c r="B338" s="2"/>
      <c r="C338" s="2"/>
      <c r="D338" s="2"/>
      <c r="E338" s="2"/>
      <c r="F338" s="2"/>
      <c r="G338" s="2"/>
      <c r="H338" s="2"/>
    </row>
    <row r="339" spans="1:8" ht="15.75" customHeight="1" x14ac:dyDescent="0.3">
      <c r="A339" s="2"/>
      <c r="B339" s="2"/>
      <c r="C339" s="2"/>
      <c r="D339" s="2"/>
      <c r="E339" s="2"/>
      <c r="F339" s="2"/>
      <c r="G339" s="2"/>
      <c r="H339" s="2"/>
    </row>
    <row r="340" spans="1:8" ht="15.75" customHeight="1" x14ac:dyDescent="0.3">
      <c r="A340" s="2"/>
      <c r="B340" s="2"/>
      <c r="C340" s="2"/>
      <c r="D340" s="2"/>
      <c r="E340" s="2"/>
      <c r="F340" s="2"/>
      <c r="G340" s="2"/>
      <c r="H340" s="2"/>
    </row>
    <row r="341" spans="1:8" ht="15.75" customHeight="1" x14ac:dyDescent="0.3">
      <c r="A341" s="2"/>
      <c r="B341" s="2"/>
      <c r="C341" s="2"/>
      <c r="D341" s="2"/>
      <c r="E341" s="2"/>
      <c r="F341" s="2"/>
      <c r="G341" s="2"/>
      <c r="H341" s="2"/>
    </row>
    <row r="342" spans="1:8" ht="15.75" customHeight="1" x14ac:dyDescent="0.3">
      <c r="A342" s="2"/>
      <c r="B342" s="2"/>
      <c r="C342" s="2"/>
      <c r="D342" s="2"/>
      <c r="E342" s="2"/>
      <c r="F342" s="2"/>
      <c r="G342" s="2"/>
      <c r="H342" s="2"/>
    </row>
    <row r="343" spans="1:8" ht="15.75" customHeight="1" x14ac:dyDescent="0.3">
      <c r="A343" s="2"/>
      <c r="B343" s="2"/>
      <c r="C343" s="2"/>
      <c r="D343" s="2"/>
      <c r="E343" s="2"/>
      <c r="F343" s="2"/>
      <c r="G343" s="2"/>
      <c r="H343" s="2"/>
    </row>
    <row r="344" spans="1:8" ht="15.75" customHeight="1" x14ac:dyDescent="0.3">
      <c r="A344" s="2"/>
      <c r="B344" s="2"/>
      <c r="C344" s="2"/>
      <c r="D344" s="2"/>
      <c r="E344" s="2"/>
      <c r="F344" s="2"/>
      <c r="G344" s="2"/>
      <c r="H344" s="2"/>
    </row>
    <row r="345" spans="1:8" ht="15.75" customHeight="1" x14ac:dyDescent="0.3">
      <c r="A345" s="2"/>
      <c r="B345" s="2"/>
      <c r="C345" s="2"/>
      <c r="D345" s="2"/>
      <c r="E345" s="2"/>
      <c r="F345" s="2"/>
      <c r="G345" s="2"/>
      <c r="H345" s="2"/>
    </row>
    <row r="346" spans="1:8" ht="15.75" customHeight="1" x14ac:dyDescent="0.3">
      <c r="A346" s="2"/>
      <c r="B346" s="2"/>
      <c r="C346" s="2"/>
      <c r="D346" s="2"/>
      <c r="E346" s="2"/>
      <c r="F346" s="2"/>
      <c r="G346" s="2"/>
      <c r="H346" s="2"/>
    </row>
    <row r="347" spans="1:8" ht="15.75" customHeight="1" x14ac:dyDescent="0.3">
      <c r="A347" s="2"/>
      <c r="B347" s="2"/>
      <c r="C347" s="2"/>
      <c r="D347" s="2"/>
      <c r="E347" s="2"/>
      <c r="F347" s="2"/>
      <c r="G347" s="2"/>
      <c r="H347" s="2"/>
    </row>
    <row r="348" spans="1:8" ht="15.75" customHeight="1" x14ac:dyDescent="0.3">
      <c r="A348" s="2"/>
      <c r="B348" s="2"/>
      <c r="C348" s="2"/>
      <c r="D348" s="2"/>
      <c r="E348" s="2"/>
      <c r="F348" s="2"/>
      <c r="G348" s="2"/>
      <c r="H348" s="2"/>
    </row>
    <row r="349" spans="1:8" ht="15.75" customHeight="1" x14ac:dyDescent="0.3">
      <c r="A349" s="2"/>
      <c r="B349" s="2"/>
      <c r="C349" s="2"/>
      <c r="D349" s="2"/>
      <c r="E349" s="2"/>
      <c r="F349" s="2"/>
      <c r="G349" s="2"/>
      <c r="H349" s="2"/>
    </row>
    <row r="350" spans="1:8" ht="15.75" customHeight="1" x14ac:dyDescent="0.3">
      <c r="A350" s="2"/>
      <c r="B350" s="2"/>
      <c r="C350" s="2"/>
      <c r="D350" s="2"/>
      <c r="E350" s="2"/>
      <c r="F350" s="2"/>
      <c r="G350" s="2"/>
      <c r="H350" s="2"/>
    </row>
    <row r="351" spans="1:8" ht="15.75" customHeight="1" x14ac:dyDescent="0.3">
      <c r="A351" s="2"/>
      <c r="B351" s="2"/>
      <c r="C351" s="2"/>
      <c r="D351" s="2"/>
      <c r="E351" s="2"/>
      <c r="F351" s="2"/>
      <c r="G351" s="2"/>
      <c r="H351" s="2"/>
    </row>
    <row r="352" spans="1:8" ht="15.75" customHeight="1" x14ac:dyDescent="0.3">
      <c r="A352" s="2"/>
      <c r="B352" s="2"/>
      <c r="C352" s="2"/>
      <c r="D352" s="2"/>
      <c r="E352" s="2"/>
      <c r="F352" s="2"/>
      <c r="G352" s="2"/>
      <c r="H352" s="2"/>
    </row>
    <row r="353" spans="1:8" ht="15.75" customHeight="1" x14ac:dyDescent="0.3">
      <c r="A353" s="2"/>
      <c r="B353" s="2"/>
      <c r="C353" s="2"/>
      <c r="D353" s="2"/>
      <c r="E353" s="2"/>
      <c r="F353" s="2"/>
      <c r="G353" s="2"/>
      <c r="H353" s="2"/>
    </row>
    <row r="354" spans="1:8" ht="15.75" customHeight="1" x14ac:dyDescent="0.3">
      <c r="A354" s="2"/>
      <c r="B354" s="2"/>
      <c r="C354" s="2"/>
      <c r="D354" s="2"/>
      <c r="E354" s="2"/>
      <c r="F354" s="2"/>
      <c r="G354" s="2"/>
      <c r="H354" s="2"/>
    </row>
    <row r="355" spans="1:8" ht="15.75" customHeight="1" x14ac:dyDescent="0.3">
      <c r="A355" s="2"/>
      <c r="B355" s="2"/>
      <c r="C355" s="2"/>
      <c r="D355" s="2"/>
      <c r="E355" s="2"/>
      <c r="F355" s="2"/>
      <c r="G355" s="2"/>
      <c r="H355" s="2"/>
    </row>
    <row r="356" spans="1:8" ht="15.75" customHeight="1" x14ac:dyDescent="0.3">
      <c r="A356" s="2"/>
      <c r="B356" s="2"/>
      <c r="C356" s="2"/>
      <c r="D356" s="2"/>
      <c r="E356" s="2"/>
      <c r="F356" s="2"/>
      <c r="G356" s="2"/>
      <c r="H356" s="2"/>
    </row>
    <row r="357" spans="1:8" ht="15.75" customHeight="1" x14ac:dyDescent="0.3">
      <c r="A357" s="2"/>
      <c r="B357" s="2"/>
      <c r="C357" s="2"/>
      <c r="D357" s="2"/>
      <c r="E357" s="2"/>
      <c r="F357" s="2"/>
      <c r="G357" s="2"/>
      <c r="H357" s="2"/>
    </row>
    <row r="358" spans="1:8" ht="15.75" customHeight="1" x14ac:dyDescent="0.3">
      <c r="A358" s="2"/>
      <c r="B358" s="2"/>
      <c r="C358" s="2"/>
      <c r="D358" s="2"/>
      <c r="E358" s="2"/>
      <c r="F358" s="2"/>
      <c r="G358" s="2"/>
      <c r="H358" s="2"/>
    </row>
    <row r="359" spans="1:8" ht="15.75" customHeight="1" x14ac:dyDescent="0.3">
      <c r="A359" s="2"/>
      <c r="B359" s="2"/>
      <c r="C359" s="2"/>
      <c r="D359" s="2"/>
      <c r="E359" s="2"/>
      <c r="F359" s="2"/>
      <c r="G359" s="2"/>
      <c r="H359" s="2"/>
    </row>
    <row r="360" spans="1:8" ht="15.75" customHeight="1" x14ac:dyDescent="0.3">
      <c r="A360" s="2"/>
      <c r="B360" s="2"/>
      <c r="C360" s="2"/>
      <c r="D360" s="2"/>
      <c r="E360" s="2"/>
      <c r="F360" s="2"/>
      <c r="G360" s="2"/>
      <c r="H360" s="2"/>
    </row>
    <row r="361" spans="1:8" ht="15.75" customHeight="1" x14ac:dyDescent="0.3">
      <c r="A361" s="2"/>
      <c r="B361" s="2"/>
      <c r="C361" s="2"/>
      <c r="D361" s="2"/>
      <c r="E361" s="2"/>
      <c r="F361" s="2"/>
      <c r="G361" s="2"/>
      <c r="H361" s="2"/>
    </row>
    <row r="362" spans="1:8" ht="15.75" customHeight="1" x14ac:dyDescent="0.3">
      <c r="A362" s="2"/>
      <c r="B362" s="2"/>
      <c r="C362" s="2"/>
      <c r="D362" s="2"/>
      <c r="E362" s="2"/>
      <c r="F362" s="2"/>
      <c r="G362" s="2"/>
      <c r="H362" s="2"/>
    </row>
    <row r="363" spans="1:8" ht="15.75" customHeight="1" x14ac:dyDescent="0.3">
      <c r="A363" s="2"/>
      <c r="B363" s="2"/>
      <c r="C363" s="2"/>
      <c r="D363" s="2"/>
      <c r="E363" s="2"/>
      <c r="F363" s="2"/>
      <c r="G363" s="2"/>
      <c r="H363" s="2"/>
    </row>
    <row r="364" spans="1:8" ht="15.75" customHeight="1" x14ac:dyDescent="0.3">
      <c r="A364" s="2"/>
      <c r="B364" s="2"/>
      <c r="C364" s="2"/>
      <c r="D364" s="2"/>
      <c r="E364" s="2"/>
      <c r="F364" s="2"/>
      <c r="G364" s="2"/>
      <c r="H364" s="2"/>
    </row>
    <row r="365" spans="1:8" ht="15.75" customHeight="1" x14ac:dyDescent="0.3">
      <c r="A365" s="2"/>
      <c r="B365" s="2"/>
      <c r="C365" s="2"/>
      <c r="D365" s="2"/>
      <c r="E365" s="2"/>
      <c r="F365" s="2"/>
      <c r="G365" s="2"/>
      <c r="H365" s="2"/>
    </row>
    <row r="366" spans="1:8" ht="15.75" customHeight="1" x14ac:dyDescent="0.3">
      <c r="A366" s="2"/>
      <c r="B366" s="2"/>
      <c r="C366" s="2"/>
      <c r="D366" s="2"/>
      <c r="E366" s="2"/>
      <c r="F366" s="2"/>
      <c r="G366" s="2"/>
      <c r="H366" s="2"/>
    </row>
    <row r="367" spans="1:8" ht="15.75" customHeight="1" x14ac:dyDescent="0.3">
      <c r="A367" s="2"/>
      <c r="B367" s="2"/>
      <c r="C367" s="2"/>
      <c r="D367" s="2"/>
      <c r="E367" s="2"/>
      <c r="F367" s="2"/>
      <c r="G367" s="2"/>
      <c r="H367" s="2"/>
    </row>
    <row r="368" spans="1:8" ht="15.75" customHeight="1" x14ac:dyDescent="0.3">
      <c r="A368" s="2"/>
      <c r="B368" s="2"/>
      <c r="C368" s="2"/>
      <c r="D368" s="2"/>
      <c r="E368" s="2"/>
      <c r="F368" s="2"/>
      <c r="G368" s="2"/>
      <c r="H368" s="2"/>
    </row>
    <row r="369" spans="1:8" ht="15.75" customHeight="1" x14ac:dyDescent="0.3">
      <c r="A369" s="2"/>
      <c r="B369" s="2"/>
      <c r="C369" s="2"/>
      <c r="D369" s="2"/>
      <c r="E369" s="2"/>
      <c r="F369" s="2"/>
      <c r="G369" s="2"/>
      <c r="H369" s="2"/>
    </row>
    <row r="370" spans="1:8" ht="15.75" customHeight="1" x14ac:dyDescent="0.3">
      <c r="A370" s="2"/>
      <c r="B370" s="2"/>
      <c r="C370" s="2"/>
      <c r="D370" s="2"/>
      <c r="E370" s="2"/>
      <c r="F370" s="2"/>
      <c r="G370" s="2"/>
      <c r="H370" s="2"/>
    </row>
    <row r="371" spans="1:8" ht="15.75" customHeight="1" x14ac:dyDescent="0.3">
      <c r="A371" s="2"/>
      <c r="B371" s="2"/>
      <c r="C371" s="2"/>
      <c r="D371" s="2"/>
      <c r="E371" s="2"/>
      <c r="F371" s="2"/>
      <c r="G371" s="2"/>
      <c r="H371" s="2"/>
    </row>
    <row r="372" spans="1:8" ht="15.75" customHeight="1" x14ac:dyDescent="0.3">
      <c r="A372" s="2"/>
      <c r="B372" s="2"/>
      <c r="C372" s="2"/>
      <c r="D372" s="2"/>
      <c r="E372" s="2"/>
      <c r="F372" s="2"/>
      <c r="G372" s="2"/>
      <c r="H372" s="2"/>
    </row>
    <row r="373" spans="1:8" ht="15.75" customHeight="1" x14ac:dyDescent="0.3">
      <c r="A373" s="2"/>
      <c r="B373" s="2"/>
      <c r="C373" s="2"/>
      <c r="D373" s="2"/>
      <c r="E373" s="2"/>
      <c r="F373" s="2"/>
      <c r="G373" s="2"/>
      <c r="H373" s="2"/>
    </row>
    <row r="374" spans="1:8" ht="15.75" customHeight="1" x14ac:dyDescent="0.3">
      <c r="A374" s="2"/>
      <c r="B374" s="2"/>
      <c r="C374" s="2"/>
      <c r="D374" s="2"/>
      <c r="E374" s="2"/>
      <c r="F374" s="2"/>
      <c r="G374" s="2"/>
      <c r="H374" s="2"/>
    </row>
    <row r="375" spans="1:8" ht="15.75" customHeight="1" x14ac:dyDescent="0.3">
      <c r="A375" s="2"/>
      <c r="B375" s="2"/>
      <c r="C375" s="2"/>
      <c r="D375" s="2"/>
      <c r="E375" s="2"/>
      <c r="F375" s="2"/>
      <c r="G375" s="2"/>
      <c r="H375" s="2"/>
    </row>
    <row r="376" spans="1:8" ht="15.75" customHeight="1" x14ac:dyDescent="0.3">
      <c r="A376" s="2"/>
      <c r="B376" s="2"/>
      <c r="C376" s="2"/>
      <c r="D376" s="2"/>
      <c r="E376" s="2"/>
      <c r="F376" s="2"/>
      <c r="G376" s="2"/>
      <c r="H376" s="2"/>
    </row>
    <row r="377" spans="1:8" ht="15.75" customHeight="1" x14ac:dyDescent="0.3">
      <c r="A377" s="2"/>
      <c r="B377" s="2"/>
      <c r="C377" s="2"/>
      <c r="D377" s="2"/>
      <c r="E377" s="2"/>
      <c r="F377" s="2"/>
      <c r="G377" s="2"/>
      <c r="H377" s="2"/>
    </row>
    <row r="378" spans="1:8" ht="15.75" customHeight="1" x14ac:dyDescent="0.3">
      <c r="A378" s="2"/>
      <c r="B378" s="2"/>
      <c r="C378" s="2"/>
      <c r="D378" s="2"/>
      <c r="E378" s="2"/>
      <c r="F378" s="2"/>
      <c r="G378" s="2"/>
      <c r="H378" s="2"/>
    </row>
    <row r="379" spans="1:8" ht="15.75" customHeight="1" x14ac:dyDescent="0.3">
      <c r="A379" s="2"/>
      <c r="B379" s="2"/>
      <c r="C379" s="2"/>
      <c r="D379" s="2"/>
      <c r="E379" s="2"/>
      <c r="F379" s="2"/>
      <c r="G379" s="2"/>
      <c r="H379" s="2"/>
    </row>
    <row r="380" spans="1:8" ht="15.75" customHeight="1" x14ac:dyDescent="0.3">
      <c r="A380" s="2"/>
      <c r="B380" s="2"/>
      <c r="C380" s="2"/>
      <c r="D380" s="2"/>
      <c r="E380" s="2"/>
      <c r="F380" s="2"/>
      <c r="G380" s="2"/>
      <c r="H380" s="2"/>
    </row>
    <row r="381" spans="1:8" ht="15.75" customHeight="1" x14ac:dyDescent="0.3">
      <c r="A381" s="2"/>
      <c r="B381" s="2"/>
      <c r="C381" s="2"/>
      <c r="D381" s="2"/>
      <c r="E381" s="2"/>
      <c r="F381" s="2"/>
      <c r="G381" s="2"/>
      <c r="H381" s="2"/>
    </row>
    <row r="382" spans="1:8" ht="15.75" customHeight="1" x14ac:dyDescent="0.3">
      <c r="A382" s="2"/>
      <c r="B382" s="2"/>
      <c r="C382" s="2"/>
      <c r="D382" s="2"/>
      <c r="E382" s="2"/>
      <c r="F382" s="2"/>
      <c r="G382" s="2"/>
      <c r="H382" s="2"/>
    </row>
    <row r="383" spans="1:8" ht="15.75" customHeight="1" x14ac:dyDescent="0.3">
      <c r="A383" s="2"/>
      <c r="B383" s="2"/>
      <c r="C383" s="2"/>
      <c r="D383" s="2"/>
      <c r="E383" s="2"/>
      <c r="F383" s="2"/>
      <c r="G383" s="2"/>
      <c r="H383" s="2"/>
    </row>
    <row r="384" spans="1:8" ht="15.75" customHeight="1" x14ac:dyDescent="0.3">
      <c r="A384" s="2"/>
      <c r="B384" s="2"/>
      <c r="C384" s="2"/>
      <c r="D384" s="2"/>
      <c r="E384" s="2"/>
      <c r="F384" s="2"/>
      <c r="G384" s="2"/>
      <c r="H384" s="2"/>
    </row>
    <row r="385" spans="1:8" ht="15.75" customHeight="1" x14ac:dyDescent="0.3">
      <c r="A385" s="2"/>
      <c r="B385" s="2"/>
      <c r="C385" s="2"/>
      <c r="D385" s="2"/>
      <c r="E385" s="2"/>
      <c r="F385" s="2"/>
      <c r="G385" s="2"/>
      <c r="H385" s="2"/>
    </row>
    <row r="386" spans="1:8" ht="15.75" customHeight="1" x14ac:dyDescent="0.3">
      <c r="A386" s="2"/>
      <c r="B386" s="2"/>
      <c r="C386" s="2"/>
      <c r="D386" s="2"/>
      <c r="E386" s="2"/>
      <c r="F386" s="2"/>
      <c r="G386" s="2"/>
      <c r="H386" s="2"/>
    </row>
    <row r="387" spans="1:8" ht="15.75" customHeight="1" x14ac:dyDescent="0.3">
      <c r="A387" s="2"/>
      <c r="B387" s="2"/>
      <c r="C387" s="2"/>
      <c r="D387" s="2"/>
      <c r="E387" s="2"/>
      <c r="F387" s="2"/>
      <c r="G387" s="2"/>
      <c r="H387" s="2"/>
    </row>
    <row r="388" spans="1:8" ht="15.75" customHeight="1" x14ac:dyDescent="0.3">
      <c r="A388" s="2"/>
      <c r="B388" s="2"/>
      <c r="C388" s="2"/>
      <c r="D388" s="2"/>
      <c r="E388" s="2"/>
      <c r="F388" s="2"/>
      <c r="G388" s="2"/>
      <c r="H388" s="2"/>
    </row>
    <row r="389" spans="1:8" ht="15.75" customHeight="1" x14ac:dyDescent="0.3">
      <c r="A389" s="2"/>
      <c r="B389" s="2"/>
      <c r="C389" s="2"/>
      <c r="D389" s="2"/>
      <c r="E389" s="2"/>
      <c r="F389" s="2"/>
      <c r="G389" s="2"/>
      <c r="H389" s="2"/>
    </row>
    <row r="390" spans="1:8" ht="15.75" customHeight="1" x14ac:dyDescent="0.3">
      <c r="A390" s="2"/>
      <c r="B390" s="2"/>
      <c r="C390" s="2"/>
      <c r="D390" s="2"/>
      <c r="E390" s="2"/>
      <c r="F390" s="2"/>
      <c r="G390" s="2"/>
      <c r="H390" s="2"/>
    </row>
    <row r="391" spans="1:8" ht="15.75" customHeight="1" x14ac:dyDescent="0.3">
      <c r="A391" s="2"/>
      <c r="B391" s="2"/>
      <c r="C391" s="2"/>
      <c r="D391" s="2"/>
      <c r="E391" s="2"/>
      <c r="F391" s="2"/>
      <c r="G391" s="2"/>
      <c r="H391" s="2"/>
    </row>
    <row r="392" spans="1:8" ht="15.75" customHeight="1" x14ac:dyDescent="0.3">
      <c r="A392" s="2"/>
      <c r="B392" s="2"/>
      <c r="C392" s="2"/>
      <c r="D392" s="2"/>
      <c r="E392" s="2"/>
      <c r="F392" s="2"/>
      <c r="G392" s="2"/>
      <c r="H392" s="2"/>
    </row>
    <row r="393" spans="1:8" ht="15.75" customHeight="1" x14ac:dyDescent="0.3">
      <c r="A393" s="2"/>
      <c r="B393" s="2"/>
      <c r="C393" s="2"/>
      <c r="D393" s="2"/>
      <c r="E393" s="2"/>
      <c r="F393" s="2"/>
      <c r="G393" s="2"/>
      <c r="H393" s="2"/>
    </row>
    <row r="394" spans="1:8" ht="15.75" customHeight="1" x14ac:dyDescent="0.3">
      <c r="A394" s="2"/>
      <c r="B394" s="2"/>
      <c r="C394" s="2"/>
      <c r="D394" s="2"/>
      <c r="E394" s="2"/>
      <c r="F394" s="2"/>
      <c r="G394" s="2"/>
      <c r="H394" s="2"/>
    </row>
    <row r="395" spans="1:8" ht="15.75" customHeight="1" x14ac:dyDescent="0.3">
      <c r="A395" s="2"/>
      <c r="B395" s="2"/>
      <c r="C395" s="2"/>
      <c r="D395" s="2"/>
      <c r="E395" s="2"/>
      <c r="F395" s="2"/>
      <c r="G395" s="2"/>
      <c r="H395" s="2"/>
    </row>
    <row r="396" spans="1:8" ht="15.75" customHeight="1" x14ac:dyDescent="0.3">
      <c r="A396" s="2"/>
      <c r="B396" s="2"/>
      <c r="C396" s="2"/>
      <c r="D396" s="2"/>
      <c r="E396" s="2"/>
      <c r="F396" s="2"/>
      <c r="G396" s="2"/>
      <c r="H396" s="2"/>
    </row>
    <row r="397" spans="1:8" ht="15.75" customHeight="1" x14ac:dyDescent="0.3">
      <c r="A397" s="2"/>
      <c r="B397" s="2"/>
      <c r="C397" s="2"/>
      <c r="D397" s="2"/>
      <c r="E397" s="2"/>
      <c r="F397" s="2"/>
      <c r="G397" s="2"/>
      <c r="H397" s="2"/>
    </row>
    <row r="398" spans="1:8" ht="15.75" customHeight="1" x14ac:dyDescent="0.3">
      <c r="A398" s="2"/>
      <c r="B398" s="2"/>
      <c r="C398" s="2"/>
      <c r="D398" s="2"/>
      <c r="E398" s="2"/>
      <c r="F398" s="2"/>
      <c r="G398" s="2"/>
      <c r="H398" s="2"/>
    </row>
    <row r="399" spans="1:8" ht="15.75" customHeight="1" x14ac:dyDescent="0.3">
      <c r="A399" s="2"/>
      <c r="B399" s="2"/>
      <c r="C399" s="2"/>
      <c r="D399" s="2"/>
      <c r="E399" s="2"/>
      <c r="F399" s="2"/>
      <c r="G399" s="2"/>
      <c r="H399" s="2"/>
    </row>
    <row r="400" spans="1:8" ht="15.75" customHeight="1" x14ac:dyDescent="0.3">
      <c r="A400" s="2"/>
      <c r="B400" s="2"/>
      <c r="C400" s="2"/>
      <c r="D400" s="2"/>
      <c r="E400" s="2"/>
      <c r="F400" s="2"/>
      <c r="G400" s="2"/>
      <c r="H400" s="2"/>
    </row>
    <row r="401" spans="1:8" ht="15.75" customHeight="1" x14ac:dyDescent="0.3">
      <c r="A401" s="2"/>
      <c r="B401" s="2"/>
      <c r="C401" s="2"/>
      <c r="D401" s="2"/>
      <c r="E401" s="2"/>
      <c r="F401" s="2"/>
      <c r="G401" s="2"/>
      <c r="H401" s="2"/>
    </row>
    <row r="402" spans="1:8" ht="15.75" customHeight="1" x14ac:dyDescent="0.3">
      <c r="A402" s="2"/>
      <c r="B402" s="2"/>
      <c r="C402" s="2"/>
      <c r="D402" s="2"/>
      <c r="E402" s="2"/>
      <c r="F402" s="2"/>
      <c r="G402" s="2"/>
      <c r="H402" s="2"/>
    </row>
    <row r="403" spans="1:8" ht="15.75" customHeight="1" x14ac:dyDescent="0.3">
      <c r="A403" s="2"/>
      <c r="B403" s="2"/>
      <c r="C403" s="2"/>
      <c r="D403" s="2"/>
      <c r="E403" s="2"/>
      <c r="F403" s="2"/>
      <c r="G403" s="2"/>
      <c r="H403" s="2"/>
    </row>
    <row r="404" spans="1:8" ht="15.75" customHeight="1" x14ac:dyDescent="0.3">
      <c r="A404" s="2"/>
      <c r="B404" s="2"/>
      <c r="C404" s="2"/>
      <c r="D404" s="2"/>
      <c r="E404" s="2"/>
      <c r="F404" s="2"/>
      <c r="G404" s="2"/>
      <c r="H404" s="2"/>
    </row>
    <row r="405" spans="1:8" ht="15.75" customHeight="1" x14ac:dyDescent="0.3">
      <c r="A405" s="2"/>
      <c r="B405" s="2"/>
      <c r="C405" s="2"/>
      <c r="D405" s="2"/>
      <c r="E405" s="2"/>
      <c r="F405" s="2"/>
      <c r="G405" s="2"/>
      <c r="H405" s="2"/>
    </row>
    <row r="406" spans="1:8" ht="15.75" customHeight="1" x14ac:dyDescent="0.3">
      <c r="A406" s="2"/>
      <c r="B406" s="2"/>
      <c r="C406" s="2"/>
      <c r="D406" s="2"/>
      <c r="E406" s="2"/>
      <c r="F406" s="2"/>
      <c r="G406" s="2"/>
      <c r="H406" s="2"/>
    </row>
    <row r="407" spans="1:8" ht="15.75" customHeight="1" x14ac:dyDescent="0.3">
      <c r="A407" s="2"/>
      <c r="B407" s="2"/>
      <c r="C407" s="2"/>
      <c r="D407" s="2"/>
      <c r="E407" s="2"/>
      <c r="F407" s="2"/>
      <c r="G407" s="2"/>
      <c r="H407" s="2"/>
    </row>
    <row r="408" spans="1:8" ht="15.75" customHeight="1" x14ac:dyDescent="0.3">
      <c r="A408" s="2"/>
      <c r="B408" s="2"/>
      <c r="C408" s="2"/>
      <c r="D408" s="2"/>
      <c r="E408" s="2"/>
      <c r="F408" s="2"/>
      <c r="G408" s="2"/>
      <c r="H408" s="2"/>
    </row>
    <row r="409" spans="1:8" ht="15.75" customHeight="1" x14ac:dyDescent="0.3">
      <c r="A409" s="2"/>
      <c r="B409" s="2"/>
      <c r="C409" s="2"/>
      <c r="D409" s="2"/>
      <c r="E409" s="2"/>
      <c r="F409" s="2"/>
      <c r="G409" s="2"/>
      <c r="H409" s="2"/>
    </row>
    <row r="410" spans="1:8" ht="15.75" customHeight="1" x14ac:dyDescent="0.3">
      <c r="A410" s="2"/>
      <c r="B410" s="2"/>
      <c r="C410" s="2"/>
      <c r="D410" s="2"/>
      <c r="E410" s="2"/>
      <c r="F410" s="2"/>
      <c r="G410" s="2"/>
      <c r="H410" s="2"/>
    </row>
    <row r="411" spans="1:8" ht="15.75" customHeight="1" x14ac:dyDescent="0.3">
      <c r="A411" s="2"/>
      <c r="B411" s="2"/>
      <c r="C411" s="2"/>
      <c r="D411" s="2"/>
      <c r="E411" s="2"/>
      <c r="F411" s="2"/>
      <c r="G411" s="2"/>
      <c r="H411" s="2"/>
    </row>
    <row r="412" spans="1:8" ht="15.75" customHeight="1" x14ac:dyDescent="0.3">
      <c r="A412" s="2"/>
      <c r="B412" s="2"/>
      <c r="C412" s="2"/>
      <c r="D412" s="2"/>
      <c r="E412" s="2"/>
      <c r="F412" s="2"/>
      <c r="G412" s="2"/>
      <c r="H412" s="2"/>
    </row>
    <row r="413" spans="1:8" ht="15.75" customHeight="1" x14ac:dyDescent="0.3">
      <c r="A413" s="2"/>
      <c r="B413" s="2"/>
      <c r="C413" s="2"/>
      <c r="D413" s="2"/>
      <c r="E413" s="2"/>
      <c r="F413" s="2"/>
      <c r="G413" s="2"/>
      <c r="H413" s="2"/>
    </row>
    <row r="414" spans="1:8" ht="15.75" customHeight="1" x14ac:dyDescent="0.3">
      <c r="A414" s="2"/>
      <c r="B414" s="2"/>
      <c r="C414" s="2"/>
      <c r="D414" s="2"/>
      <c r="E414" s="2"/>
      <c r="F414" s="2"/>
      <c r="G414" s="2"/>
      <c r="H414" s="2"/>
    </row>
    <row r="415" spans="1:8" ht="15.75" customHeight="1" x14ac:dyDescent="0.3">
      <c r="A415" s="2"/>
      <c r="B415" s="2"/>
      <c r="C415" s="2"/>
      <c r="D415" s="2"/>
      <c r="E415" s="2"/>
      <c r="F415" s="2"/>
      <c r="G415" s="2"/>
      <c r="H415" s="2"/>
    </row>
    <row r="416" spans="1:8" ht="15.75" customHeight="1" x14ac:dyDescent="0.3">
      <c r="A416" s="2"/>
      <c r="B416" s="2"/>
      <c r="C416" s="2"/>
      <c r="D416" s="2"/>
      <c r="E416" s="2"/>
      <c r="F416" s="2"/>
      <c r="G416" s="2"/>
      <c r="H416" s="2"/>
    </row>
    <row r="417" spans="1:8" ht="15.75" customHeight="1" x14ac:dyDescent="0.3">
      <c r="A417" s="2"/>
      <c r="B417" s="2"/>
      <c r="C417" s="2"/>
      <c r="D417" s="2"/>
      <c r="E417" s="2"/>
      <c r="F417" s="2"/>
      <c r="G417" s="2"/>
      <c r="H417" s="2"/>
    </row>
    <row r="418" spans="1:8" ht="15.75" customHeight="1" x14ac:dyDescent="0.3">
      <c r="A418" s="2"/>
      <c r="B418" s="2"/>
      <c r="C418" s="2"/>
      <c r="D418" s="2"/>
      <c r="E418" s="2"/>
      <c r="F418" s="2"/>
      <c r="G418" s="2"/>
      <c r="H418" s="2"/>
    </row>
    <row r="419" spans="1:8" ht="15.75" customHeight="1" x14ac:dyDescent="0.3">
      <c r="A419" s="2"/>
      <c r="B419" s="2"/>
      <c r="C419" s="2"/>
      <c r="D419" s="2"/>
      <c r="E419" s="2"/>
      <c r="F419" s="2"/>
      <c r="G419" s="2"/>
      <c r="H419" s="2"/>
    </row>
    <row r="420" spans="1:8" ht="15.75" customHeight="1" x14ac:dyDescent="0.3">
      <c r="A420" s="2"/>
      <c r="B420" s="2"/>
      <c r="C420" s="2"/>
      <c r="D420" s="2"/>
      <c r="E420" s="2"/>
      <c r="F420" s="2"/>
      <c r="G420" s="2"/>
      <c r="H420" s="2"/>
    </row>
    <row r="421" spans="1:8" ht="15.75" customHeight="1" x14ac:dyDescent="0.3">
      <c r="A421" s="2"/>
      <c r="B421" s="2"/>
      <c r="C421" s="2"/>
      <c r="D421" s="2"/>
      <c r="E421" s="2"/>
      <c r="F421" s="2"/>
      <c r="G421" s="2"/>
      <c r="H421" s="2"/>
    </row>
    <row r="422" spans="1:8" ht="15.75" customHeight="1" x14ac:dyDescent="0.3">
      <c r="A422" s="2"/>
      <c r="B422" s="2"/>
      <c r="C422" s="2"/>
      <c r="D422" s="2"/>
      <c r="E422" s="2"/>
      <c r="F422" s="2"/>
      <c r="G422" s="2"/>
      <c r="H422" s="2"/>
    </row>
    <row r="423" spans="1:8" ht="15.75" customHeight="1" x14ac:dyDescent="0.3">
      <c r="A423" s="2"/>
      <c r="B423" s="2"/>
      <c r="C423" s="2"/>
      <c r="D423" s="2"/>
      <c r="E423" s="2"/>
      <c r="F423" s="2"/>
      <c r="G423" s="2"/>
      <c r="H423" s="2"/>
    </row>
    <row r="424" spans="1:8" ht="15.75" customHeight="1" x14ac:dyDescent="0.3">
      <c r="A424" s="2"/>
      <c r="B424" s="2"/>
      <c r="C424" s="2"/>
      <c r="D424" s="2"/>
      <c r="E424" s="2"/>
      <c r="F424" s="2"/>
      <c r="G424" s="2"/>
      <c r="H424" s="2"/>
    </row>
    <row r="425" spans="1:8" ht="15.75" customHeight="1" x14ac:dyDescent="0.3">
      <c r="A425" s="2"/>
      <c r="B425" s="2"/>
      <c r="C425" s="2"/>
      <c r="D425" s="2"/>
      <c r="E425" s="2"/>
      <c r="F425" s="2"/>
      <c r="G425" s="2"/>
      <c r="H425" s="2"/>
    </row>
    <row r="426" spans="1:8" ht="15.75" customHeight="1" x14ac:dyDescent="0.3">
      <c r="A426" s="2"/>
      <c r="B426" s="2"/>
      <c r="C426" s="2"/>
      <c r="D426" s="2"/>
      <c r="E426" s="2"/>
      <c r="F426" s="2"/>
      <c r="G426" s="2"/>
      <c r="H426" s="2"/>
    </row>
    <row r="427" spans="1:8" ht="15.75" customHeight="1" x14ac:dyDescent="0.3">
      <c r="A427" s="2"/>
      <c r="B427" s="2"/>
      <c r="C427" s="2"/>
      <c r="D427" s="2"/>
      <c r="E427" s="2"/>
      <c r="F427" s="2"/>
      <c r="G427" s="2"/>
      <c r="H427" s="2"/>
    </row>
    <row r="428" spans="1:8" ht="15.75" customHeight="1" x14ac:dyDescent="0.3">
      <c r="A428" s="2"/>
      <c r="B428" s="2"/>
      <c r="C428" s="2"/>
      <c r="D428" s="2"/>
      <c r="E428" s="2"/>
      <c r="F428" s="2"/>
      <c r="G428" s="2"/>
      <c r="H428" s="2"/>
    </row>
    <row r="429" spans="1:8" ht="15.75" customHeight="1" x14ac:dyDescent="0.3">
      <c r="A429" s="2"/>
      <c r="B429" s="2"/>
      <c r="C429" s="2"/>
      <c r="D429" s="2"/>
      <c r="E429" s="2"/>
      <c r="F429" s="2"/>
      <c r="G429" s="2"/>
      <c r="H429" s="2"/>
    </row>
    <row r="430" spans="1:8" ht="15.75" customHeight="1" x14ac:dyDescent="0.3">
      <c r="A430" s="2"/>
      <c r="B430" s="2"/>
      <c r="C430" s="2"/>
      <c r="D430" s="2"/>
      <c r="E430" s="2"/>
      <c r="F430" s="2"/>
      <c r="G430" s="2"/>
      <c r="H430" s="2"/>
    </row>
    <row r="431" spans="1:8" ht="15.75" customHeight="1" x14ac:dyDescent="0.3">
      <c r="A431" s="2"/>
      <c r="B431" s="2"/>
      <c r="C431" s="2"/>
      <c r="D431" s="2"/>
      <c r="E431" s="2"/>
      <c r="F431" s="2"/>
      <c r="G431" s="2"/>
      <c r="H431" s="2"/>
    </row>
    <row r="432" spans="1:8" ht="15.75" customHeight="1" x14ac:dyDescent="0.3">
      <c r="A432" s="2"/>
      <c r="B432" s="2"/>
      <c r="C432" s="2"/>
      <c r="D432" s="2"/>
      <c r="E432" s="2"/>
      <c r="F432" s="2"/>
      <c r="G432" s="2"/>
      <c r="H432" s="2"/>
    </row>
    <row r="433" spans="1:8" ht="15.75" customHeight="1" x14ac:dyDescent="0.3">
      <c r="A433" s="2"/>
      <c r="B433" s="2"/>
      <c r="C433" s="2"/>
      <c r="D433" s="2"/>
      <c r="E433" s="2"/>
      <c r="F433" s="2"/>
      <c r="G433" s="2"/>
      <c r="H433" s="2"/>
    </row>
    <row r="434" spans="1:8" ht="15.75" customHeight="1" x14ac:dyDescent="0.3">
      <c r="A434" s="2"/>
      <c r="B434" s="2"/>
      <c r="C434" s="2"/>
      <c r="D434" s="2"/>
      <c r="E434" s="2"/>
      <c r="F434" s="2"/>
      <c r="G434" s="2"/>
      <c r="H434" s="2"/>
    </row>
    <row r="435" spans="1:8" ht="15.75" customHeight="1" x14ac:dyDescent="0.3">
      <c r="A435" s="2"/>
      <c r="B435" s="2"/>
      <c r="C435" s="2"/>
      <c r="D435" s="2"/>
      <c r="E435" s="2"/>
      <c r="F435" s="2"/>
      <c r="G435" s="2"/>
      <c r="H435" s="2"/>
    </row>
    <row r="436" spans="1:8" ht="15.75" customHeight="1" x14ac:dyDescent="0.3">
      <c r="A436" s="2"/>
      <c r="B436" s="2"/>
      <c r="C436" s="2"/>
      <c r="D436" s="2"/>
      <c r="E436" s="2"/>
      <c r="F436" s="2"/>
      <c r="G436" s="2"/>
      <c r="H436" s="2"/>
    </row>
    <row r="437" spans="1:8" ht="15.75" customHeight="1" x14ac:dyDescent="0.3">
      <c r="A437" s="2"/>
      <c r="B437" s="2"/>
      <c r="C437" s="2"/>
      <c r="D437" s="2"/>
      <c r="E437" s="2"/>
      <c r="F437" s="2"/>
      <c r="G437" s="2"/>
      <c r="H437" s="2"/>
    </row>
    <row r="438" spans="1:8" ht="15.75" customHeight="1" x14ac:dyDescent="0.3">
      <c r="A438" s="2"/>
      <c r="B438" s="2"/>
      <c r="C438" s="2"/>
      <c r="D438" s="2"/>
      <c r="E438" s="2"/>
      <c r="F438" s="2"/>
      <c r="G438" s="2"/>
      <c r="H438" s="2"/>
    </row>
    <row r="439" spans="1:8" ht="15.75" customHeight="1" x14ac:dyDescent="0.3">
      <c r="A439" s="2"/>
      <c r="B439" s="2"/>
      <c r="C439" s="2"/>
      <c r="D439" s="2"/>
      <c r="E439" s="2"/>
      <c r="F439" s="2"/>
      <c r="G439" s="2"/>
      <c r="H439" s="2"/>
    </row>
    <row r="440" spans="1:8" ht="15.75" customHeight="1" x14ac:dyDescent="0.3">
      <c r="A440" s="2"/>
      <c r="B440" s="2"/>
      <c r="C440" s="2"/>
      <c r="D440" s="2"/>
      <c r="E440" s="2"/>
      <c r="F440" s="2"/>
      <c r="G440" s="2"/>
      <c r="H440" s="2"/>
    </row>
    <row r="441" spans="1:8" ht="15.75" customHeight="1" x14ac:dyDescent="0.3">
      <c r="A441" s="2"/>
      <c r="B441" s="2"/>
      <c r="C441" s="2"/>
      <c r="D441" s="2"/>
      <c r="E441" s="2"/>
      <c r="F441" s="2"/>
      <c r="G441" s="2"/>
      <c r="H441" s="2"/>
    </row>
    <row r="442" spans="1:8" ht="15.75" customHeight="1" x14ac:dyDescent="0.3">
      <c r="A442" s="2"/>
      <c r="B442" s="2"/>
      <c r="C442" s="2"/>
      <c r="D442" s="2"/>
      <c r="E442" s="2"/>
      <c r="F442" s="2"/>
      <c r="G442" s="2"/>
      <c r="H442" s="2"/>
    </row>
    <row r="443" spans="1:8" ht="15.75" customHeight="1" x14ac:dyDescent="0.3">
      <c r="A443" s="2"/>
      <c r="B443" s="2"/>
      <c r="C443" s="2"/>
      <c r="D443" s="2"/>
      <c r="E443" s="2"/>
      <c r="F443" s="2"/>
      <c r="G443" s="2"/>
      <c r="H443" s="2"/>
    </row>
    <row r="444" spans="1:8" ht="15.75" customHeight="1" x14ac:dyDescent="0.3">
      <c r="A444" s="2"/>
      <c r="B444" s="2"/>
      <c r="C444" s="2"/>
      <c r="D444" s="2"/>
      <c r="E444" s="2"/>
      <c r="F444" s="2"/>
      <c r="G444" s="2"/>
      <c r="H444" s="2"/>
    </row>
    <row r="445" spans="1:8" ht="15.75" customHeight="1" x14ac:dyDescent="0.3">
      <c r="A445" s="2"/>
      <c r="B445" s="2"/>
      <c r="C445" s="2"/>
      <c r="D445" s="2"/>
      <c r="E445" s="2"/>
      <c r="F445" s="2"/>
      <c r="G445" s="2"/>
      <c r="H445" s="2"/>
    </row>
    <row r="446" spans="1:8" ht="15.75" customHeight="1" x14ac:dyDescent="0.3">
      <c r="A446" s="2"/>
      <c r="B446" s="2"/>
      <c r="C446" s="2"/>
      <c r="D446" s="2"/>
      <c r="E446" s="2"/>
      <c r="F446" s="2"/>
      <c r="G446" s="2"/>
      <c r="H446" s="2"/>
    </row>
    <row r="447" spans="1:8" ht="15.75" customHeight="1" x14ac:dyDescent="0.3">
      <c r="A447" s="2"/>
      <c r="B447" s="2"/>
      <c r="C447" s="2"/>
      <c r="D447" s="2"/>
      <c r="E447" s="2"/>
      <c r="F447" s="2"/>
      <c r="G447" s="2"/>
      <c r="H447" s="2"/>
    </row>
    <row r="448" spans="1:8" ht="15.75" customHeight="1" x14ac:dyDescent="0.3">
      <c r="A448" s="2"/>
      <c r="B448" s="2"/>
      <c r="C448" s="2"/>
      <c r="D448" s="2"/>
      <c r="E448" s="2"/>
      <c r="F448" s="2"/>
      <c r="G448" s="2"/>
      <c r="H448" s="2"/>
    </row>
    <row r="449" spans="1:8" ht="15.75" customHeight="1" x14ac:dyDescent="0.3">
      <c r="A449" s="2"/>
      <c r="B449" s="2"/>
      <c r="C449" s="2"/>
      <c r="D449" s="2"/>
      <c r="E449" s="2"/>
      <c r="F449" s="2"/>
      <c r="G449" s="2"/>
      <c r="H449" s="2"/>
    </row>
    <row r="450" spans="1:8" ht="15.75" customHeight="1" x14ac:dyDescent="0.3">
      <c r="A450" s="2"/>
      <c r="B450" s="2"/>
      <c r="C450" s="2"/>
      <c r="D450" s="2"/>
      <c r="E450" s="2"/>
      <c r="F450" s="2"/>
      <c r="G450" s="2"/>
      <c r="H450" s="2"/>
    </row>
    <row r="451" spans="1:8" ht="15.75" customHeight="1" x14ac:dyDescent="0.3">
      <c r="A451" s="2"/>
      <c r="B451" s="2"/>
      <c r="C451" s="2"/>
      <c r="D451" s="2"/>
      <c r="E451" s="2"/>
      <c r="F451" s="2"/>
      <c r="G451" s="2"/>
      <c r="H451" s="2"/>
    </row>
    <row r="452" spans="1:8" ht="15.75" customHeight="1" x14ac:dyDescent="0.3">
      <c r="A452" s="2"/>
      <c r="B452" s="2"/>
      <c r="C452" s="2"/>
      <c r="D452" s="2"/>
      <c r="E452" s="2"/>
      <c r="F452" s="2"/>
      <c r="G452" s="2"/>
      <c r="H452" s="2"/>
    </row>
    <row r="453" spans="1:8" ht="15.75" customHeight="1" x14ac:dyDescent="0.3">
      <c r="A453" s="2"/>
      <c r="B453" s="2"/>
      <c r="C453" s="2"/>
      <c r="D453" s="2"/>
      <c r="E453" s="2"/>
      <c r="F453" s="2"/>
      <c r="G453" s="2"/>
      <c r="H453" s="2"/>
    </row>
    <row r="454" spans="1:8" ht="15.75" customHeight="1" x14ac:dyDescent="0.3">
      <c r="A454" s="2"/>
      <c r="B454" s="2"/>
      <c r="C454" s="2"/>
      <c r="D454" s="2"/>
      <c r="E454" s="2"/>
      <c r="F454" s="2"/>
      <c r="G454" s="2"/>
      <c r="H454" s="2"/>
    </row>
    <row r="455" spans="1:8" ht="15.75" customHeight="1" x14ac:dyDescent="0.3">
      <c r="A455" s="2"/>
      <c r="B455" s="2"/>
      <c r="C455" s="2"/>
      <c r="D455" s="2"/>
      <c r="E455" s="2"/>
      <c r="F455" s="2"/>
      <c r="G455" s="2"/>
      <c r="H455" s="2"/>
    </row>
    <row r="456" spans="1:8" ht="15.75" customHeight="1" x14ac:dyDescent="0.3">
      <c r="A456" s="2"/>
      <c r="B456" s="2"/>
      <c r="C456" s="2"/>
      <c r="D456" s="2"/>
      <c r="E456" s="2"/>
      <c r="F456" s="2"/>
      <c r="G456" s="2"/>
      <c r="H456" s="2"/>
    </row>
    <row r="457" spans="1:8" ht="15.75" customHeight="1" x14ac:dyDescent="0.3">
      <c r="A457" s="2"/>
      <c r="B457" s="2"/>
      <c r="C457" s="2"/>
      <c r="D457" s="2"/>
      <c r="E457" s="2"/>
      <c r="F457" s="2"/>
      <c r="G457" s="2"/>
      <c r="H457" s="2"/>
    </row>
    <row r="458" spans="1:8" ht="15.75" customHeight="1" x14ac:dyDescent="0.3">
      <c r="A458" s="2"/>
      <c r="B458" s="2"/>
      <c r="C458" s="2"/>
      <c r="D458" s="2"/>
      <c r="E458" s="2"/>
      <c r="F458" s="2"/>
      <c r="G458" s="2"/>
      <c r="H458" s="2"/>
    </row>
    <row r="459" spans="1:8" ht="15.75" customHeight="1" x14ac:dyDescent="0.3">
      <c r="A459" s="2"/>
      <c r="B459" s="2"/>
      <c r="C459" s="2"/>
      <c r="D459" s="2"/>
      <c r="E459" s="2"/>
      <c r="F459" s="2"/>
      <c r="G459" s="2"/>
      <c r="H459" s="2"/>
    </row>
    <row r="460" spans="1:8" ht="15.75" customHeight="1" x14ac:dyDescent="0.3">
      <c r="A460" s="2"/>
      <c r="B460" s="2"/>
      <c r="C460" s="2"/>
      <c r="D460" s="2"/>
      <c r="E460" s="2"/>
      <c r="F460" s="2"/>
      <c r="G460" s="2"/>
      <c r="H460" s="2"/>
    </row>
    <row r="461" spans="1:8" ht="15.75" customHeight="1" x14ac:dyDescent="0.3">
      <c r="A461" s="2"/>
      <c r="B461" s="2"/>
      <c r="C461" s="2"/>
      <c r="D461" s="2"/>
      <c r="E461" s="2"/>
      <c r="F461" s="2"/>
      <c r="G461" s="2"/>
      <c r="H461" s="2"/>
    </row>
    <row r="462" spans="1:8" ht="15.75" customHeight="1" x14ac:dyDescent="0.3">
      <c r="A462" s="2"/>
      <c r="B462" s="2"/>
      <c r="C462" s="2"/>
      <c r="D462" s="2"/>
      <c r="E462" s="2"/>
      <c r="F462" s="2"/>
      <c r="G462" s="2"/>
      <c r="H462" s="2"/>
    </row>
    <row r="463" spans="1:8" ht="15.75" customHeight="1" x14ac:dyDescent="0.3">
      <c r="A463" s="2"/>
      <c r="B463" s="2"/>
      <c r="C463" s="2"/>
      <c r="D463" s="2"/>
      <c r="E463" s="2"/>
      <c r="F463" s="2"/>
      <c r="G463" s="2"/>
      <c r="H463" s="2"/>
    </row>
    <row r="464" spans="1:8" ht="15.75" customHeight="1" x14ac:dyDescent="0.3">
      <c r="A464" s="2"/>
      <c r="B464" s="2"/>
      <c r="C464" s="2"/>
      <c r="D464" s="2"/>
      <c r="E464" s="2"/>
      <c r="F464" s="2"/>
      <c r="G464" s="2"/>
      <c r="H464" s="2"/>
    </row>
    <row r="465" spans="1:8" ht="15.75" customHeight="1" x14ac:dyDescent="0.3">
      <c r="A465" s="2"/>
      <c r="B465" s="2"/>
      <c r="C465" s="2"/>
      <c r="D465" s="2"/>
      <c r="E465" s="2"/>
      <c r="F465" s="2"/>
      <c r="G465" s="2"/>
      <c r="H465" s="2"/>
    </row>
    <row r="466" spans="1:8" ht="15.75" customHeight="1" x14ac:dyDescent="0.3">
      <c r="A466" s="2"/>
      <c r="B466" s="2"/>
      <c r="C466" s="2"/>
      <c r="D466" s="2"/>
      <c r="E466" s="2"/>
      <c r="F466" s="2"/>
      <c r="G466" s="2"/>
      <c r="H466" s="2"/>
    </row>
    <row r="467" spans="1:8" ht="15.75" customHeight="1" x14ac:dyDescent="0.3">
      <c r="A467" s="2"/>
      <c r="B467" s="2"/>
      <c r="C467" s="2"/>
      <c r="D467" s="2"/>
      <c r="E467" s="2"/>
      <c r="F467" s="2"/>
      <c r="G467" s="2"/>
      <c r="H467" s="2"/>
    </row>
    <row r="468" spans="1:8" ht="15.75" customHeight="1" x14ac:dyDescent="0.3">
      <c r="A468" s="2"/>
      <c r="B468" s="2"/>
      <c r="C468" s="2"/>
      <c r="D468" s="2"/>
      <c r="E468" s="2"/>
      <c r="F468" s="2"/>
      <c r="G468" s="2"/>
      <c r="H468" s="2"/>
    </row>
    <row r="469" spans="1:8" ht="15.75" customHeight="1" x14ac:dyDescent="0.3">
      <c r="A469" s="2"/>
      <c r="B469" s="2"/>
      <c r="C469" s="2"/>
      <c r="D469" s="2"/>
      <c r="E469" s="2"/>
      <c r="F469" s="2"/>
      <c r="G469" s="2"/>
      <c r="H469" s="2"/>
    </row>
    <row r="470" spans="1:8" ht="15.75" customHeight="1" x14ac:dyDescent="0.3">
      <c r="A470" s="2"/>
      <c r="B470" s="2"/>
      <c r="C470" s="2"/>
      <c r="D470" s="2"/>
      <c r="E470" s="2"/>
      <c r="F470" s="2"/>
      <c r="G470" s="2"/>
      <c r="H470" s="2"/>
    </row>
    <row r="471" spans="1:8" ht="15.75" customHeight="1" x14ac:dyDescent="0.3">
      <c r="A471" s="2"/>
      <c r="B471" s="2"/>
      <c r="C471" s="2"/>
      <c r="D471" s="2"/>
      <c r="E471" s="2"/>
      <c r="F471" s="2"/>
      <c r="G471" s="2"/>
      <c r="H471" s="2"/>
    </row>
    <row r="472" spans="1:8" ht="15.75" customHeight="1" x14ac:dyDescent="0.3">
      <c r="A472" s="2"/>
      <c r="B472" s="2"/>
      <c r="C472" s="2"/>
      <c r="D472" s="2"/>
      <c r="E472" s="2"/>
      <c r="F472" s="2"/>
      <c r="G472" s="2"/>
      <c r="H472" s="2"/>
    </row>
    <row r="473" spans="1:8" ht="15.75" customHeight="1" x14ac:dyDescent="0.3">
      <c r="A473" s="2"/>
      <c r="B473" s="2"/>
      <c r="C473" s="2"/>
      <c r="D473" s="2"/>
      <c r="E473" s="2"/>
      <c r="F473" s="2"/>
      <c r="G473" s="2"/>
      <c r="H473" s="2"/>
    </row>
    <row r="474" spans="1:8" ht="15.75" customHeight="1" x14ac:dyDescent="0.3">
      <c r="A474" s="2"/>
      <c r="B474" s="2"/>
      <c r="C474" s="2"/>
      <c r="D474" s="2"/>
      <c r="E474" s="2"/>
      <c r="F474" s="2"/>
      <c r="G474" s="2"/>
      <c r="H474" s="2"/>
    </row>
    <row r="475" spans="1:8" ht="15.75" customHeight="1" x14ac:dyDescent="0.3">
      <c r="A475" s="2"/>
      <c r="B475" s="2"/>
      <c r="C475" s="2"/>
      <c r="D475" s="2"/>
      <c r="E475" s="2"/>
      <c r="F475" s="2"/>
      <c r="G475" s="2"/>
      <c r="H475" s="2"/>
    </row>
    <row r="476" spans="1:8" ht="15.75" customHeight="1" x14ac:dyDescent="0.3">
      <c r="A476" s="2"/>
      <c r="B476" s="2"/>
      <c r="C476" s="2"/>
      <c r="D476" s="2"/>
      <c r="E476" s="2"/>
      <c r="F476" s="2"/>
      <c r="G476" s="2"/>
      <c r="H476" s="2"/>
    </row>
    <row r="477" spans="1:8" ht="15.75" customHeight="1" x14ac:dyDescent="0.3">
      <c r="A477" s="2"/>
      <c r="B477" s="2"/>
      <c r="C477" s="2"/>
      <c r="D477" s="2"/>
      <c r="E477" s="2"/>
      <c r="F477" s="2"/>
      <c r="G477" s="2"/>
      <c r="H477" s="2"/>
    </row>
    <row r="478" spans="1:8" ht="15.75" customHeight="1" x14ac:dyDescent="0.3">
      <c r="A478" s="2"/>
      <c r="B478" s="2"/>
      <c r="C478" s="2"/>
      <c r="D478" s="2"/>
      <c r="E478" s="2"/>
      <c r="F478" s="2"/>
      <c r="G478" s="2"/>
      <c r="H478" s="2"/>
    </row>
    <row r="479" spans="1:8" ht="15.75" customHeight="1" x14ac:dyDescent="0.3">
      <c r="A479" s="2"/>
      <c r="B479" s="2"/>
      <c r="C479" s="2"/>
      <c r="D479" s="2"/>
      <c r="E479" s="2"/>
      <c r="F479" s="2"/>
      <c r="G479" s="2"/>
      <c r="H479" s="2"/>
    </row>
    <row r="480" spans="1:8" ht="15.75" customHeight="1" x14ac:dyDescent="0.3">
      <c r="A480" s="2"/>
      <c r="B480" s="2"/>
      <c r="C480" s="2"/>
      <c r="D480" s="2"/>
      <c r="E480" s="2"/>
      <c r="F480" s="2"/>
      <c r="G480" s="2"/>
      <c r="H480" s="2"/>
    </row>
    <row r="481" spans="1:8" ht="15.75" customHeight="1" x14ac:dyDescent="0.3">
      <c r="A481" s="2"/>
      <c r="B481" s="2"/>
      <c r="C481" s="2"/>
      <c r="D481" s="2"/>
      <c r="E481" s="2"/>
      <c r="F481" s="2"/>
      <c r="G481" s="2"/>
      <c r="H481" s="2"/>
    </row>
    <row r="482" spans="1:8" ht="15.75" customHeight="1" x14ac:dyDescent="0.3">
      <c r="A482" s="2"/>
      <c r="B482" s="2"/>
      <c r="C482" s="2"/>
      <c r="D482" s="2"/>
      <c r="E482" s="2"/>
      <c r="F482" s="2"/>
      <c r="G482" s="2"/>
      <c r="H482" s="2"/>
    </row>
    <row r="483" spans="1:8" ht="15.75" customHeight="1" x14ac:dyDescent="0.3">
      <c r="A483" s="2"/>
      <c r="B483" s="2"/>
      <c r="C483" s="2"/>
      <c r="D483" s="2"/>
      <c r="E483" s="2"/>
      <c r="F483" s="2"/>
      <c r="G483" s="2"/>
      <c r="H483" s="2"/>
    </row>
    <row r="484" spans="1:8" ht="15.75" customHeight="1" x14ac:dyDescent="0.3">
      <c r="A484" s="2"/>
      <c r="B484" s="2"/>
      <c r="C484" s="2"/>
      <c r="D484" s="2"/>
      <c r="E484" s="2"/>
      <c r="F484" s="2"/>
      <c r="G484" s="2"/>
      <c r="H484" s="2"/>
    </row>
    <row r="485" spans="1:8" ht="15.75" customHeight="1" x14ac:dyDescent="0.3">
      <c r="A485" s="2"/>
      <c r="B485" s="2"/>
      <c r="C485" s="2"/>
      <c r="D485" s="2"/>
      <c r="E485" s="2"/>
      <c r="F485" s="2"/>
      <c r="G485" s="2"/>
      <c r="H485" s="2"/>
    </row>
    <row r="486" spans="1:8" ht="15.75" customHeight="1" x14ac:dyDescent="0.3">
      <c r="A486" s="2"/>
      <c r="B486" s="2"/>
      <c r="C486" s="2"/>
      <c r="D486" s="2"/>
      <c r="E486" s="2"/>
      <c r="F486" s="2"/>
      <c r="G486" s="2"/>
      <c r="H486" s="2"/>
    </row>
    <row r="487" spans="1:8" ht="15.75" customHeight="1" x14ac:dyDescent="0.3">
      <c r="A487" s="2"/>
      <c r="B487" s="2"/>
      <c r="C487" s="2"/>
      <c r="D487" s="2"/>
      <c r="E487" s="2"/>
      <c r="F487" s="2"/>
      <c r="G487" s="2"/>
      <c r="H487" s="2"/>
    </row>
    <row r="488" spans="1:8" ht="15.75" customHeight="1" x14ac:dyDescent="0.3">
      <c r="A488" s="2"/>
      <c r="B488" s="2"/>
      <c r="C488" s="2"/>
      <c r="D488" s="2"/>
      <c r="E488" s="2"/>
      <c r="F488" s="2"/>
      <c r="G488" s="2"/>
      <c r="H488" s="2"/>
    </row>
    <row r="489" spans="1:8" ht="15.75" customHeight="1" x14ac:dyDescent="0.3">
      <c r="A489" s="2"/>
      <c r="B489" s="2"/>
      <c r="C489" s="2"/>
      <c r="D489" s="2"/>
      <c r="E489" s="2"/>
      <c r="F489" s="2"/>
      <c r="G489" s="2"/>
      <c r="H489" s="2"/>
    </row>
    <row r="490" spans="1:8" ht="15.75" customHeight="1" x14ac:dyDescent="0.3">
      <c r="A490" s="2"/>
      <c r="B490" s="2"/>
      <c r="C490" s="2"/>
      <c r="D490" s="2"/>
      <c r="E490" s="2"/>
      <c r="F490" s="2"/>
      <c r="G490" s="2"/>
      <c r="H490" s="2"/>
    </row>
    <row r="491" spans="1:8" ht="15.75" customHeight="1" x14ac:dyDescent="0.3">
      <c r="A491" s="2"/>
      <c r="B491" s="2"/>
      <c r="C491" s="2"/>
      <c r="D491" s="2"/>
      <c r="E491" s="2"/>
      <c r="F491" s="2"/>
      <c r="G491" s="2"/>
      <c r="H491" s="2"/>
    </row>
    <row r="492" spans="1:8" ht="15.75" customHeight="1" x14ac:dyDescent="0.3">
      <c r="A492" s="2"/>
      <c r="B492" s="2"/>
      <c r="C492" s="2"/>
      <c r="D492" s="2"/>
      <c r="E492" s="2"/>
      <c r="F492" s="2"/>
      <c r="G492" s="2"/>
      <c r="H492" s="2"/>
    </row>
    <row r="493" spans="1:8" ht="15.75" customHeight="1" x14ac:dyDescent="0.3">
      <c r="A493" s="2"/>
      <c r="B493" s="2"/>
      <c r="C493" s="2"/>
      <c r="D493" s="2"/>
      <c r="E493" s="2"/>
      <c r="F493" s="2"/>
      <c r="G493" s="2"/>
      <c r="H493" s="2"/>
    </row>
    <row r="494" spans="1:8" ht="15.75" customHeight="1" x14ac:dyDescent="0.3">
      <c r="A494" s="2"/>
      <c r="B494" s="2"/>
      <c r="C494" s="2"/>
      <c r="D494" s="2"/>
      <c r="E494" s="2"/>
      <c r="F494" s="2"/>
      <c r="G494" s="2"/>
      <c r="H494" s="2"/>
    </row>
    <row r="495" spans="1:8" ht="15.75" customHeight="1" x14ac:dyDescent="0.3">
      <c r="A495" s="2"/>
      <c r="B495" s="2"/>
      <c r="C495" s="2"/>
      <c r="D495" s="2"/>
      <c r="E495" s="2"/>
      <c r="F495" s="2"/>
      <c r="G495" s="2"/>
      <c r="H495" s="2"/>
    </row>
    <row r="496" spans="1:8" ht="15.75" customHeight="1" x14ac:dyDescent="0.3">
      <c r="A496" s="2"/>
      <c r="B496" s="2"/>
      <c r="C496" s="2"/>
      <c r="D496" s="2"/>
      <c r="E496" s="2"/>
      <c r="F496" s="2"/>
      <c r="G496" s="2"/>
      <c r="H496" s="2"/>
    </row>
    <row r="497" spans="1:8" ht="15.75" customHeight="1" x14ac:dyDescent="0.3">
      <c r="A497" s="2"/>
      <c r="B497" s="2"/>
      <c r="C497" s="2"/>
      <c r="D497" s="2"/>
      <c r="E497" s="2"/>
      <c r="F497" s="2"/>
      <c r="G497" s="2"/>
      <c r="H497" s="2"/>
    </row>
    <row r="498" spans="1:8" ht="15.75" customHeight="1" x14ac:dyDescent="0.3">
      <c r="A498" s="2"/>
      <c r="B498" s="2"/>
      <c r="C498" s="2"/>
      <c r="D498" s="2"/>
      <c r="E498" s="2"/>
      <c r="F498" s="2"/>
      <c r="G498" s="2"/>
      <c r="H498" s="2"/>
    </row>
    <row r="499" spans="1:8" ht="15.75" customHeight="1" x14ac:dyDescent="0.3">
      <c r="A499" s="2"/>
      <c r="B499" s="2"/>
      <c r="C499" s="2"/>
      <c r="D499" s="2"/>
      <c r="E499" s="2"/>
      <c r="F499" s="2"/>
      <c r="G499" s="2"/>
      <c r="H499" s="2"/>
    </row>
    <row r="500" spans="1:8" ht="15.75" customHeight="1" x14ac:dyDescent="0.3">
      <c r="A500" s="2"/>
      <c r="B500" s="2"/>
      <c r="C500" s="2"/>
      <c r="D500" s="2"/>
      <c r="E500" s="2"/>
      <c r="F500" s="2"/>
      <c r="G500" s="2"/>
      <c r="H500" s="2"/>
    </row>
    <row r="501" spans="1:8" ht="15.75" customHeight="1" x14ac:dyDescent="0.3">
      <c r="A501" s="2"/>
      <c r="B501" s="2"/>
      <c r="C501" s="2"/>
      <c r="D501" s="2"/>
      <c r="E501" s="2"/>
      <c r="F501" s="2"/>
      <c r="G501" s="2"/>
      <c r="H501" s="2"/>
    </row>
    <row r="502" spans="1:8" ht="15.75" customHeight="1" x14ac:dyDescent="0.3">
      <c r="A502" s="2"/>
      <c r="B502" s="2"/>
      <c r="C502" s="2"/>
      <c r="D502" s="2"/>
      <c r="E502" s="2"/>
      <c r="F502" s="2"/>
      <c r="G502" s="2"/>
      <c r="H502" s="2"/>
    </row>
    <row r="503" spans="1:8" ht="15.75" customHeight="1" x14ac:dyDescent="0.3">
      <c r="A503" s="2"/>
      <c r="B503" s="2"/>
      <c r="C503" s="2"/>
      <c r="D503" s="2"/>
      <c r="E503" s="2"/>
      <c r="F503" s="2"/>
      <c r="G503" s="2"/>
      <c r="H503" s="2"/>
    </row>
    <row r="504" spans="1:8" ht="15.75" customHeight="1" x14ac:dyDescent="0.3">
      <c r="A504" s="2"/>
      <c r="B504" s="2"/>
      <c r="C504" s="2"/>
      <c r="D504" s="2"/>
      <c r="E504" s="2"/>
      <c r="F504" s="2"/>
      <c r="G504" s="2"/>
      <c r="H504" s="2"/>
    </row>
    <row r="505" spans="1:8" ht="15.75" customHeight="1" x14ac:dyDescent="0.3">
      <c r="A505" s="2"/>
      <c r="B505" s="2"/>
      <c r="C505" s="2"/>
      <c r="D505" s="2"/>
      <c r="E505" s="2"/>
      <c r="F505" s="2"/>
      <c r="G505" s="2"/>
      <c r="H505" s="2"/>
    </row>
    <row r="506" spans="1:8" ht="15.75" customHeight="1" x14ac:dyDescent="0.3">
      <c r="A506" s="2"/>
      <c r="B506" s="2"/>
      <c r="C506" s="2"/>
      <c r="D506" s="2"/>
      <c r="E506" s="2"/>
      <c r="F506" s="2"/>
      <c r="G506" s="2"/>
      <c r="H506" s="2"/>
    </row>
    <row r="507" spans="1:8" ht="15.75" customHeight="1" x14ac:dyDescent="0.3">
      <c r="A507" s="2"/>
      <c r="B507" s="2"/>
      <c r="C507" s="2"/>
      <c r="D507" s="2"/>
      <c r="E507" s="2"/>
      <c r="F507" s="2"/>
      <c r="G507" s="2"/>
      <c r="H507" s="2"/>
    </row>
    <row r="508" spans="1:8" ht="15.75" customHeight="1" x14ac:dyDescent="0.3">
      <c r="A508" s="2"/>
      <c r="B508" s="2"/>
      <c r="C508" s="2"/>
      <c r="D508" s="2"/>
      <c r="E508" s="2"/>
      <c r="F508" s="2"/>
      <c r="G508" s="2"/>
      <c r="H508" s="2"/>
    </row>
    <row r="509" spans="1:8" ht="15.75" customHeight="1" x14ac:dyDescent="0.3">
      <c r="A509" s="2"/>
      <c r="B509" s="2"/>
      <c r="C509" s="2"/>
      <c r="D509" s="2"/>
      <c r="E509" s="2"/>
      <c r="F509" s="2"/>
      <c r="G509" s="2"/>
      <c r="H509" s="2"/>
    </row>
    <row r="510" spans="1:8" ht="15.75" customHeight="1" x14ac:dyDescent="0.3">
      <c r="A510" s="2"/>
      <c r="B510" s="2"/>
      <c r="C510" s="2"/>
      <c r="D510" s="2"/>
      <c r="E510" s="2"/>
      <c r="F510" s="2"/>
      <c r="G510" s="2"/>
      <c r="H510" s="2"/>
    </row>
    <row r="511" spans="1:8" ht="15.75" customHeight="1" x14ac:dyDescent="0.3">
      <c r="A511" s="2"/>
      <c r="B511" s="2"/>
      <c r="C511" s="2"/>
      <c r="D511" s="2"/>
      <c r="E511" s="2"/>
      <c r="F511" s="2"/>
      <c r="G511" s="2"/>
      <c r="H511" s="2"/>
    </row>
    <row r="512" spans="1:8" ht="15.75" customHeight="1" x14ac:dyDescent="0.3">
      <c r="A512" s="2"/>
      <c r="B512" s="2"/>
      <c r="C512" s="2"/>
      <c r="D512" s="2"/>
      <c r="E512" s="2"/>
      <c r="F512" s="2"/>
      <c r="G512" s="2"/>
      <c r="H512" s="2"/>
    </row>
    <row r="513" spans="1:8" ht="15.75" customHeight="1" x14ac:dyDescent="0.3">
      <c r="A513" s="2"/>
      <c r="B513" s="2"/>
      <c r="C513" s="2"/>
      <c r="D513" s="2"/>
      <c r="E513" s="2"/>
      <c r="F513" s="2"/>
      <c r="G513" s="2"/>
      <c r="H513" s="2"/>
    </row>
    <row r="514" spans="1:8" ht="15.75" customHeight="1" x14ac:dyDescent="0.3">
      <c r="A514" s="2"/>
      <c r="B514" s="2"/>
      <c r="C514" s="2"/>
      <c r="D514" s="2"/>
      <c r="E514" s="2"/>
      <c r="F514" s="2"/>
      <c r="G514" s="2"/>
      <c r="H514" s="2"/>
    </row>
    <row r="515" spans="1:8" ht="15.75" customHeight="1" x14ac:dyDescent="0.3">
      <c r="A515" s="2"/>
      <c r="B515" s="2"/>
      <c r="C515" s="2"/>
      <c r="D515" s="2"/>
      <c r="E515" s="2"/>
      <c r="F515" s="2"/>
      <c r="G515" s="2"/>
      <c r="H515" s="2"/>
    </row>
    <row r="516" spans="1:8" ht="15.75" customHeight="1" x14ac:dyDescent="0.3">
      <c r="A516" s="2"/>
      <c r="B516" s="2"/>
      <c r="C516" s="2"/>
      <c r="D516" s="2"/>
      <c r="E516" s="2"/>
      <c r="F516" s="2"/>
      <c r="G516" s="2"/>
      <c r="H516" s="2"/>
    </row>
    <row r="517" spans="1:8" ht="15.75" customHeight="1" x14ac:dyDescent="0.3">
      <c r="A517" s="2"/>
      <c r="B517" s="2"/>
      <c r="C517" s="2"/>
      <c r="D517" s="2"/>
      <c r="E517" s="2"/>
      <c r="F517" s="2"/>
      <c r="G517" s="2"/>
      <c r="H517" s="2"/>
    </row>
    <row r="518" spans="1:8" ht="15.75" customHeight="1" x14ac:dyDescent="0.3">
      <c r="A518" s="2"/>
      <c r="B518" s="2"/>
      <c r="C518" s="2"/>
      <c r="D518" s="2"/>
      <c r="E518" s="2"/>
      <c r="F518" s="2"/>
      <c r="G518" s="2"/>
      <c r="H518" s="2"/>
    </row>
    <row r="519" spans="1:8" ht="15.75" customHeight="1" x14ac:dyDescent="0.3">
      <c r="A519" s="2"/>
      <c r="B519" s="2"/>
      <c r="C519" s="2"/>
      <c r="D519" s="2"/>
      <c r="E519" s="2"/>
      <c r="F519" s="2"/>
      <c r="G519" s="2"/>
      <c r="H519" s="2"/>
    </row>
    <row r="520" spans="1:8" ht="15.75" customHeight="1" x14ac:dyDescent="0.3">
      <c r="A520" s="2"/>
      <c r="B520" s="2"/>
      <c r="C520" s="2"/>
      <c r="D520" s="2"/>
      <c r="E520" s="2"/>
      <c r="F520" s="2"/>
      <c r="G520" s="2"/>
      <c r="H520" s="2"/>
    </row>
    <row r="521" spans="1:8" ht="15.75" customHeight="1" x14ac:dyDescent="0.3">
      <c r="A521" s="2"/>
      <c r="B521" s="2"/>
      <c r="C521" s="2"/>
      <c r="D521" s="2"/>
      <c r="E521" s="2"/>
      <c r="F521" s="2"/>
      <c r="G521" s="2"/>
      <c r="H521" s="2"/>
    </row>
    <row r="522" spans="1:8" ht="15.75" customHeight="1" x14ac:dyDescent="0.3">
      <c r="A522" s="2"/>
      <c r="B522" s="2"/>
      <c r="C522" s="2"/>
      <c r="D522" s="2"/>
      <c r="E522" s="2"/>
      <c r="F522" s="2"/>
      <c r="G522" s="2"/>
      <c r="H522" s="2"/>
    </row>
    <row r="523" spans="1:8" ht="15.75" customHeight="1" x14ac:dyDescent="0.3">
      <c r="A523" s="2"/>
      <c r="B523" s="2"/>
      <c r="C523" s="2"/>
      <c r="D523" s="2"/>
      <c r="E523" s="2"/>
      <c r="F523" s="2"/>
      <c r="G523" s="2"/>
      <c r="H523" s="2"/>
    </row>
    <row r="524" spans="1:8" ht="15.75" customHeight="1" x14ac:dyDescent="0.3">
      <c r="A524" s="2"/>
      <c r="B524" s="2"/>
      <c r="C524" s="2"/>
      <c r="D524" s="2"/>
      <c r="E524" s="2"/>
      <c r="F524" s="2"/>
      <c r="G524" s="2"/>
      <c r="H524" s="2"/>
    </row>
    <row r="525" spans="1:8" ht="15.75" customHeight="1" x14ac:dyDescent="0.3">
      <c r="A525" s="2"/>
      <c r="B525" s="2"/>
      <c r="C525" s="2"/>
      <c r="D525" s="2"/>
      <c r="E525" s="2"/>
      <c r="F525" s="2"/>
      <c r="G525" s="2"/>
      <c r="H525" s="2"/>
    </row>
    <row r="526" spans="1:8" ht="15.75" customHeight="1" x14ac:dyDescent="0.3">
      <c r="A526" s="2"/>
      <c r="B526" s="2"/>
      <c r="C526" s="2"/>
      <c r="D526" s="2"/>
      <c r="E526" s="2"/>
      <c r="F526" s="2"/>
      <c r="G526" s="2"/>
      <c r="H526" s="2"/>
    </row>
    <row r="527" spans="1:8" ht="15.75" customHeight="1" x14ac:dyDescent="0.3">
      <c r="A527" s="2"/>
      <c r="B527" s="2"/>
      <c r="C527" s="2"/>
      <c r="D527" s="2"/>
      <c r="E527" s="2"/>
      <c r="F527" s="2"/>
      <c r="G527" s="2"/>
      <c r="H527" s="2"/>
    </row>
    <row r="528" spans="1:8" ht="15.75" customHeight="1" x14ac:dyDescent="0.3">
      <c r="A528" s="2"/>
      <c r="B528" s="2"/>
      <c r="C528" s="2"/>
      <c r="D528" s="2"/>
      <c r="E528" s="2"/>
      <c r="F528" s="2"/>
      <c r="G528" s="2"/>
      <c r="H528" s="2"/>
    </row>
    <row r="529" spans="1:8" ht="15.75" customHeight="1" x14ac:dyDescent="0.3">
      <c r="A529" s="2"/>
      <c r="B529" s="2"/>
      <c r="C529" s="2"/>
      <c r="D529" s="2"/>
      <c r="E529" s="2"/>
      <c r="F529" s="2"/>
      <c r="G529" s="2"/>
      <c r="H529" s="2"/>
    </row>
    <row r="530" spans="1:8" ht="15.75" customHeight="1" x14ac:dyDescent="0.3">
      <c r="A530" s="2"/>
      <c r="B530" s="2"/>
      <c r="C530" s="2"/>
      <c r="D530" s="2"/>
      <c r="E530" s="2"/>
      <c r="F530" s="2"/>
      <c r="G530" s="2"/>
      <c r="H530" s="2"/>
    </row>
    <row r="531" spans="1:8" ht="15.75" customHeight="1" x14ac:dyDescent="0.3">
      <c r="A531" s="2"/>
      <c r="B531" s="2"/>
      <c r="C531" s="2"/>
      <c r="D531" s="2"/>
      <c r="E531" s="2"/>
      <c r="F531" s="2"/>
      <c r="G531" s="2"/>
      <c r="H531" s="2"/>
    </row>
    <row r="532" spans="1:8" ht="15.75" customHeight="1" x14ac:dyDescent="0.3">
      <c r="A532" s="2"/>
      <c r="B532" s="2"/>
      <c r="C532" s="2"/>
      <c r="D532" s="2"/>
      <c r="E532" s="2"/>
      <c r="F532" s="2"/>
      <c r="G532" s="2"/>
      <c r="H532" s="2"/>
    </row>
    <row r="533" spans="1:8" ht="15.75" customHeight="1" x14ac:dyDescent="0.3">
      <c r="A533" s="2"/>
      <c r="B533" s="2"/>
      <c r="C533" s="2"/>
      <c r="D533" s="2"/>
      <c r="E533" s="2"/>
      <c r="F533" s="2"/>
      <c r="G533" s="2"/>
      <c r="H533" s="2"/>
    </row>
    <row r="534" spans="1:8" ht="15.75" customHeight="1" x14ac:dyDescent="0.3">
      <c r="A534" s="2"/>
      <c r="B534" s="2"/>
      <c r="C534" s="2"/>
      <c r="D534" s="2"/>
      <c r="E534" s="2"/>
      <c r="F534" s="2"/>
      <c r="G534" s="2"/>
      <c r="H534" s="2"/>
    </row>
    <row r="535" spans="1:8" ht="15.75" customHeight="1" x14ac:dyDescent="0.3">
      <c r="A535" s="2"/>
      <c r="B535" s="2"/>
      <c r="C535" s="2"/>
      <c r="D535" s="2"/>
      <c r="E535" s="2"/>
      <c r="F535" s="2"/>
      <c r="G535" s="2"/>
      <c r="H535" s="2"/>
    </row>
    <row r="536" spans="1:8" ht="15.75" customHeight="1" x14ac:dyDescent="0.3">
      <c r="A536" s="2"/>
      <c r="B536" s="2"/>
      <c r="C536" s="2"/>
      <c r="D536" s="2"/>
      <c r="E536" s="2"/>
      <c r="F536" s="2"/>
      <c r="G536" s="2"/>
      <c r="H536" s="2"/>
    </row>
    <row r="537" spans="1:8" ht="15.75" customHeight="1" x14ac:dyDescent="0.3">
      <c r="A537" s="2"/>
      <c r="B537" s="2"/>
      <c r="C537" s="2"/>
      <c r="D537" s="2"/>
      <c r="E537" s="2"/>
      <c r="F537" s="2"/>
      <c r="G537" s="2"/>
      <c r="H537" s="2"/>
    </row>
    <row r="538" spans="1:8" ht="15.75" customHeight="1" x14ac:dyDescent="0.3">
      <c r="A538" s="2"/>
      <c r="B538" s="2"/>
      <c r="C538" s="2"/>
      <c r="D538" s="2"/>
      <c r="E538" s="2"/>
      <c r="F538" s="2"/>
      <c r="G538" s="2"/>
      <c r="H538" s="2"/>
    </row>
    <row r="539" spans="1:8" ht="15.75" customHeight="1" x14ac:dyDescent="0.3">
      <c r="A539" s="2"/>
      <c r="B539" s="2"/>
      <c r="C539" s="2"/>
      <c r="D539" s="2"/>
      <c r="E539" s="2"/>
      <c r="F539" s="2"/>
      <c r="G539" s="2"/>
      <c r="H539" s="2"/>
    </row>
    <row r="540" spans="1:8" ht="15.75" customHeight="1" x14ac:dyDescent="0.3">
      <c r="A540" s="2"/>
      <c r="B540" s="2"/>
      <c r="C540" s="2"/>
      <c r="D540" s="2"/>
      <c r="E540" s="2"/>
      <c r="F540" s="2"/>
      <c r="G540" s="2"/>
      <c r="H540" s="2"/>
    </row>
    <row r="541" spans="1:8" ht="15.75" customHeight="1" x14ac:dyDescent="0.3">
      <c r="A541" s="2"/>
      <c r="B541" s="2"/>
      <c r="C541" s="2"/>
      <c r="D541" s="2"/>
      <c r="E541" s="2"/>
      <c r="F541" s="2"/>
      <c r="G541" s="2"/>
      <c r="H541" s="2"/>
    </row>
    <row r="542" spans="1:8" ht="15.75" customHeight="1" x14ac:dyDescent="0.3">
      <c r="A542" s="2"/>
      <c r="B542" s="2"/>
      <c r="C542" s="2"/>
      <c r="D542" s="2"/>
      <c r="E542" s="2"/>
      <c r="F542" s="2"/>
      <c r="G542" s="2"/>
      <c r="H542" s="2"/>
    </row>
    <row r="543" spans="1:8" ht="15.75" customHeight="1" x14ac:dyDescent="0.3">
      <c r="A543" s="2"/>
      <c r="B543" s="2"/>
      <c r="C543" s="2"/>
      <c r="D543" s="2"/>
      <c r="E543" s="2"/>
      <c r="F543" s="2"/>
      <c r="G543" s="2"/>
      <c r="H543" s="2"/>
    </row>
    <row r="544" spans="1:8" ht="15.75" customHeight="1" x14ac:dyDescent="0.3">
      <c r="A544" s="2"/>
      <c r="B544" s="2"/>
      <c r="C544" s="2"/>
      <c r="D544" s="2"/>
      <c r="E544" s="2"/>
      <c r="F544" s="2"/>
      <c r="G544" s="2"/>
      <c r="H544" s="2"/>
    </row>
    <row r="545" spans="1:8" ht="15.75" customHeight="1" x14ac:dyDescent="0.3">
      <c r="A545" s="2"/>
      <c r="B545" s="2"/>
      <c r="C545" s="2"/>
      <c r="D545" s="2"/>
      <c r="E545" s="2"/>
      <c r="F545" s="2"/>
      <c r="G545" s="2"/>
      <c r="H545" s="2"/>
    </row>
    <row r="546" spans="1:8" ht="15.75" customHeight="1" x14ac:dyDescent="0.3">
      <c r="A546" s="2"/>
      <c r="B546" s="2"/>
      <c r="C546" s="2"/>
      <c r="D546" s="2"/>
      <c r="E546" s="2"/>
      <c r="F546" s="2"/>
      <c r="G546" s="2"/>
      <c r="H546" s="2"/>
    </row>
    <row r="547" spans="1:8" ht="15.75" customHeight="1" x14ac:dyDescent="0.3">
      <c r="A547" s="2"/>
      <c r="B547" s="2"/>
      <c r="C547" s="2"/>
      <c r="D547" s="2"/>
      <c r="E547" s="2"/>
      <c r="F547" s="2"/>
      <c r="G547" s="2"/>
      <c r="H547" s="2"/>
    </row>
    <row r="548" spans="1:8" ht="15.75" customHeight="1" x14ac:dyDescent="0.3">
      <c r="A548" s="2"/>
      <c r="B548" s="2"/>
      <c r="C548" s="2"/>
      <c r="D548" s="2"/>
      <c r="E548" s="2"/>
      <c r="F548" s="2"/>
      <c r="G548" s="2"/>
      <c r="H548" s="2"/>
    </row>
    <row r="549" spans="1:8" ht="15.75" customHeight="1" x14ac:dyDescent="0.3">
      <c r="A549" s="2"/>
      <c r="B549" s="2"/>
      <c r="C549" s="2"/>
      <c r="D549" s="2"/>
      <c r="E549" s="2"/>
      <c r="F549" s="2"/>
      <c r="G549" s="2"/>
      <c r="H549" s="2"/>
    </row>
    <row r="550" spans="1:8" ht="15.75" customHeight="1" x14ac:dyDescent="0.3">
      <c r="A550" s="2"/>
      <c r="B550" s="2"/>
      <c r="C550" s="2"/>
      <c r="D550" s="2"/>
      <c r="E550" s="2"/>
      <c r="F550" s="2"/>
      <c r="G550" s="2"/>
      <c r="H550" s="2"/>
    </row>
    <row r="551" spans="1:8" ht="15.75" customHeight="1" x14ac:dyDescent="0.3">
      <c r="A551" s="2"/>
      <c r="B551" s="2"/>
      <c r="C551" s="2"/>
      <c r="D551" s="2"/>
      <c r="E551" s="2"/>
      <c r="F551" s="2"/>
      <c r="G551" s="2"/>
      <c r="H551" s="2"/>
    </row>
    <row r="552" spans="1:8" ht="15.75" customHeight="1" x14ac:dyDescent="0.3">
      <c r="A552" s="2"/>
      <c r="B552" s="2"/>
      <c r="C552" s="2"/>
      <c r="D552" s="2"/>
      <c r="E552" s="2"/>
      <c r="F552" s="2"/>
      <c r="G552" s="2"/>
      <c r="H552" s="2"/>
    </row>
    <row r="553" spans="1:8" ht="15.75" customHeight="1" x14ac:dyDescent="0.3">
      <c r="A553" s="2"/>
      <c r="B553" s="2"/>
      <c r="C553" s="2"/>
      <c r="D553" s="2"/>
      <c r="E553" s="2"/>
      <c r="F553" s="2"/>
      <c r="G553" s="2"/>
      <c r="H553" s="2"/>
    </row>
    <row r="554" spans="1:8" ht="15.75" customHeight="1" x14ac:dyDescent="0.3">
      <c r="A554" s="2"/>
      <c r="B554" s="2"/>
      <c r="C554" s="2"/>
      <c r="D554" s="2"/>
      <c r="E554" s="2"/>
      <c r="F554" s="2"/>
      <c r="G554" s="2"/>
      <c r="H554" s="2"/>
    </row>
    <row r="555" spans="1:8" ht="15.75" customHeight="1" x14ac:dyDescent="0.3">
      <c r="A555" s="2"/>
      <c r="B555" s="2"/>
      <c r="C555" s="2"/>
      <c r="D555" s="2"/>
      <c r="E555" s="2"/>
      <c r="F555" s="2"/>
      <c r="G555" s="2"/>
      <c r="H555" s="2"/>
    </row>
    <row r="556" spans="1:8" ht="15.75" customHeight="1" x14ac:dyDescent="0.3">
      <c r="A556" s="2"/>
      <c r="B556" s="2"/>
      <c r="C556" s="2"/>
      <c r="D556" s="2"/>
      <c r="E556" s="2"/>
      <c r="F556" s="2"/>
      <c r="G556" s="2"/>
      <c r="H556" s="2"/>
    </row>
    <row r="557" spans="1:8" ht="15.75" customHeight="1" x14ac:dyDescent="0.3">
      <c r="A557" s="2"/>
      <c r="B557" s="2"/>
      <c r="C557" s="2"/>
      <c r="D557" s="2"/>
      <c r="E557" s="2"/>
      <c r="F557" s="2"/>
      <c r="G557" s="2"/>
      <c r="H557" s="2"/>
    </row>
    <row r="558" spans="1:8" ht="15.75" customHeight="1" x14ac:dyDescent="0.3">
      <c r="A558" s="2"/>
      <c r="B558" s="2"/>
      <c r="C558" s="2"/>
      <c r="D558" s="2"/>
      <c r="E558" s="2"/>
      <c r="F558" s="2"/>
      <c r="G558" s="2"/>
      <c r="H558" s="2"/>
    </row>
    <row r="559" spans="1:8" ht="15.75" customHeight="1" x14ac:dyDescent="0.3">
      <c r="A559" s="2"/>
      <c r="B559" s="2"/>
      <c r="C559" s="2"/>
      <c r="D559" s="2"/>
      <c r="E559" s="2"/>
      <c r="F559" s="2"/>
      <c r="G559" s="2"/>
      <c r="H559" s="2"/>
    </row>
    <row r="560" spans="1:8" ht="15.75" customHeight="1" x14ac:dyDescent="0.3">
      <c r="A560" s="2"/>
      <c r="B560" s="2"/>
      <c r="C560" s="2"/>
      <c r="D560" s="2"/>
      <c r="E560" s="2"/>
      <c r="F560" s="2"/>
      <c r="G560" s="2"/>
      <c r="H560" s="2"/>
    </row>
    <row r="561" spans="1:8" ht="15.75" customHeight="1" x14ac:dyDescent="0.3">
      <c r="A561" s="2"/>
      <c r="B561" s="2"/>
      <c r="C561" s="2"/>
      <c r="D561" s="2"/>
      <c r="E561" s="2"/>
      <c r="F561" s="2"/>
      <c r="G561" s="2"/>
      <c r="H561" s="2"/>
    </row>
    <row r="562" spans="1:8" ht="15.75" customHeight="1" x14ac:dyDescent="0.3">
      <c r="A562" s="2"/>
      <c r="B562" s="2"/>
      <c r="C562" s="2"/>
      <c r="D562" s="2"/>
      <c r="E562" s="2"/>
      <c r="F562" s="2"/>
      <c r="G562" s="2"/>
      <c r="H562" s="2"/>
    </row>
    <row r="563" spans="1:8" ht="15.75" customHeight="1" x14ac:dyDescent="0.3">
      <c r="A563" s="2"/>
      <c r="B563" s="2"/>
      <c r="C563" s="2"/>
      <c r="D563" s="2"/>
      <c r="E563" s="2"/>
      <c r="F563" s="2"/>
      <c r="G563" s="2"/>
      <c r="H563" s="2"/>
    </row>
    <row r="564" spans="1:8" ht="15.75" customHeight="1" x14ac:dyDescent="0.3">
      <c r="A564" s="2"/>
      <c r="B564" s="2"/>
      <c r="C564" s="2"/>
      <c r="D564" s="2"/>
      <c r="E564" s="2"/>
      <c r="F564" s="2"/>
      <c r="G564" s="2"/>
      <c r="H564" s="2"/>
    </row>
    <row r="565" spans="1:8" ht="15.75" customHeight="1" x14ac:dyDescent="0.3">
      <c r="A565" s="2"/>
      <c r="B565" s="2"/>
      <c r="C565" s="2"/>
      <c r="D565" s="2"/>
      <c r="E565" s="2"/>
      <c r="F565" s="2"/>
      <c r="G565" s="2"/>
      <c r="H565" s="2"/>
    </row>
    <row r="566" spans="1:8" ht="15.75" customHeight="1" x14ac:dyDescent="0.3">
      <c r="A566" s="2"/>
      <c r="B566" s="2"/>
      <c r="C566" s="2"/>
      <c r="D566" s="2"/>
      <c r="E566" s="2"/>
      <c r="F566" s="2"/>
      <c r="G566" s="2"/>
      <c r="H566" s="2"/>
    </row>
    <row r="567" spans="1:8" ht="15.75" customHeight="1" x14ac:dyDescent="0.3">
      <c r="A567" s="2"/>
      <c r="B567" s="2"/>
      <c r="C567" s="2"/>
      <c r="D567" s="2"/>
      <c r="E567" s="2"/>
      <c r="F567" s="2"/>
      <c r="G567" s="2"/>
      <c r="H567" s="2"/>
    </row>
    <row r="568" spans="1:8" ht="15.75" customHeight="1" x14ac:dyDescent="0.3">
      <c r="A568" s="2"/>
      <c r="B568" s="2"/>
      <c r="C568" s="2"/>
      <c r="D568" s="2"/>
      <c r="E568" s="2"/>
      <c r="F568" s="2"/>
      <c r="G568" s="2"/>
      <c r="H568" s="2"/>
    </row>
    <row r="569" spans="1:8" ht="15.75" customHeight="1" x14ac:dyDescent="0.3">
      <c r="A569" s="2"/>
      <c r="B569" s="2"/>
      <c r="C569" s="2"/>
      <c r="D569" s="2"/>
      <c r="E569" s="2"/>
      <c r="F569" s="2"/>
      <c r="G569" s="2"/>
      <c r="H569" s="2"/>
    </row>
    <row r="570" spans="1:8" ht="15.75" customHeight="1" x14ac:dyDescent="0.3">
      <c r="A570" s="2"/>
      <c r="B570" s="2"/>
      <c r="C570" s="2"/>
      <c r="D570" s="2"/>
      <c r="E570" s="2"/>
      <c r="F570" s="2"/>
      <c r="G570" s="2"/>
      <c r="H570" s="2"/>
    </row>
    <row r="571" spans="1:8" ht="15.75" customHeight="1" x14ac:dyDescent="0.3">
      <c r="A571" s="2"/>
      <c r="B571" s="2"/>
      <c r="C571" s="2"/>
      <c r="D571" s="2"/>
      <c r="E571" s="2"/>
      <c r="F571" s="2"/>
      <c r="G571" s="2"/>
      <c r="H571" s="2"/>
    </row>
    <row r="572" spans="1:8" ht="15.75" customHeight="1" x14ac:dyDescent="0.3">
      <c r="A572" s="2"/>
      <c r="B572" s="2"/>
      <c r="C572" s="2"/>
      <c r="D572" s="2"/>
      <c r="E572" s="2"/>
      <c r="F572" s="2"/>
      <c r="G572" s="2"/>
      <c r="H572" s="2"/>
    </row>
    <row r="573" spans="1:8" ht="15.75" customHeight="1" x14ac:dyDescent="0.3">
      <c r="A573" s="2"/>
      <c r="B573" s="2"/>
      <c r="C573" s="2"/>
      <c r="D573" s="2"/>
      <c r="E573" s="2"/>
      <c r="F573" s="2"/>
      <c r="G573" s="2"/>
      <c r="H573" s="2"/>
    </row>
    <row r="574" spans="1:8" ht="15.75" customHeight="1" x14ac:dyDescent="0.3">
      <c r="A574" s="2"/>
      <c r="B574" s="2"/>
      <c r="C574" s="2"/>
      <c r="D574" s="2"/>
      <c r="E574" s="2"/>
      <c r="F574" s="2"/>
      <c r="G574" s="2"/>
      <c r="H574" s="2"/>
    </row>
    <row r="575" spans="1:8" ht="15.75" customHeight="1" x14ac:dyDescent="0.3">
      <c r="A575" s="2"/>
      <c r="B575" s="2"/>
      <c r="C575" s="2"/>
      <c r="D575" s="2"/>
      <c r="E575" s="2"/>
      <c r="F575" s="2"/>
      <c r="G575" s="2"/>
      <c r="H575" s="2"/>
    </row>
    <row r="576" spans="1:8" ht="15.75" customHeight="1" x14ac:dyDescent="0.3">
      <c r="A576" s="2"/>
      <c r="B576" s="2"/>
      <c r="C576" s="2"/>
      <c r="D576" s="2"/>
      <c r="E576" s="2"/>
      <c r="F576" s="2"/>
      <c r="G576" s="2"/>
      <c r="H576" s="2"/>
    </row>
    <row r="577" spans="1:8" ht="15.75" customHeight="1" x14ac:dyDescent="0.3">
      <c r="A577" s="2"/>
      <c r="B577" s="2"/>
      <c r="C577" s="2"/>
      <c r="D577" s="2"/>
      <c r="E577" s="2"/>
      <c r="F577" s="2"/>
      <c r="G577" s="2"/>
      <c r="H577" s="2"/>
    </row>
    <row r="578" spans="1:8" ht="15.75" customHeight="1" x14ac:dyDescent="0.3">
      <c r="A578" s="2"/>
      <c r="B578" s="2"/>
      <c r="C578" s="2"/>
      <c r="D578" s="2"/>
      <c r="E578" s="2"/>
      <c r="F578" s="2"/>
      <c r="G578" s="2"/>
      <c r="H578" s="2"/>
    </row>
    <row r="579" spans="1:8" ht="15.75" customHeight="1" x14ac:dyDescent="0.3">
      <c r="A579" s="2"/>
      <c r="B579" s="2"/>
      <c r="C579" s="2"/>
      <c r="D579" s="2"/>
      <c r="E579" s="2"/>
      <c r="F579" s="2"/>
      <c r="G579" s="2"/>
      <c r="H579" s="2"/>
    </row>
    <row r="580" spans="1:8" ht="15.75" customHeight="1" x14ac:dyDescent="0.3">
      <c r="A580" s="2"/>
      <c r="B580" s="2"/>
      <c r="C580" s="2"/>
      <c r="D580" s="2"/>
      <c r="E580" s="2"/>
      <c r="F580" s="2"/>
      <c r="G580" s="2"/>
      <c r="H580" s="2"/>
    </row>
    <row r="581" spans="1:8" ht="15.75" customHeight="1" x14ac:dyDescent="0.3">
      <c r="A581" s="2"/>
      <c r="B581" s="2"/>
      <c r="C581" s="2"/>
      <c r="D581" s="2"/>
      <c r="E581" s="2"/>
      <c r="F581" s="2"/>
      <c r="G581" s="2"/>
      <c r="H581" s="2"/>
    </row>
    <row r="582" spans="1:8" ht="15.75" customHeight="1" x14ac:dyDescent="0.3">
      <c r="A582" s="2"/>
      <c r="B582" s="2"/>
      <c r="C582" s="2"/>
      <c r="D582" s="2"/>
      <c r="E582" s="2"/>
      <c r="F582" s="2"/>
      <c r="G582" s="2"/>
      <c r="H582" s="2"/>
    </row>
    <row r="583" spans="1:8" ht="15.75" customHeight="1" x14ac:dyDescent="0.3">
      <c r="A583" s="2"/>
      <c r="B583" s="2"/>
      <c r="C583" s="2"/>
      <c r="D583" s="2"/>
      <c r="E583" s="2"/>
      <c r="F583" s="2"/>
      <c r="G583" s="2"/>
      <c r="H583" s="2"/>
    </row>
    <row r="584" spans="1:8" ht="15.75" customHeight="1" x14ac:dyDescent="0.3">
      <c r="A584" s="2"/>
      <c r="B584" s="2"/>
      <c r="C584" s="2"/>
      <c r="D584" s="2"/>
      <c r="E584" s="2"/>
      <c r="F584" s="2"/>
      <c r="G584" s="2"/>
      <c r="H584" s="2"/>
    </row>
    <row r="585" spans="1:8" ht="15.75" customHeight="1" x14ac:dyDescent="0.3">
      <c r="A585" s="2"/>
      <c r="B585" s="2"/>
      <c r="C585" s="2"/>
      <c r="D585" s="2"/>
      <c r="E585" s="2"/>
      <c r="F585" s="2"/>
      <c r="G585" s="2"/>
      <c r="H585" s="2"/>
    </row>
    <row r="586" spans="1:8" ht="15.75" customHeight="1" x14ac:dyDescent="0.3">
      <c r="A586" s="2"/>
      <c r="B586" s="2"/>
      <c r="C586" s="2"/>
      <c r="D586" s="2"/>
      <c r="E586" s="2"/>
      <c r="F586" s="2"/>
      <c r="G586" s="2"/>
      <c r="H586" s="2"/>
    </row>
    <row r="587" spans="1:8" ht="15.75" customHeight="1" x14ac:dyDescent="0.3">
      <c r="A587" s="2"/>
      <c r="B587" s="2"/>
      <c r="C587" s="2"/>
      <c r="D587" s="2"/>
      <c r="E587" s="2"/>
      <c r="F587" s="2"/>
      <c r="G587" s="2"/>
      <c r="H587" s="2"/>
    </row>
    <row r="588" spans="1:8" ht="15.75" customHeight="1" x14ac:dyDescent="0.3">
      <c r="A588" s="2"/>
      <c r="B588" s="2"/>
      <c r="C588" s="2"/>
      <c r="D588" s="2"/>
      <c r="E588" s="2"/>
      <c r="F588" s="2"/>
      <c r="G588" s="2"/>
      <c r="H588" s="2"/>
    </row>
    <row r="589" spans="1:8" ht="15.75" customHeight="1" x14ac:dyDescent="0.3">
      <c r="A589" s="2"/>
      <c r="B589" s="2"/>
      <c r="C589" s="2"/>
      <c r="D589" s="2"/>
      <c r="E589" s="2"/>
      <c r="F589" s="2"/>
      <c r="G589" s="2"/>
      <c r="H589" s="2"/>
    </row>
    <row r="590" spans="1:8" ht="15.75" customHeight="1" x14ac:dyDescent="0.3">
      <c r="A590" s="2"/>
      <c r="B590" s="2"/>
      <c r="C590" s="2"/>
      <c r="D590" s="2"/>
      <c r="E590" s="2"/>
      <c r="F590" s="2"/>
      <c r="G590" s="2"/>
      <c r="H590" s="2"/>
    </row>
    <row r="591" spans="1:8" ht="15.75" customHeight="1" x14ac:dyDescent="0.3">
      <c r="A591" s="2"/>
      <c r="B591" s="2"/>
      <c r="C591" s="2"/>
      <c r="D591" s="2"/>
      <c r="E591" s="2"/>
      <c r="F591" s="2"/>
      <c r="G591" s="2"/>
      <c r="H591" s="2"/>
    </row>
    <row r="592" spans="1:8" ht="15.75" customHeight="1" x14ac:dyDescent="0.3">
      <c r="A592" s="2"/>
      <c r="B592" s="2"/>
      <c r="C592" s="2"/>
      <c r="D592" s="2"/>
      <c r="E592" s="2"/>
      <c r="F592" s="2"/>
      <c r="G592" s="2"/>
      <c r="H592" s="2"/>
    </row>
    <row r="593" spans="1:8" ht="15.75" customHeight="1" x14ac:dyDescent="0.3">
      <c r="A593" s="2"/>
      <c r="B593" s="2"/>
      <c r="C593" s="2"/>
      <c r="D593" s="2"/>
      <c r="E593" s="2"/>
      <c r="F593" s="2"/>
      <c r="G593" s="2"/>
      <c r="H593" s="2"/>
    </row>
    <row r="594" spans="1:8" ht="15.75" customHeight="1" x14ac:dyDescent="0.3">
      <c r="A594" s="2"/>
      <c r="B594" s="2"/>
      <c r="C594" s="2"/>
      <c r="D594" s="2"/>
      <c r="E594" s="2"/>
      <c r="F594" s="2"/>
      <c r="G594" s="2"/>
      <c r="H594" s="2"/>
    </row>
    <row r="595" spans="1:8" ht="15.75" customHeight="1" x14ac:dyDescent="0.3">
      <c r="A595" s="2"/>
      <c r="B595" s="2"/>
      <c r="C595" s="2"/>
      <c r="D595" s="2"/>
      <c r="E595" s="2"/>
      <c r="F595" s="2"/>
      <c r="G595" s="2"/>
      <c r="H595" s="2"/>
    </row>
    <row r="596" spans="1:8" ht="15.75" customHeight="1" x14ac:dyDescent="0.3">
      <c r="A596" s="2"/>
      <c r="B596" s="2"/>
      <c r="C596" s="2"/>
      <c r="D596" s="2"/>
      <c r="E596" s="2"/>
      <c r="F596" s="2"/>
      <c r="G596" s="2"/>
      <c r="H596" s="2"/>
    </row>
    <row r="597" spans="1:8" ht="15.75" customHeight="1" x14ac:dyDescent="0.3">
      <c r="A597" s="2"/>
      <c r="B597" s="2"/>
      <c r="C597" s="2"/>
      <c r="D597" s="2"/>
      <c r="E597" s="2"/>
      <c r="F597" s="2"/>
      <c r="G597" s="2"/>
      <c r="H597" s="2"/>
    </row>
    <row r="598" spans="1:8" ht="15.75" customHeight="1" x14ac:dyDescent="0.3">
      <c r="A598" s="2"/>
      <c r="B598" s="2"/>
      <c r="C598" s="2"/>
      <c r="D598" s="2"/>
      <c r="E598" s="2"/>
      <c r="F598" s="2"/>
      <c r="G598" s="2"/>
      <c r="H598" s="2"/>
    </row>
    <row r="599" spans="1:8" ht="15.75" customHeight="1" x14ac:dyDescent="0.3">
      <c r="A599" s="2"/>
      <c r="B599" s="2"/>
      <c r="C599" s="2"/>
      <c r="D599" s="2"/>
      <c r="E599" s="2"/>
      <c r="F599" s="2"/>
      <c r="G599" s="2"/>
      <c r="H599" s="2"/>
    </row>
    <row r="600" spans="1:8" ht="15.75" customHeight="1" x14ac:dyDescent="0.3">
      <c r="A600" s="2"/>
      <c r="B600" s="2"/>
      <c r="C600" s="2"/>
      <c r="D600" s="2"/>
      <c r="E600" s="2"/>
      <c r="F600" s="2"/>
      <c r="G600" s="2"/>
      <c r="H600" s="2"/>
    </row>
    <row r="601" spans="1:8" ht="15.75" customHeight="1" x14ac:dyDescent="0.3">
      <c r="A601" s="2"/>
      <c r="B601" s="2"/>
      <c r="C601" s="2"/>
      <c r="D601" s="2"/>
      <c r="E601" s="2"/>
      <c r="F601" s="2"/>
      <c r="G601" s="2"/>
      <c r="H601" s="2"/>
    </row>
    <row r="602" spans="1:8" ht="15.75" customHeight="1" x14ac:dyDescent="0.3">
      <c r="A602" s="2"/>
      <c r="B602" s="2"/>
      <c r="C602" s="2"/>
      <c r="D602" s="2"/>
      <c r="E602" s="2"/>
      <c r="F602" s="2"/>
      <c r="G602" s="2"/>
      <c r="H602" s="2"/>
    </row>
    <row r="603" spans="1:8" ht="15.75" customHeight="1" x14ac:dyDescent="0.3">
      <c r="A603" s="2"/>
      <c r="B603" s="2"/>
      <c r="C603" s="2"/>
      <c r="D603" s="2"/>
      <c r="E603" s="2"/>
      <c r="F603" s="2"/>
      <c r="G603" s="2"/>
      <c r="H603" s="2"/>
    </row>
    <row r="604" spans="1:8" ht="15.75" customHeight="1" x14ac:dyDescent="0.3">
      <c r="A604" s="2"/>
      <c r="B604" s="2"/>
      <c r="C604" s="2"/>
      <c r="D604" s="2"/>
      <c r="E604" s="2"/>
      <c r="F604" s="2"/>
      <c r="G604" s="2"/>
      <c r="H604" s="2"/>
    </row>
    <row r="605" spans="1:8" ht="15.75" customHeight="1" x14ac:dyDescent="0.3">
      <c r="A605" s="2"/>
      <c r="B605" s="2"/>
      <c r="C605" s="2"/>
      <c r="D605" s="2"/>
      <c r="E605" s="2"/>
      <c r="F605" s="2"/>
      <c r="G605" s="2"/>
      <c r="H605" s="2"/>
    </row>
    <row r="606" spans="1:8" ht="15.75" customHeight="1" x14ac:dyDescent="0.3">
      <c r="A606" s="2"/>
      <c r="B606" s="2"/>
      <c r="C606" s="2"/>
      <c r="D606" s="2"/>
      <c r="E606" s="2"/>
      <c r="F606" s="2"/>
      <c r="G606" s="2"/>
      <c r="H606" s="2"/>
    </row>
    <row r="607" spans="1:8" ht="15.75" customHeight="1" x14ac:dyDescent="0.3">
      <c r="A607" s="2"/>
      <c r="B607" s="2"/>
      <c r="C607" s="2"/>
      <c r="D607" s="2"/>
      <c r="E607" s="2"/>
      <c r="F607" s="2"/>
      <c r="G607" s="2"/>
      <c r="H607" s="2"/>
    </row>
    <row r="608" spans="1:8" ht="15.75" customHeight="1" x14ac:dyDescent="0.3">
      <c r="A608" s="2"/>
      <c r="B608" s="2"/>
      <c r="C608" s="2"/>
      <c r="D608" s="2"/>
      <c r="E608" s="2"/>
      <c r="F608" s="2"/>
      <c r="G608" s="2"/>
      <c r="H608" s="2"/>
    </row>
    <row r="609" spans="1:8" ht="15.75" customHeight="1" x14ac:dyDescent="0.3">
      <c r="A609" s="2"/>
      <c r="B609" s="2"/>
      <c r="C609" s="2"/>
      <c r="D609" s="2"/>
      <c r="E609" s="2"/>
      <c r="F609" s="2"/>
      <c r="G609" s="2"/>
      <c r="H609" s="2"/>
    </row>
    <row r="610" spans="1:8" ht="15.75" customHeight="1" x14ac:dyDescent="0.3">
      <c r="A610" s="2"/>
      <c r="B610" s="2"/>
      <c r="C610" s="2"/>
      <c r="D610" s="2"/>
      <c r="E610" s="2"/>
      <c r="F610" s="2"/>
      <c r="G610" s="2"/>
      <c r="H610" s="2"/>
    </row>
    <row r="611" spans="1:8" ht="15.75" customHeight="1" x14ac:dyDescent="0.3">
      <c r="A611" s="2"/>
      <c r="B611" s="2"/>
      <c r="C611" s="2"/>
      <c r="D611" s="2"/>
      <c r="E611" s="2"/>
      <c r="F611" s="2"/>
      <c r="G611" s="2"/>
      <c r="H611" s="2"/>
    </row>
    <row r="612" spans="1:8" ht="15.75" customHeight="1" x14ac:dyDescent="0.3">
      <c r="A612" s="2"/>
      <c r="B612" s="2"/>
      <c r="C612" s="2"/>
      <c r="D612" s="2"/>
      <c r="E612" s="2"/>
      <c r="F612" s="2"/>
      <c r="G612" s="2"/>
      <c r="H612" s="2"/>
    </row>
    <row r="613" spans="1:8" ht="15.75" customHeight="1" x14ac:dyDescent="0.3">
      <c r="A613" s="2"/>
      <c r="B613" s="2"/>
      <c r="C613" s="2"/>
      <c r="D613" s="2"/>
      <c r="E613" s="2"/>
      <c r="F613" s="2"/>
      <c r="G613" s="2"/>
      <c r="H613" s="2"/>
    </row>
    <row r="614" spans="1:8" ht="15.75" customHeight="1" x14ac:dyDescent="0.3">
      <c r="A614" s="2"/>
      <c r="B614" s="2"/>
      <c r="C614" s="2"/>
      <c r="D614" s="2"/>
      <c r="E614" s="2"/>
      <c r="F614" s="2"/>
      <c r="G614" s="2"/>
      <c r="H614" s="2"/>
    </row>
    <row r="615" spans="1:8" ht="15.75" customHeight="1" x14ac:dyDescent="0.3">
      <c r="A615" s="2"/>
      <c r="B615" s="2"/>
      <c r="C615" s="2"/>
      <c r="D615" s="2"/>
      <c r="E615" s="2"/>
      <c r="F615" s="2"/>
      <c r="G615" s="2"/>
      <c r="H615" s="2"/>
    </row>
    <row r="616" spans="1:8" ht="15.75" customHeight="1" x14ac:dyDescent="0.3">
      <c r="A616" s="2"/>
      <c r="B616" s="2"/>
      <c r="C616" s="2"/>
      <c r="D616" s="2"/>
      <c r="E616" s="2"/>
      <c r="F616" s="2"/>
      <c r="G616" s="2"/>
      <c r="H616" s="2"/>
    </row>
    <row r="617" spans="1:8" ht="15.75" customHeight="1" x14ac:dyDescent="0.3">
      <c r="A617" s="2"/>
      <c r="B617" s="2"/>
      <c r="C617" s="2"/>
      <c r="D617" s="2"/>
      <c r="E617" s="2"/>
      <c r="F617" s="2"/>
      <c r="G617" s="2"/>
      <c r="H617" s="2"/>
    </row>
    <row r="618" spans="1:8" ht="15.75" customHeight="1" x14ac:dyDescent="0.3">
      <c r="A618" s="2"/>
      <c r="B618" s="2"/>
      <c r="C618" s="2"/>
      <c r="D618" s="2"/>
      <c r="E618" s="2"/>
      <c r="F618" s="2"/>
      <c r="G618" s="2"/>
      <c r="H618" s="2"/>
    </row>
    <row r="619" spans="1:8" ht="15.75" customHeight="1" x14ac:dyDescent="0.3">
      <c r="A619" s="2"/>
      <c r="B619" s="2"/>
      <c r="C619" s="2"/>
      <c r="D619" s="2"/>
      <c r="E619" s="2"/>
      <c r="F619" s="2"/>
      <c r="G619" s="2"/>
      <c r="H619" s="2"/>
    </row>
    <row r="620" spans="1:8" ht="15.75" customHeight="1" x14ac:dyDescent="0.3">
      <c r="A620" s="2"/>
      <c r="B620" s="2"/>
      <c r="C620" s="2"/>
      <c r="D620" s="2"/>
      <c r="E620" s="2"/>
      <c r="F620" s="2"/>
      <c r="G620" s="2"/>
      <c r="H620" s="2"/>
    </row>
    <row r="621" spans="1:8" ht="15.75" customHeight="1" x14ac:dyDescent="0.3">
      <c r="A621" s="2"/>
      <c r="B621" s="2"/>
      <c r="C621" s="2"/>
      <c r="D621" s="2"/>
      <c r="E621" s="2"/>
      <c r="F621" s="2"/>
      <c r="G621" s="2"/>
      <c r="H621" s="2"/>
    </row>
    <row r="622" spans="1:8" ht="15.75" customHeight="1" x14ac:dyDescent="0.3">
      <c r="A622" s="2"/>
      <c r="B622" s="2"/>
      <c r="C622" s="2"/>
      <c r="D622" s="2"/>
      <c r="E622" s="2"/>
      <c r="F622" s="2"/>
      <c r="G622" s="2"/>
      <c r="H622" s="2"/>
    </row>
    <row r="623" spans="1:8" ht="15.75" customHeight="1" x14ac:dyDescent="0.3">
      <c r="A623" s="2"/>
      <c r="B623" s="2"/>
      <c r="C623" s="2"/>
      <c r="D623" s="2"/>
      <c r="E623" s="2"/>
      <c r="F623" s="2"/>
      <c r="G623" s="2"/>
      <c r="H623" s="2"/>
    </row>
    <row r="624" spans="1:8" ht="15.75" customHeight="1" x14ac:dyDescent="0.3">
      <c r="A624" s="2"/>
      <c r="B624" s="2"/>
      <c r="C624" s="2"/>
      <c r="D624" s="2"/>
      <c r="E624" s="2"/>
      <c r="F624" s="2"/>
      <c r="G624" s="2"/>
      <c r="H624" s="2"/>
    </row>
    <row r="625" spans="1:8" ht="15.75" customHeight="1" x14ac:dyDescent="0.3">
      <c r="A625" s="2"/>
      <c r="B625" s="2"/>
      <c r="C625" s="2"/>
      <c r="D625" s="2"/>
      <c r="E625" s="2"/>
      <c r="F625" s="2"/>
      <c r="G625" s="2"/>
      <c r="H625" s="2"/>
    </row>
    <row r="626" spans="1:8" ht="15.75" customHeight="1" x14ac:dyDescent="0.3">
      <c r="A626" s="2"/>
      <c r="B626" s="2"/>
      <c r="C626" s="2"/>
      <c r="D626" s="2"/>
      <c r="E626" s="2"/>
      <c r="F626" s="2"/>
      <c r="G626" s="2"/>
      <c r="H626" s="2"/>
    </row>
    <row r="627" spans="1:8" ht="15.75" customHeight="1" x14ac:dyDescent="0.3">
      <c r="A627" s="2"/>
      <c r="B627" s="2"/>
      <c r="C627" s="2"/>
      <c r="D627" s="2"/>
      <c r="E627" s="2"/>
      <c r="F627" s="2"/>
      <c r="G627" s="2"/>
      <c r="H627" s="2"/>
    </row>
    <row r="628" spans="1:8" ht="15.75" customHeight="1" x14ac:dyDescent="0.3">
      <c r="A628" s="2"/>
      <c r="B628" s="2"/>
      <c r="C628" s="2"/>
      <c r="D628" s="2"/>
      <c r="E628" s="2"/>
      <c r="F628" s="2"/>
      <c r="G628" s="2"/>
      <c r="H628" s="2"/>
    </row>
    <row r="629" spans="1:8" ht="15.75" customHeight="1" x14ac:dyDescent="0.3">
      <c r="A629" s="2"/>
      <c r="B629" s="2"/>
      <c r="C629" s="2"/>
      <c r="D629" s="2"/>
      <c r="E629" s="2"/>
      <c r="F629" s="2"/>
      <c r="G629" s="2"/>
      <c r="H629" s="2"/>
    </row>
    <row r="630" spans="1:8" ht="15.75" customHeight="1" x14ac:dyDescent="0.3">
      <c r="A630" s="2"/>
      <c r="B630" s="2"/>
      <c r="C630" s="2"/>
      <c r="D630" s="2"/>
      <c r="E630" s="2"/>
      <c r="F630" s="2"/>
      <c r="G630" s="2"/>
      <c r="H630" s="2"/>
    </row>
    <row r="631" spans="1:8" ht="15.75" customHeight="1" x14ac:dyDescent="0.3">
      <c r="A631" s="2"/>
      <c r="B631" s="2"/>
      <c r="C631" s="2"/>
      <c r="D631" s="2"/>
      <c r="E631" s="2"/>
      <c r="F631" s="2"/>
      <c r="G631" s="2"/>
      <c r="H631" s="2"/>
    </row>
    <row r="632" spans="1:8" ht="15.75" customHeight="1" x14ac:dyDescent="0.3">
      <c r="A632" s="2"/>
      <c r="B632" s="2"/>
      <c r="C632" s="2"/>
      <c r="D632" s="2"/>
      <c r="E632" s="2"/>
      <c r="F632" s="2"/>
      <c r="G632" s="2"/>
      <c r="H632" s="2"/>
    </row>
    <row r="633" spans="1:8" ht="15.75" customHeight="1" x14ac:dyDescent="0.3">
      <c r="A633" s="2"/>
      <c r="B633" s="2"/>
      <c r="C633" s="2"/>
      <c r="D633" s="2"/>
      <c r="E633" s="2"/>
      <c r="F633" s="2"/>
      <c r="G633" s="2"/>
      <c r="H633" s="2"/>
    </row>
    <row r="634" spans="1:8" ht="15.75" customHeight="1" x14ac:dyDescent="0.3">
      <c r="A634" s="2"/>
      <c r="B634" s="2"/>
      <c r="C634" s="2"/>
      <c r="D634" s="2"/>
      <c r="E634" s="2"/>
      <c r="F634" s="2"/>
      <c r="G634" s="2"/>
      <c r="H634" s="2"/>
    </row>
    <row r="635" spans="1:8" ht="15.75" customHeight="1" x14ac:dyDescent="0.3">
      <c r="A635" s="2"/>
      <c r="B635" s="2"/>
      <c r="C635" s="2"/>
      <c r="D635" s="2"/>
      <c r="E635" s="2"/>
      <c r="F635" s="2"/>
      <c r="G635" s="2"/>
      <c r="H635" s="2"/>
    </row>
    <row r="636" spans="1:8" ht="15.75" customHeight="1" x14ac:dyDescent="0.3">
      <c r="A636" s="2"/>
      <c r="B636" s="2"/>
      <c r="C636" s="2"/>
      <c r="D636" s="2"/>
      <c r="E636" s="2"/>
      <c r="F636" s="2"/>
      <c r="G636" s="2"/>
      <c r="H636" s="2"/>
    </row>
    <row r="637" spans="1:8" ht="15.75" customHeight="1" x14ac:dyDescent="0.3">
      <c r="A637" s="2"/>
      <c r="B637" s="2"/>
      <c r="C637" s="2"/>
      <c r="D637" s="2"/>
      <c r="E637" s="2"/>
      <c r="F637" s="2"/>
      <c r="G637" s="2"/>
      <c r="H637" s="2"/>
    </row>
    <row r="638" spans="1:8" ht="15.75" customHeight="1" x14ac:dyDescent="0.3">
      <c r="A638" s="2"/>
      <c r="B638" s="2"/>
      <c r="C638" s="2"/>
      <c r="D638" s="2"/>
      <c r="E638" s="2"/>
      <c r="F638" s="2"/>
      <c r="G638" s="2"/>
      <c r="H638" s="2"/>
    </row>
    <row r="639" spans="1:8" ht="15.75" customHeight="1" x14ac:dyDescent="0.3">
      <c r="A639" s="2"/>
      <c r="B639" s="2"/>
      <c r="C639" s="2"/>
      <c r="D639" s="2"/>
      <c r="E639" s="2"/>
      <c r="F639" s="2"/>
      <c r="G639" s="2"/>
      <c r="H639" s="2"/>
    </row>
    <row r="640" spans="1:8" ht="15.75" customHeight="1" x14ac:dyDescent="0.3">
      <c r="A640" s="2"/>
      <c r="B640" s="2"/>
      <c r="C640" s="2"/>
      <c r="D640" s="2"/>
      <c r="E640" s="2"/>
      <c r="F640" s="2"/>
      <c r="G640" s="2"/>
      <c r="H640" s="2"/>
    </row>
    <row r="641" spans="1:8" ht="15.75" customHeight="1" x14ac:dyDescent="0.3">
      <c r="A641" s="2"/>
      <c r="B641" s="2"/>
      <c r="C641" s="2"/>
      <c r="D641" s="2"/>
      <c r="E641" s="2"/>
      <c r="F641" s="2"/>
      <c r="G641" s="2"/>
      <c r="H641" s="2"/>
    </row>
    <row r="642" spans="1:8" ht="15.75" customHeight="1" x14ac:dyDescent="0.3">
      <c r="A642" s="2"/>
      <c r="B642" s="2"/>
      <c r="C642" s="2"/>
      <c r="D642" s="2"/>
      <c r="E642" s="2"/>
      <c r="F642" s="2"/>
      <c r="G642" s="2"/>
      <c r="H642" s="2"/>
    </row>
    <row r="643" spans="1:8" ht="15.75" customHeight="1" x14ac:dyDescent="0.3">
      <c r="A643" s="2"/>
      <c r="B643" s="2"/>
      <c r="C643" s="2"/>
      <c r="D643" s="2"/>
      <c r="E643" s="2"/>
      <c r="F643" s="2"/>
      <c r="G643" s="2"/>
      <c r="H643" s="2"/>
    </row>
    <row r="644" spans="1:8" ht="15.75" customHeight="1" x14ac:dyDescent="0.3">
      <c r="A644" s="2"/>
      <c r="B644" s="2"/>
      <c r="C644" s="2"/>
      <c r="D644" s="2"/>
      <c r="E644" s="2"/>
      <c r="F644" s="2"/>
      <c r="G644" s="2"/>
      <c r="H644" s="2"/>
    </row>
    <row r="645" spans="1:8" ht="15.75" customHeight="1" x14ac:dyDescent="0.3">
      <c r="A645" s="2"/>
      <c r="B645" s="2"/>
      <c r="C645" s="2"/>
      <c r="D645" s="2"/>
      <c r="E645" s="2"/>
      <c r="F645" s="2"/>
      <c r="G645" s="2"/>
      <c r="H645" s="2"/>
    </row>
    <row r="646" spans="1:8" ht="15.75" customHeight="1" x14ac:dyDescent="0.3">
      <c r="A646" s="2"/>
      <c r="B646" s="2"/>
      <c r="C646" s="2"/>
      <c r="D646" s="2"/>
      <c r="E646" s="2"/>
      <c r="F646" s="2"/>
      <c r="G646" s="2"/>
      <c r="H646" s="2"/>
    </row>
    <row r="647" spans="1:8" ht="15.75" customHeight="1" x14ac:dyDescent="0.3">
      <c r="A647" s="2"/>
      <c r="B647" s="2"/>
      <c r="C647" s="2"/>
      <c r="D647" s="2"/>
      <c r="E647" s="2"/>
      <c r="F647" s="2"/>
      <c r="G647" s="2"/>
      <c r="H647" s="2"/>
    </row>
    <row r="648" spans="1:8" ht="15.75" customHeight="1" x14ac:dyDescent="0.3">
      <c r="A648" s="2"/>
      <c r="B648" s="2"/>
      <c r="C648" s="2"/>
      <c r="D648" s="2"/>
      <c r="E648" s="2"/>
      <c r="F648" s="2"/>
      <c r="G648" s="2"/>
      <c r="H648" s="2"/>
    </row>
    <row r="649" spans="1:8" ht="15.75" customHeight="1" x14ac:dyDescent="0.3">
      <c r="A649" s="2"/>
      <c r="B649" s="2"/>
      <c r="C649" s="2"/>
      <c r="D649" s="2"/>
      <c r="E649" s="2"/>
      <c r="F649" s="2"/>
      <c r="G649" s="2"/>
      <c r="H649" s="2"/>
    </row>
    <row r="650" spans="1:8" ht="15.75" customHeight="1" x14ac:dyDescent="0.3">
      <c r="A650" s="2"/>
      <c r="B650" s="2"/>
      <c r="C650" s="2"/>
      <c r="D650" s="2"/>
      <c r="E650" s="2"/>
      <c r="F650" s="2"/>
      <c r="G650" s="2"/>
      <c r="H650" s="2"/>
    </row>
    <row r="651" spans="1:8" ht="15.75" customHeight="1" x14ac:dyDescent="0.3">
      <c r="A651" s="2"/>
      <c r="B651" s="2"/>
      <c r="C651" s="2"/>
      <c r="D651" s="2"/>
      <c r="E651" s="2"/>
      <c r="F651" s="2"/>
      <c r="G651" s="2"/>
      <c r="H651" s="2"/>
    </row>
    <row r="652" spans="1:8" ht="15.75" customHeight="1" x14ac:dyDescent="0.3">
      <c r="A652" s="2"/>
      <c r="B652" s="2"/>
      <c r="C652" s="2"/>
      <c r="D652" s="2"/>
      <c r="E652" s="2"/>
      <c r="F652" s="2"/>
      <c r="G652" s="2"/>
      <c r="H652" s="2"/>
    </row>
    <row r="653" spans="1:8" ht="15.75" customHeight="1" x14ac:dyDescent="0.3">
      <c r="A653" s="2"/>
      <c r="B653" s="2"/>
      <c r="C653" s="2"/>
      <c r="D653" s="2"/>
      <c r="E653" s="2"/>
      <c r="F653" s="2"/>
      <c r="G653" s="2"/>
      <c r="H653" s="2"/>
    </row>
    <row r="654" spans="1:8" ht="15.75" customHeight="1" x14ac:dyDescent="0.3">
      <c r="A654" s="2"/>
      <c r="B654" s="2"/>
      <c r="C654" s="2"/>
      <c r="D654" s="2"/>
      <c r="E654" s="2"/>
      <c r="F654" s="2"/>
      <c r="G654" s="2"/>
      <c r="H654" s="2"/>
    </row>
    <row r="655" spans="1:8" ht="15.75" customHeight="1" x14ac:dyDescent="0.3">
      <c r="A655" s="2"/>
      <c r="B655" s="2"/>
      <c r="C655" s="2"/>
      <c r="D655" s="2"/>
      <c r="E655" s="2"/>
      <c r="F655" s="2"/>
      <c r="G655" s="2"/>
      <c r="H655" s="2"/>
    </row>
    <row r="656" spans="1:8" ht="15.75" customHeight="1" x14ac:dyDescent="0.3">
      <c r="A656" s="2"/>
      <c r="B656" s="2"/>
      <c r="C656" s="2"/>
      <c r="D656" s="2"/>
      <c r="E656" s="2"/>
      <c r="F656" s="2"/>
      <c r="G656" s="2"/>
      <c r="H656" s="2"/>
    </row>
    <row r="657" spans="1:8" ht="15.75" customHeight="1" x14ac:dyDescent="0.3">
      <c r="A657" s="2"/>
      <c r="B657" s="2"/>
      <c r="C657" s="2"/>
      <c r="D657" s="2"/>
      <c r="E657" s="2"/>
      <c r="F657" s="2"/>
      <c r="G657" s="2"/>
      <c r="H657" s="2"/>
    </row>
    <row r="658" spans="1:8" ht="15.75" customHeight="1" x14ac:dyDescent="0.3">
      <c r="A658" s="2"/>
      <c r="B658" s="2"/>
      <c r="C658" s="2"/>
      <c r="D658" s="2"/>
      <c r="E658" s="2"/>
      <c r="F658" s="2"/>
      <c r="G658" s="2"/>
      <c r="H658" s="2"/>
    </row>
    <row r="659" spans="1:8" ht="15.75" customHeight="1" x14ac:dyDescent="0.3">
      <c r="A659" s="2"/>
      <c r="B659" s="2"/>
      <c r="C659" s="2"/>
      <c r="D659" s="2"/>
      <c r="E659" s="2"/>
      <c r="F659" s="2"/>
      <c r="G659" s="2"/>
      <c r="H659" s="2"/>
    </row>
    <row r="660" spans="1:8" ht="15.75" customHeight="1" x14ac:dyDescent="0.3">
      <c r="A660" s="2"/>
      <c r="B660" s="2"/>
      <c r="C660" s="2"/>
      <c r="D660" s="2"/>
      <c r="E660" s="2"/>
      <c r="F660" s="2"/>
      <c r="G660" s="2"/>
      <c r="H660" s="2"/>
    </row>
    <row r="661" spans="1:8" ht="15.75" customHeight="1" x14ac:dyDescent="0.3">
      <c r="A661" s="2"/>
      <c r="B661" s="2"/>
      <c r="C661" s="2"/>
      <c r="D661" s="2"/>
      <c r="E661" s="2"/>
      <c r="F661" s="2"/>
      <c r="G661" s="2"/>
      <c r="H661" s="2"/>
    </row>
    <row r="662" spans="1:8" ht="15.75" customHeight="1" x14ac:dyDescent="0.3">
      <c r="A662" s="2"/>
      <c r="B662" s="2"/>
      <c r="C662" s="2"/>
      <c r="D662" s="2"/>
      <c r="E662" s="2"/>
      <c r="F662" s="2"/>
      <c r="G662" s="2"/>
      <c r="H662" s="2"/>
    </row>
    <row r="663" spans="1:8" ht="15.75" customHeight="1" x14ac:dyDescent="0.3">
      <c r="A663" s="2"/>
      <c r="B663" s="2"/>
      <c r="C663" s="2"/>
      <c r="D663" s="2"/>
      <c r="E663" s="2"/>
      <c r="F663" s="2"/>
      <c r="G663" s="2"/>
      <c r="H663" s="2"/>
    </row>
    <row r="664" spans="1:8" ht="15.75" customHeight="1" x14ac:dyDescent="0.3">
      <c r="A664" s="2"/>
      <c r="B664" s="2"/>
      <c r="C664" s="2"/>
      <c r="D664" s="2"/>
      <c r="E664" s="2"/>
      <c r="F664" s="2"/>
      <c r="G664" s="2"/>
      <c r="H664" s="2"/>
    </row>
    <row r="665" spans="1:8" ht="15.75" customHeight="1" x14ac:dyDescent="0.3">
      <c r="A665" s="2"/>
      <c r="B665" s="2"/>
      <c r="C665" s="2"/>
      <c r="D665" s="2"/>
      <c r="E665" s="2"/>
      <c r="F665" s="2"/>
      <c r="G665" s="2"/>
      <c r="H665" s="2"/>
    </row>
    <row r="666" spans="1:8" ht="15.75" customHeight="1" x14ac:dyDescent="0.3">
      <c r="A666" s="2"/>
      <c r="B666" s="2"/>
      <c r="C666" s="2"/>
      <c r="D666" s="2"/>
      <c r="E666" s="2"/>
      <c r="F666" s="2"/>
      <c r="G666" s="2"/>
      <c r="H666" s="2"/>
    </row>
    <row r="667" spans="1:8" ht="15.75" customHeight="1" x14ac:dyDescent="0.3">
      <c r="A667" s="2"/>
      <c r="B667" s="2"/>
      <c r="C667" s="2"/>
      <c r="D667" s="2"/>
      <c r="E667" s="2"/>
      <c r="F667" s="2"/>
      <c r="G667" s="2"/>
      <c r="H667" s="2"/>
    </row>
    <row r="668" spans="1:8" ht="15.75" customHeight="1" x14ac:dyDescent="0.3">
      <c r="A668" s="2"/>
      <c r="B668" s="2"/>
      <c r="C668" s="2"/>
      <c r="D668" s="2"/>
      <c r="E668" s="2"/>
      <c r="F668" s="2"/>
      <c r="G668" s="2"/>
      <c r="H668" s="2"/>
    </row>
    <row r="669" spans="1:8" ht="15.75" customHeight="1" x14ac:dyDescent="0.3">
      <c r="A669" s="2"/>
      <c r="B669" s="2"/>
      <c r="C669" s="2"/>
      <c r="D669" s="2"/>
      <c r="E669" s="2"/>
      <c r="F669" s="2"/>
      <c r="G669" s="2"/>
      <c r="H669" s="2"/>
    </row>
    <row r="670" spans="1:8" ht="15.75" customHeight="1" x14ac:dyDescent="0.3">
      <c r="A670" s="2"/>
      <c r="B670" s="2"/>
      <c r="C670" s="2"/>
      <c r="D670" s="2"/>
      <c r="E670" s="2"/>
      <c r="F670" s="2"/>
      <c r="G670" s="2"/>
      <c r="H670" s="2"/>
    </row>
    <row r="671" spans="1:8" ht="15.75" customHeight="1" x14ac:dyDescent="0.3">
      <c r="A671" s="2"/>
      <c r="B671" s="2"/>
      <c r="C671" s="2"/>
      <c r="D671" s="2"/>
      <c r="E671" s="2"/>
      <c r="F671" s="2"/>
      <c r="G671" s="2"/>
      <c r="H671" s="2"/>
    </row>
    <row r="672" spans="1:8" ht="15.75" customHeight="1" x14ac:dyDescent="0.3">
      <c r="A672" s="2"/>
      <c r="B672" s="2"/>
      <c r="C672" s="2"/>
      <c r="D672" s="2"/>
      <c r="E672" s="2"/>
      <c r="F672" s="2"/>
      <c r="G672" s="2"/>
      <c r="H672" s="2"/>
    </row>
    <row r="673" spans="1:8" ht="15.75" customHeight="1" x14ac:dyDescent="0.3">
      <c r="A673" s="2"/>
      <c r="B673" s="2"/>
      <c r="C673" s="2"/>
      <c r="D673" s="2"/>
      <c r="E673" s="2"/>
      <c r="F673" s="2"/>
      <c r="G673" s="2"/>
      <c r="H673" s="2"/>
    </row>
    <row r="674" spans="1:8" ht="15.75" customHeight="1" x14ac:dyDescent="0.3">
      <c r="A674" s="2"/>
      <c r="B674" s="2"/>
      <c r="C674" s="2"/>
      <c r="D674" s="2"/>
      <c r="E674" s="2"/>
      <c r="F674" s="2"/>
      <c r="G674" s="2"/>
      <c r="H674" s="2"/>
    </row>
    <row r="675" spans="1:8" ht="15.75" customHeight="1" x14ac:dyDescent="0.3">
      <c r="A675" s="2"/>
      <c r="B675" s="2"/>
      <c r="C675" s="2"/>
      <c r="D675" s="2"/>
      <c r="E675" s="2"/>
      <c r="F675" s="2"/>
      <c r="G675" s="2"/>
      <c r="H675" s="2"/>
    </row>
    <row r="676" spans="1:8" ht="15.75" customHeight="1" x14ac:dyDescent="0.3">
      <c r="A676" s="2"/>
      <c r="B676" s="2"/>
      <c r="C676" s="2"/>
      <c r="D676" s="2"/>
      <c r="E676" s="2"/>
      <c r="F676" s="2"/>
      <c r="G676" s="2"/>
      <c r="H676" s="2"/>
    </row>
    <row r="677" spans="1:8" ht="15.75" customHeight="1" x14ac:dyDescent="0.3">
      <c r="A677" s="2"/>
      <c r="B677" s="2"/>
      <c r="C677" s="2"/>
      <c r="D677" s="2"/>
      <c r="E677" s="2"/>
      <c r="F677" s="2"/>
      <c r="G677" s="2"/>
      <c r="H677" s="2"/>
    </row>
    <row r="678" spans="1:8" ht="15.75" customHeight="1" x14ac:dyDescent="0.3">
      <c r="A678" s="2"/>
      <c r="B678" s="2"/>
      <c r="C678" s="2"/>
      <c r="D678" s="2"/>
      <c r="E678" s="2"/>
      <c r="F678" s="2"/>
      <c r="G678" s="2"/>
      <c r="H678" s="2"/>
    </row>
    <row r="679" spans="1:8" ht="15.75" customHeight="1" x14ac:dyDescent="0.3">
      <c r="A679" s="2"/>
      <c r="B679" s="2"/>
      <c r="C679" s="2"/>
      <c r="D679" s="2"/>
      <c r="E679" s="2"/>
      <c r="F679" s="2"/>
      <c r="G679" s="2"/>
      <c r="H679" s="2"/>
    </row>
    <row r="680" spans="1:8" ht="15.75" customHeight="1" x14ac:dyDescent="0.3">
      <c r="A680" s="2"/>
      <c r="B680" s="2"/>
      <c r="C680" s="2"/>
      <c r="D680" s="2"/>
      <c r="E680" s="2"/>
      <c r="F680" s="2"/>
      <c r="G680" s="2"/>
      <c r="H680" s="2"/>
    </row>
    <row r="681" spans="1:8" ht="15.75" customHeight="1" x14ac:dyDescent="0.3">
      <c r="A681" s="2"/>
      <c r="B681" s="2"/>
      <c r="C681" s="2"/>
      <c r="D681" s="2"/>
      <c r="E681" s="2"/>
      <c r="F681" s="2"/>
      <c r="G681" s="2"/>
      <c r="H681" s="2"/>
    </row>
    <row r="682" spans="1:8" ht="15.75" customHeight="1" x14ac:dyDescent="0.3">
      <c r="A682" s="2"/>
      <c r="B682" s="2"/>
      <c r="C682" s="2"/>
      <c r="D682" s="2"/>
      <c r="E682" s="2"/>
      <c r="F682" s="2"/>
      <c r="G682" s="2"/>
      <c r="H682" s="2"/>
    </row>
    <row r="683" spans="1:8" ht="15.75" customHeight="1" x14ac:dyDescent="0.3">
      <c r="A683" s="2"/>
      <c r="B683" s="2"/>
      <c r="C683" s="2"/>
      <c r="D683" s="2"/>
      <c r="E683" s="2"/>
      <c r="F683" s="2"/>
      <c r="G683" s="2"/>
      <c r="H683" s="2"/>
    </row>
    <row r="684" spans="1:8" ht="15.75" customHeight="1" x14ac:dyDescent="0.3">
      <c r="A684" s="2"/>
      <c r="B684" s="2"/>
      <c r="C684" s="2"/>
      <c r="D684" s="2"/>
      <c r="E684" s="2"/>
      <c r="F684" s="2"/>
      <c r="G684" s="2"/>
      <c r="H684" s="2"/>
    </row>
    <row r="685" spans="1:8" ht="15.75" customHeight="1" x14ac:dyDescent="0.3">
      <c r="A685" s="2"/>
      <c r="B685" s="2"/>
      <c r="C685" s="2"/>
      <c r="D685" s="2"/>
      <c r="E685" s="2"/>
      <c r="F685" s="2"/>
      <c r="G685" s="2"/>
      <c r="H685" s="2"/>
    </row>
    <row r="686" spans="1:8" ht="15.75" customHeight="1" x14ac:dyDescent="0.3">
      <c r="A686" s="2"/>
      <c r="B686" s="2"/>
      <c r="C686" s="2"/>
      <c r="D686" s="2"/>
      <c r="E686" s="2"/>
      <c r="F686" s="2"/>
      <c r="G686" s="2"/>
      <c r="H686" s="2"/>
    </row>
    <row r="687" spans="1:8" ht="15.75" customHeight="1" x14ac:dyDescent="0.3">
      <c r="A687" s="2"/>
      <c r="B687" s="2"/>
      <c r="C687" s="2"/>
      <c r="D687" s="2"/>
      <c r="E687" s="2"/>
      <c r="F687" s="2"/>
      <c r="G687" s="2"/>
      <c r="H687" s="2"/>
    </row>
    <row r="688" spans="1:8" ht="15.75" customHeight="1" x14ac:dyDescent="0.3">
      <c r="A688" s="2"/>
      <c r="B688" s="2"/>
      <c r="C688" s="2"/>
      <c r="D688" s="2"/>
      <c r="E688" s="2"/>
      <c r="F688" s="2"/>
      <c r="G688" s="2"/>
      <c r="H688" s="2"/>
    </row>
    <row r="689" spans="1:8" ht="15.75" customHeight="1" x14ac:dyDescent="0.3">
      <c r="A689" s="2"/>
      <c r="B689" s="2"/>
      <c r="C689" s="2"/>
      <c r="D689" s="2"/>
      <c r="E689" s="2"/>
      <c r="F689" s="2"/>
      <c r="G689" s="2"/>
      <c r="H689" s="2"/>
    </row>
    <row r="690" spans="1:8" ht="15.75" customHeight="1" x14ac:dyDescent="0.3">
      <c r="A690" s="2"/>
      <c r="B690" s="2"/>
      <c r="C690" s="2"/>
      <c r="D690" s="2"/>
      <c r="E690" s="2"/>
      <c r="F690" s="2"/>
      <c r="G690" s="2"/>
      <c r="H690" s="2"/>
    </row>
    <row r="691" spans="1:8" ht="15.75" customHeight="1" x14ac:dyDescent="0.3">
      <c r="A691" s="2"/>
      <c r="B691" s="2"/>
      <c r="C691" s="2"/>
      <c r="D691" s="2"/>
      <c r="E691" s="2"/>
      <c r="F691" s="2"/>
      <c r="G691" s="2"/>
      <c r="H691" s="2"/>
    </row>
    <row r="692" spans="1:8" ht="15.75" customHeight="1" x14ac:dyDescent="0.3">
      <c r="A692" s="2"/>
      <c r="B692" s="2"/>
      <c r="C692" s="2"/>
      <c r="D692" s="2"/>
      <c r="E692" s="2"/>
      <c r="F692" s="2"/>
      <c r="G692" s="2"/>
      <c r="H692" s="2"/>
    </row>
    <row r="693" spans="1:8" ht="15.75" customHeight="1" x14ac:dyDescent="0.3">
      <c r="A693" s="2"/>
      <c r="B693" s="2"/>
      <c r="C693" s="2"/>
      <c r="D693" s="2"/>
      <c r="E693" s="2"/>
      <c r="F693" s="2"/>
      <c r="G693" s="2"/>
      <c r="H693" s="2"/>
    </row>
    <row r="694" spans="1:8" ht="15.75" customHeight="1" x14ac:dyDescent="0.3">
      <c r="A694" s="2"/>
      <c r="B694" s="2"/>
      <c r="C694" s="2"/>
      <c r="D694" s="2"/>
      <c r="E694" s="2"/>
      <c r="F694" s="2"/>
      <c r="G694" s="2"/>
      <c r="H694" s="2"/>
    </row>
    <row r="695" spans="1:8" ht="15.75" customHeight="1" x14ac:dyDescent="0.3">
      <c r="A695" s="2"/>
      <c r="B695" s="2"/>
      <c r="C695" s="2"/>
      <c r="D695" s="2"/>
      <c r="E695" s="2"/>
      <c r="F695" s="2"/>
      <c r="G695" s="2"/>
      <c r="H695" s="2"/>
    </row>
    <row r="696" spans="1:8" ht="15.75" customHeight="1" x14ac:dyDescent="0.3">
      <c r="A696" s="2"/>
      <c r="B696" s="2"/>
      <c r="C696" s="2"/>
      <c r="D696" s="2"/>
      <c r="E696" s="2"/>
      <c r="F696" s="2"/>
      <c r="G696" s="2"/>
      <c r="H696" s="2"/>
    </row>
    <row r="697" spans="1:8" ht="15.75" customHeight="1" x14ac:dyDescent="0.3">
      <c r="A697" s="2"/>
      <c r="B697" s="2"/>
      <c r="C697" s="2"/>
      <c r="D697" s="2"/>
      <c r="E697" s="2"/>
      <c r="F697" s="2"/>
      <c r="G697" s="2"/>
      <c r="H697" s="2"/>
    </row>
    <row r="698" spans="1:8" ht="15.75" customHeight="1" x14ac:dyDescent="0.3">
      <c r="A698" s="2"/>
      <c r="B698" s="2"/>
      <c r="C698" s="2"/>
      <c r="D698" s="2"/>
      <c r="E698" s="2"/>
      <c r="F698" s="2"/>
      <c r="G698" s="2"/>
      <c r="H698" s="2"/>
    </row>
    <row r="699" spans="1:8" ht="15.75" customHeight="1" x14ac:dyDescent="0.3">
      <c r="A699" s="2"/>
      <c r="B699" s="2"/>
      <c r="C699" s="2"/>
      <c r="D699" s="2"/>
      <c r="E699" s="2"/>
      <c r="F699" s="2"/>
      <c r="G699" s="2"/>
      <c r="H699" s="2"/>
    </row>
    <row r="700" spans="1:8" ht="15.75" customHeight="1" x14ac:dyDescent="0.3">
      <c r="A700" s="2"/>
      <c r="B700" s="2"/>
      <c r="C700" s="2"/>
      <c r="D700" s="2"/>
      <c r="E700" s="2"/>
      <c r="F700" s="2"/>
      <c r="G700" s="2"/>
      <c r="H700" s="2"/>
    </row>
    <row r="701" spans="1:8" ht="15.75" customHeight="1" x14ac:dyDescent="0.3">
      <c r="A701" s="2"/>
      <c r="B701" s="2"/>
      <c r="C701" s="2"/>
      <c r="D701" s="2"/>
      <c r="E701" s="2"/>
      <c r="F701" s="2"/>
      <c r="G701" s="2"/>
      <c r="H701" s="2"/>
    </row>
    <row r="702" spans="1:8" ht="15.75" customHeight="1" x14ac:dyDescent="0.3">
      <c r="A702" s="2"/>
      <c r="B702" s="2"/>
      <c r="C702" s="2"/>
      <c r="D702" s="2"/>
      <c r="E702" s="2"/>
      <c r="F702" s="2"/>
      <c r="G702" s="2"/>
      <c r="H702" s="2"/>
    </row>
    <row r="703" spans="1:8" ht="15.75" customHeight="1" x14ac:dyDescent="0.3">
      <c r="A703" s="2"/>
      <c r="B703" s="2"/>
      <c r="C703" s="2"/>
      <c r="D703" s="2"/>
      <c r="E703" s="2"/>
      <c r="F703" s="2"/>
      <c r="G703" s="2"/>
      <c r="H703" s="2"/>
    </row>
    <row r="704" spans="1:8" ht="15.75" customHeight="1" x14ac:dyDescent="0.3">
      <c r="A704" s="2"/>
      <c r="B704" s="2"/>
      <c r="C704" s="2"/>
      <c r="D704" s="2"/>
      <c r="E704" s="2"/>
      <c r="F704" s="2"/>
      <c r="G704" s="2"/>
      <c r="H704" s="2"/>
    </row>
    <row r="705" spans="1:8" ht="15.75" customHeight="1" x14ac:dyDescent="0.3">
      <c r="A705" s="2"/>
      <c r="B705" s="2"/>
      <c r="C705" s="2"/>
      <c r="D705" s="2"/>
      <c r="E705" s="2"/>
      <c r="F705" s="2"/>
      <c r="G705" s="2"/>
      <c r="H705" s="2"/>
    </row>
    <row r="706" spans="1:8" ht="15.75" customHeight="1" x14ac:dyDescent="0.3">
      <c r="A706" s="2"/>
      <c r="B706" s="2"/>
      <c r="C706" s="2"/>
      <c r="D706" s="2"/>
      <c r="E706" s="2"/>
      <c r="F706" s="2"/>
      <c r="G706" s="2"/>
      <c r="H706" s="2"/>
    </row>
    <row r="707" spans="1:8" ht="15.75" customHeight="1" x14ac:dyDescent="0.3">
      <c r="A707" s="2"/>
      <c r="B707" s="2"/>
      <c r="C707" s="2"/>
      <c r="D707" s="2"/>
      <c r="E707" s="2"/>
      <c r="F707" s="2"/>
      <c r="G707" s="2"/>
      <c r="H707" s="2"/>
    </row>
    <row r="708" spans="1:8" ht="15.75" customHeight="1" x14ac:dyDescent="0.3">
      <c r="A708" s="2"/>
      <c r="B708" s="2"/>
      <c r="C708" s="2"/>
      <c r="D708" s="2"/>
      <c r="E708" s="2"/>
      <c r="F708" s="2"/>
      <c r="G708" s="2"/>
      <c r="H708" s="2"/>
    </row>
    <row r="709" spans="1:8" ht="15.75" customHeight="1" x14ac:dyDescent="0.3">
      <c r="A709" s="2"/>
      <c r="B709" s="2"/>
      <c r="C709" s="2"/>
      <c r="D709" s="2"/>
      <c r="E709" s="2"/>
      <c r="F709" s="2"/>
      <c r="G709" s="2"/>
      <c r="H709" s="2"/>
    </row>
    <row r="710" spans="1:8" ht="15.75" customHeight="1" x14ac:dyDescent="0.3">
      <c r="A710" s="2"/>
      <c r="B710" s="2"/>
      <c r="C710" s="2"/>
      <c r="D710" s="2"/>
      <c r="E710" s="2"/>
      <c r="F710" s="2"/>
      <c r="G710" s="2"/>
      <c r="H710" s="2"/>
    </row>
    <row r="711" spans="1:8" ht="15.75" customHeight="1" x14ac:dyDescent="0.3">
      <c r="A711" s="2"/>
      <c r="B711" s="2"/>
      <c r="C711" s="2"/>
      <c r="D711" s="2"/>
      <c r="E711" s="2"/>
      <c r="F711" s="2"/>
      <c r="G711" s="2"/>
      <c r="H711" s="2"/>
    </row>
    <row r="712" spans="1:8" ht="15.75" customHeight="1" x14ac:dyDescent="0.3">
      <c r="A712" s="2"/>
      <c r="B712" s="2"/>
      <c r="C712" s="2"/>
      <c r="D712" s="2"/>
      <c r="E712" s="2"/>
      <c r="F712" s="2"/>
      <c r="G712" s="2"/>
      <c r="H712" s="2"/>
    </row>
    <row r="713" spans="1:8" ht="15.75" customHeight="1" x14ac:dyDescent="0.3">
      <c r="A713" s="2"/>
      <c r="B713" s="2"/>
      <c r="C713" s="2"/>
      <c r="D713" s="2"/>
      <c r="E713" s="2"/>
      <c r="F713" s="2"/>
      <c r="G713" s="2"/>
      <c r="H713" s="2"/>
    </row>
    <row r="714" spans="1:8" ht="15.75" customHeight="1" x14ac:dyDescent="0.3">
      <c r="A714" s="2"/>
      <c r="B714" s="2"/>
      <c r="C714" s="2"/>
      <c r="D714" s="2"/>
      <c r="E714" s="2"/>
      <c r="F714" s="2"/>
      <c r="G714" s="2"/>
      <c r="H714" s="2"/>
    </row>
    <row r="715" spans="1:8" ht="15.75" customHeight="1" x14ac:dyDescent="0.3">
      <c r="A715" s="2"/>
      <c r="B715" s="2"/>
      <c r="C715" s="2"/>
      <c r="D715" s="2"/>
      <c r="E715" s="2"/>
      <c r="F715" s="2"/>
      <c r="G715" s="2"/>
      <c r="H715" s="2"/>
    </row>
    <row r="716" spans="1:8" ht="15.75" customHeight="1" x14ac:dyDescent="0.3">
      <c r="A716" s="2"/>
      <c r="B716" s="2"/>
      <c r="C716" s="2"/>
      <c r="D716" s="2"/>
      <c r="E716" s="2"/>
      <c r="F716" s="2"/>
      <c r="G716" s="2"/>
      <c r="H716" s="2"/>
    </row>
    <row r="717" spans="1:8" ht="15.75" customHeight="1" x14ac:dyDescent="0.3">
      <c r="A717" s="2"/>
      <c r="B717" s="2"/>
      <c r="C717" s="2"/>
      <c r="D717" s="2"/>
      <c r="E717" s="2"/>
      <c r="F717" s="2"/>
      <c r="G717" s="2"/>
      <c r="H717" s="2"/>
    </row>
    <row r="718" spans="1:8" ht="15.75" customHeight="1" x14ac:dyDescent="0.3">
      <c r="A718" s="2"/>
      <c r="B718" s="2"/>
      <c r="C718" s="2"/>
      <c r="D718" s="2"/>
      <c r="E718" s="2"/>
      <c r="F718" s="2"/>
      <c r="G718" s="2"/>
      <c r="H718" s="2"/>
    </row>
    <row r="719" spans="1:8" ht="15.75" customHeight="1" x14ac:dyDescent="0.3">
      <c r="A719" s="2"/>
      <c r="B719" s="2"/>
      <c r="C719" s="2"/>
      <c r="D719" s="2"/>
      <c r="E719" s="2"/>
      <c r="F719" s="2"/>
      <c r="G719" s="2"/>
      <c r="H719" s="2"/>
    </row>
    <row r="720" spans="1:8" ht="15.75" customHeight="1" x14ac:dyDescent="0.3">
      <c r="A720" s="2"/>
      <c r="B720" s="2"/>
      <c r="C720" s="2"/>
      <c r="D720" s="2"/>
      <c r="E720" s="2"/>
      <c r="F720" s="2"/>
      <c r="G720" s="2"/>
      <c r="H720" s="2"/>
    </row>
    <row r="721" spans="1:8" ht="15.75" customHeight="1" x14ac:dyDescent="0.3">
      <c r="A721" s="2"/>
      <c r="B721" s="2"/>
      <c r="C721" s="2"/>
      <c r="D721" s="2"/>
      <c r="E721" s="2"/>
      <c r="F721" s="2"/>
      <c r="G721" s="2"/>
      <c r="H721" s="2"/>
    </row>
    <row r="722" spans="1:8" ht="15.75" customHeight="1" x14ac:dyDescent="0.3">
      <c r="A722" s="2"/>
      <c r="B722" s="2"/>
      <c r="C722" s="2"/>
      <c r="D722" s="2"/>
      <c r="E722" s="2"/>
      <c r="F722" s="2"/>
      <c r="G722" s="2"/>
      <c r="H722" s="2"/>
    </row>
    <row r="723" spans="1:8" ht="15.75" customHeight="1" x14ac:dyDescent="0.3">
      <c r="A723" s="2"/>
      <c r="B723" s="2"/>
      <c r="C723" s="2"/>
      <c r="D723" s="2"/>
      <c r="E723" s="2"/>
      <c r="F723" s="2"/>
      <c r="G723" s="2"/>
      <c r="H723" s="2"/>
    </row>
    <row r="724" spans="1:8" ht="15.75" customHeight="1" x14ac:dyDescent="0.3">
      <c r="A724" s="2"/>
      <c r="B724" s="2"/>
      <c r="C724" s="2"/>
      <c r="D724" s="2"/>
      <c r="E724" s="2"/>
      <c r="F724" s="2"/>
      <c r="G724" s="2"/>
      <c r="H724" s="2"/>
    </row>
    <row r="725" spans="1:8" ht="15.75" customHeight="1" x14ac:dyDescent="0.3">
      <c r="A725" s="2"/>
      <c r="B725" s="2"/>
      <c r="C725" s="2"/>
      <c r="D725" s="2"/>
      <c r="E725" s="2"/>
      <c r="F725" s="2"/>
      <c r="G725" s="2"/>
      <c r="H725" s="2"/>
    </row>
    <row r="726" spans="1:8" ht="15.75" customHeight="1" x14ac:dyDescent="0.3">
      <c r="A726" s="2"/>
      <c r="B726" s="2"/>
      <c r="C726" s="2"/>
      <c r="D726" s="2"/>
      <c r="E726" s="2"/>
      <c r="F726" s="2"/>
      <c r="G726" s="2"/>
      <c r="H726" s="2"/>
    </row>
    <row r="727" spans="1:8" ht="15.75" customHeight="1" x14ac:dyDescent="0.3">
      <c r="A727" s="2"/>
      <c r="B727" s="2"/>
      <c r="C727" s="2"/>
      <c r="D727" s="2"/>
      <c r="E727" s="2"/>
      <c r="F727" s="2"/>
      <c r="G727" s="2"/>
      <c r="H727" s="2"/>
    </row>
    <row r="728" spans="1:8" ht="15.75" customHeight="1" x14ac:dyDescent="0.3">
      <c r="A728" s="2"/>
      <c r="B728" s="2"/>
      <c r="C728" s="2"/>
      <c r="D728" s="2"/>
      <c r="E728" s="2"/>
      <c r="F728" s="2"/>
      <c r="G728" s="2"/>
      <c r="H728" s="2"/>
    </row>
    <row r="729" spans="1:8" ht="15.75" customHeight="1" x14ac:dyDescent="0.3">
      <c r="A729" s="2"/>
      <c r="B729" s="2"/>
      <c r="C729" s="2"/>
      <c r="D729" s="2"/>
      <c r="E729" s="2"/>
      <c r="F729" s="2"/>
      <c r="G729" s="2"/>
      <c r="H729" s="2"/>
    </row>
    <row r="730" spans="1:8" ht="15.75" customHeight="1" x14ac:dyDescent="0.3">
      <c r="A730" s="2"/>
      <c r="B730" s="2"/>
      <c r="C730" s="2"/>
      <c r="D730" s="2"/>
      <c r="E730" s="2"/>
      <c r="F730" s="2"/>
      <c r="G730" s="2"/>
      <c r="H730" s="2"/>
    </row>
    <row r="731" spans="1:8" ht="15.75" customHeight="1" x14ac:dyDescent="0.3">
      <c r="A731" s="2"/>
      <c r="B731" s="2"/>
      <c r="C731" s="2"/>
      <c r="D731" s="2"/>
      <c r="E731" s="2"/>
      <c r="F731" s="2"/>
      <c r="G731" s="2"/>
      <c r="H731" s="2"/>
    </row>
    <row r="732" spans="1:8" ht="15.75" customHeight="1" x14ac:dyDescent="0.3">
      <c r="A732" s="2"/>
      <c r="B732" s="2"/>
      <c r="C732" s="2"/>
      <c r="D732" s="2"/>
      <c r="E732" s="2"/>
      <c r="F732" s="2"/>
      <c r="G732" s="2"/>
      <c r="H732" s="2"/>
    </row>
    <row r="733" spans="1:8" ht="15.75" customHeight="1" x14ac:dyDescent="0.3">
      <c r="A733" s="2"/>
      <c r="B733" s="2"/>
      <c r="C733" s="2"/>
      <c r="D733" s="2"/>
      <c r="E733" s="2"/>
      <c r="F733" s="2"/>
      <c r="G733" s="2"/>
      <c r="H733" s="2"/>
    </row>
    <row r="734" spans="1:8" ht="15.75" customHeight="1" x14ac:dyDescent="0.3">
      <c r="A734" s="2"/>
      <c r="B734" s="2"/>
      <c r="C734" s="2"/>
      <c r="D734" s="2"/>
      <c r="E734" s="2"/>
      <c r="F734" s="2"/>
      <c r="G734" s="2"/>
      <c r="H734" s="2"/>
    </row>
    <row r="735" spans="1:8" ht="15.75" customHeight="1" x14ac:dyDescent="0.3">
      <c r="A735" s="2"/>
      <c r="B735" s="2"/>
      <c r="C735" s="2"/>
      <c r="D735" s="2"/>
      <c r="E735" s="2"/>
      <c r="F735" s="2"/>
      <c r="G735" s="2"/>
      <c r="H735" s="2"/>
    </row>
    <row r="736" spans="1:8" ht="15.75" customHeight="1" x14ac:dyDescent="0.3">
      <c r="A736" s="2"/>
      <c r="B736" s="2"/>
      <c r="C736" s="2"/>
      <c r="D736" s="2"/>
      <c r="E736" s="2"/>
      <c r="F736" s="2"/>
      <c r="G736" s="2"/>
      <c r="H736" s="2"/>
    </row>
    <row r="737" spans="1:8" ht="15.75" customHeight="1" x14ac:dyDescent="0.3">
      <c r="A737" s="2"/>
      <c r="B737" s="2"/>
      <c r="C737" s="2"/>
      <c r="D737" s="2"/>
      <c r="E737" s="2"/>
      <c r="F737" s="2"/>
      <c r="G737" s="2"/>
      <c r="H737" s="2"/>
    </row>
    <row r="738" spans="1:8" ht="15.75" customHeight="1" x14ac:dyDescent="0.3">
      <c r="A738" s="2"/>
      <c r="B738" s="2"/>
      <c r="C738" s="2"/>
      <c r="D738" s="2"/>
      <c r="E738" s="2"/>
      <c r="F738" s="2"/>
      <c r="G738" s="2"/>
      <c r="H738" s="2"/>
    </row>
    <row r="739" spans="1:8" ht="15.75" customHeight="1" x14ac:dyDescent="0.3">
      <c r="A739" s="2"/>
      <c r="B739" s="2"/>
      <c r="C739" s="2"/>
      <c r="D739" s="2"/>
      <c r="E739" s="2"/>
      <c r="F739" s="2"/>
      <c r="G739" s="2"/>
      <c r="H739" s="2"/>
    </row>
    <row r="740" spans="1:8" ht="15.75" customHeight="1" x14ac:dyDescent="0.3">
      <c r="A740" s="2"/>
      <c r="B740" s="2"/>
      <c r="C740" s="2"/>
      <c r="D740" s="2"/>
      <c r="E740" s="2"/>
      <c r="F740" s="2"/>
      <c r="G740" s="2"/>
      <c r="H740" s="2"/>
    </row>
    <row r="741" spans="1:8" ht="15.75" customHeight="1" x14ac:dyDescent="0.3">
      <c r="A741" s="2"/>
      <c r="B741" s="2"/>
      <c r="C741" s="2"/>
      <c r="D741" s="2"/>
      <c r="E741" s="2"/>
      <c r="F741" s="2"/>
      <c r="G741" s="2"/>
      <c r="H741" s="2"/>
    </row>
    <row r="742" spans="1:8" ht="15.75" customHeight="1" x14ac:dyDescent="0.3">
      <c r="A742" s="2"/>
      <c r="B742" s="2"/>
      <c r="C742" s="2"/>
      <c r="D742" s="2"/>
      <c r="E742" s="2"/>
      <c r="F742" s="2"/>
      <c r="G742" s="2"/>
      <c r="H742" s="2"/>
    </row>
    <row r="743" spans="1:8" ht="15.75" customHeight="1" x14ac:dyDescent="0.3">
      <c r="A743" s="2"/>
      <c r="B743" s="2"/>
      <c r="C743" s="2"/>
      <c r="D743" s="2"/>
      <c r="E743" s="2"/>
      <c r="F743" s="2"/>
      <c r="G743" s="2"/>
      <c r="H743" s="2"/>
    </row>
    <row r="744" spans="1:8" ht="15.75" customHeight="1" x14ac:dyDescent="0.3">
      <c r="A744" s="2"/>
      <c r="B744" s="2"/>
      <c r="C744" s="2"/>
      <c r="D744" s="2"/>
      <c r="E744" s="2"/>
      <c r="F744" s="2"/>
      <c r="G744" s="2"/>
      <c r="H744" s="2"/>
    </row>
    <row r="745" spans="1:8" ht="15.75" customHeight="1" x14ac:dyDescent="0.3">
      <c r="A745" s="2"/>
      <c r="B745" s="2"/>
      <c r="C745" s="2"/>
      <c r="D745" s="2"/>
      <c r="E745" s="2"/>
      <c r="F745" s="2"/>
      <c r="G745" s="2"/>
      <c r="H745" s="2"/>
    </row>
    <row r="746" spans="1:8" ht="15.75" customHeight="1" x14ac:dyDescent="0.3">
      <c r="A746" s="2"/>
      <c r="B746" s="2"/>
      <c r="C746" s="2"/>
      <c r="D746" s="2"/>
      <c r="E746" s="2"/>
      <c r="F746" s="2"/>
      <c r="G746" s="2"/>
      <c r="H746" s="2"/>
    </row>
    <row r="747" spans="1:8" ht="15.75" customHeight="1" x14ac:dyDescent="0.3">
      <c r="A747" s="2"/>
      <c r="B747" s="2"/>
      <c r="C747" s="2"/>
      <c r="D747" s="2"/>
      <c r="E747" s="2"/>
      <c r="F747" s="2"/>
      <c r="G747" s="2"/>
      <c r="H747" s="2"/>
    </row>
    <row r="748" spans="1:8" ht="15.75" customHeight="1" x14ac:dyDescent="0.3">
      <c r="A748" s="2"/>
      <c r="B748" s="2"/>
      <c r="C748" s="2"/>
      <c r="D748" s="2"/>
      <c r="E748" s="2"/>
      <c r="F748" s="2"/>
      <c r="G748" s="2"/>
      <c r="H748" s="2"/>
    </row>
    <row r="749" spans="1:8" ht="15.75" customHeight="1" x14ac:dyDescent="0.3">
      <c r="A749" s="2"/>
      <c r="B749" s="2"/>
      <c r="C749" s="2"/>
      <c r="D749" s="2"/>
      <c r="E749" s="2"/>
      <c r="F749" s="2"/>
      <c r="G749" s="2"/>
      <c r="H749" s="2"/>
    </row>
    <row r="750" spans="1:8" ht="15.75" customHeight="1" x14ac:dyDescent="0.3">
      <c r="A750" s="2"/>
      <c r="B750" s="2"/>
      <c r="C750" s="2"/>
      <c r="D750" s="2"/>
      <c r="E750" s="2"/>
      <c r="F750" s="2"/>
      <c r="G750" s="2"/>
      <c r="H750" s="2"/>
    </row>
    <row r="751" spans="1:8" ht="15.75" customHeight="1" x14ac:dyDescent="0.3">
      <c r="A751" s="2"/>
      <c r="B751" s="2"/>
      <c r="C751" s="2"/>
      <c r="D751" s="2"/>
      <c r="E751" s="2"/>
      <c r="F751" s="2"/>
      <c r="G751" s="2"/>
      <c r="H751" s="2"/>
    </row>
    <row r="752" spans="1:8" ht="15.75" customHeight="1" x14ac:dyDescent="0.3">
      <c r="A752" s="2"/>
      <c r="B752" s="2"/>
      <c r="C752" s="2"/>
      <c r="D752" s="2"/>
      <c r="E752" s="2"/>
      <c r="F752" s="2"/>
      <c r="G752" s="2"/>
      <c r="H752" s="2"/>
    </row>
    <row r="753" spans="1:8" ht="15.75" customHeight="1" x14ac:dyDescent="0.3">
      <c r="A753" s="2"/>
      <c r="B753" s="2"/>
      <c r="C753" s="2"/>
      <c r="D753" s="2"/>
      <c r="E753" s="2"/>
      <c r="F753" s="2"/>
      <c r="G753" s="2"/>
      <c r="H753" s="2"/>
    </row>
    <row r="754" spans="1:8" ht="15.75" customHeight="1" x14ac:dyDescent="0.3">
      <c r="A754" s="2"/>
      <c r="B754" s="2"/>
      <c r="C754" s="2"/>
      <c r="D754" s="2"/>
      <c r="E754" s="2"/>
      <c r="F754" s="2"/>
      <c r="G754" s="2"/>
      <c r="H754" s="2"/>
    </row>
    <row r="755" spans="1:8" ht="15.75" customHeight="1" x14ac:dyDescent="0.3">
      <c r="A755" s="2"/>
      <c r="B755" s="2"/>
      <c r="C755" s="2"/>
      <c r="D755" s="2"/>
      <c r="E755" s="2"/>
      <c r="F755" s="2"/>
      <c r="G755" s="2"/>
      <c r="H755" s="2"/>
    </row>
    <row r="756" spans="1:8" ht="15.75" customHeight="1" x14ac:dyDescent="0.3">
      <c r="A756" s="2"/>
      <c r="B756" s="2"/>
      <c r="C756" s="2"/>
      <c r="D756" s="2"/>
      <c r="E756" s="2"/>
      <c r="F756" s="2"/>
      <c r="G756" s="2"/>
      <c r="H756" s="2"/>
    </row>
    <row r="757" spans="1:8" ht="15.75" customHeight="1" x14ac:dyDescent="0.3">
      <c r="A757" s="2"/>
      <c r="B757" s="2"/>
      <c r="C757" s="2"/>
      <c r="D757" s="2"/>
      <c r="E757" s="2"/>
      <c r="F757" s="2"/>
      <c r="G757" s="2"/>
      <c r="H757" s="2"/>
    </row>
    <row r="758" spans="1:8" ht="15.75" customHeight="1" x14ac:dyDescent="0.3">
      <c r="A758" s="2"/>
      <c r="B758" s="2"/>
      <c r="C758" s="2"/>
      <c r="D758" s="2"/>
      <c r="E758" s="2"/>
      <c r="F758" s="2"/>
      <c r="G758" s="2"/>
      <c r="H758" s="2"/>
    </row>
    <row r="759" spans="1:8" ht="15.75" customHeight="1" x14ac:dyDescent="0.3">
      <c r="A759" s="2"/>
      <c r="B759" s="2"/>
      <c r="C759" s="2"/>
      <c r="D759" s="2"/>
      <c r="E759" s="2"/>
      <c r="F759" s="2"/>
      <c r="G759" s="2"/>
      <c r="H759" s="2"/>
    </row>
    <row r="760" spans="1:8" ht="15.75" customHeight="1" x14ac:dyDescent="0.3">
      <c r="A760" s="2"/>
      <c r="B760" s="2"/>
      <c r="C760" s="2"/>
      <c r="D760" s="2"/>
      <c r="E760" s="2"/>
      <c r="F760" s="2"/>
      <c r="G760" s="2"/>
      <c r="H760" s="2"/>
    </row>
    <row r="761" spans="1:8" ht="15.75" customHeight="1" x14ac:dyDescent="0.3">
      <c r="A761" s="2"/>
      <c r="B761" s="2"/>
      <c r="C761" s="2"/>
      <c r="D761" s="2"/>
      <c r="E761" s="2"/>
      <c r="F761" s="2"/>
      <c r="G761" s="2"/>
      <c r="H761" s="2"/>
    </row>
    <row r="762" spans="1:8" ht="15.75" customHeight="1" x14ac:dyDescent="0.3">
      <c r="A762" s="2"/>
      <c r="B762" s="2"/>
      <c r="C762" s="2"/>
      <c r="D762" s="2"/>
      <c r="E762" s="2"/>
      <c r="F762" s="2"/>
      <c r="G762" s="2"/>
      <c r="H762" s="2"/>
    </row>
    <row r="763" spans="1:8" ht="15.75" customHeight="1" x14ac:dyDescent="0.3">
      <c r="A763" s="2"/>
      <c r="B763" s="2"/>
      <c r="C763" s="2"/>
      <c r="D763" s="2"/>
      <c r="E763" s="2"/>
      <c r="F763" s="2"/>
      <c r="G763" s="2"/>
      <c r="H763" s="2"/>
    </row>
    <row r="764" spans="1:8" ht="15.75" customHeight="1" x14ac:dyDescent="0.3">
      <c r="A764" s="2"/>
      <c r="B764" s="2"/>
      <c r="C764" s="2"/>
      <c r="D764" s="2"/>
      <c r="E764" s="2"/>
      <c r="F764" s="2"/>
      <c r="G764" s="2"/>
      <c r="H764" s="2"/>
    </row>
    <row r="765" spans="1:8" ht="15.75" customHeight="1" x14ac:dyDescent="0.3">
      <c r="A765" s="2"/>
      <c r="B765" s="2"/>
      <c r="C765" s="2"/>
      <c r="D765" s="2"/>
      <c r="E765" s="2"/>
      <c r="F765" s="2"/>
      <c r="G765" s="2"/>
      <c r="H765" s="2"/>
    </row>
    <row r="766" spans="1:8" ht="15.75" customHeight="1" x14ac:dyDescent="0.3">
      <c r="A766" s="2"/>
      <c r="B766" s="2"/>
      <c r="C766" s="2"/>
      <c r="D766" s="2"/>
      <c r="E766" s="2"/>
      <c r="F766" s="2"/>
      <c r="G766" s="2"/>
      <c r="H766" s="2"/>
    </row>
    <row r="767" spans="1:8" ht="15.75" customHeight="1" x14ac:dyDescent="0.3">
      <c r="A767" s="2"/>
      <c r="B767" s="2"/>
      <c r="C767" s="2"/>
      <c r="D767" s="2"/>
      <c r="E767" s="2"/>
      <c r="F767" s="2"/>
      <c r="G767" s="2"/>
      <c r="H767" s="2"/>
    </row>
    <row r="768" spans="1:8" ht="15.75" customHeight="1" x14ac:dyDescent="0.3">
      <c r="A768" s="2"/>
      <c r="B768" s="2"/>
      <c r="C768" s="2"/>
      <c r="D768" s="2"/>
      <c r="E768" s="2"/>
      <c r="F768" s="2"/>
      <c r="G768" s="2"/>
      <c r="H768" s="2"/>
    </row>
    <row r="769" spans="1:8" ht="15.75" customHeight="1" x14ac:dyDescent="0.3">
      <c r="A769" s="2"/>
      <c r="B769" s="2"/>
      <c r="C769" s="2"/>
      <c r="D769" s="2"/>
      <c r="E769" s="2"/>
      <c r="F769" s="2"/>
      <c r="G769" s="2"/>
      <c r="H769" s="2"/>
    </row>
    <row r="770" spans="1:8" ht="15.75" customHeight="1" x14ac:dyDescent="0.3">
      <c r="A770" s="2"/>
      <c r="B770" s="2"/>
      <c r="C770" s="2"/>
      <c r="D770" s="2"/>
      <c r="E770" s="2"/>
      <c r="F770" s="2"/>
      <c r="G770" s="2"/>
      <c r="H770" s="2"/>
    </row>
    <row r="771" spans="1:8" ht="15.75" customHeight="1" x14ac:dyDescent="0.3">
      <c r="A771" s="2"/>
      <c r="B771" s="2"/>
      <c r="C771" s="2"/>
      <c r="D771" s="2"/>
      <c r="E771" s="2"/>
      <c r="F771" s="2"/>
      <c r="G771" s="2"/>
      <c r="H771" s="2"/>
    </row>
    <row r="772" spans="1:8" ht="15.75" customHeight="1" x14ac:dyDescent="0.3">
      <c r="A772" s="2"/>
      <c r="B772" s="2"/>
      <c r="C772" s="2"/>
      <c r="D772" s="2"/>
      <c r="E772" s="2"/>
      <c r="F772" s="2"/>
      <c r="G772" s="2"/>
      <c r="H772" s="2"/>
    </row>
    <row r="773" spans="1:8" ht="15.75" customHeight="1" x14ac:dyDescent="0.3">
      <c r="A773" s="2"/>
      <c r="B773" s="2"/>
      <c r="C773" s="2"/>
      <c r="D773" s="2"/>
      <c r="E773" s="2"/>
      <c r="F773" s="2"/>
      <c r="G773" s="2"/>
      <c r="H773" s="2"/>
    </row>
    <row r="774" spans="1:8" ht="15.75" customHeight="1" x14ac:dyDescent="0.3">
      <c r="A774" s="2"/>
      <c r="B774" s="2"/>
      <c r="C774" s="2"/>
      <c r="D774" s="2"/>
      <c r="E774" s="2"/>
      <c r="F774" s="2"/>
      <c r="G774" s="2"/>
      <c r="H774" s="2"/>
    </row>
    <row r="775" spans="1:8" ht="15.75" customHeight="1" x14ac:dyDescent="0.3">
      <c r="A775" s="2"/>
      <c r="B775" s="2"/>
      <c r="C775" s="2"/>
      <c r="D775" s="2"/>
      <c r="E775" s="2"/>
      <c r="F775" s="2"/>
      <c r="G775" s="2"/>
      <c r="H775" s="2"/>
    </row>
    <row r="776" spans="1:8" ht="15.75" customHeight="1" x14ac:dyDescent="0.3">
      <c r="A776" s="2"/>
      <c r="B776" s="2"/>
      <c r="C776" s="2"/>
      <c r="D776" s="2"/>
      <c r="E776" s="2"/>
      <c r="F776" s="2"/>
      <c r="G776" s="2"/>
      <c r="H776" s="2"/>
    </row>
    <row r="777" spans="1:8" ht="15.75" customHeight="1" x14ac:dyDescent="0.3">
      <c r="A777" s="2"/>
      <c r="B777" s="2"/>
      <c r="C777" s="2"/>
      <c r="D777" s="2"/>
      <c r="E777" s="2"/>
      <c r="F777" s="2"/>
      <c r="G777" s="2"/>
      <c r="H777" s="2"/>
    </row>
    <row r="778" spans="1:8" ht="15.75" customHeight="1" x14ac:dyDescent="0.3">
      <c r="A778" s="2"/>
      <c r="B778" s="2"/>
      <c r="C778" s="2"/>
      <c r="D778" s="2"/>
      <c r="E778" s="2"/>
      <c r="F778" s="2"/>
      <c r="G778" s="2"/>
      <c r="H778" s="2"/>
    </row>
    <row r="779" spans="1:8" ht="15.75" customHeight="1" x14ac:dyDescent="0.3">
      <c r="A779" s="2"/>
      <c r="B779" s="2"/>
      <c r="C779" s="2"/>
      <c r="D779" s="2"/>
      <c r="E779" s="2"/>
      <c r="F779" s="2"/>
      <c r="G779" s="2"/>
      <c r="H779" s="2"/>
    </row>
    <row r="780" spans="1:8" ht="15.75" customHeight="1" x14ac:dyDescent="0.3">
      <c r="A780" s="2"/>
      <c r="B780" s="2"/>
      <c r="C780" s="2"/>
      <c r="D780" s="2"/>
      <c r="E780" s="2"/>
      <c r="F780" s="2"/>
      <c r="G780" s="2"/>
      <c r="H780" s="2"/>
    </row>
    <row r="781" spans="1:8" ht="15.75" customHeight="1" x14ac:dyDescent="0.3">
      <c r="A781" s="2"/>
      <c r="B781" s="2"/>
      <c r="C781" s="2"/>
      <c r="D781" s="2"/>
      <c r="E781" s="2"/>
      <c r="F781" s="2"/>
      <c r="G781" s="2"/>
      <c r="H781" s="2"/>
    </row>
    <row r="782" spans="1:8" ht="15.75" customHeight="1" x14ac:dyDescent="0.3">
      <c r="A782" s="2"/>
      <c r="B782" s="2"/>
      <c r="C782" s="2"/>
      <c r="D782" s="2"/>
      <c r="E782" s="2"/>
      <c r="F782" s="2"/>
      <c r="G782" s="2"/>
      <c r="H782" s="2"/>
    </row>
    <row r="783" spans="1:8" ht="15.75" customHeight="1" x14ac:dyDescent="0.3">
      <c r="A783" s="2"/>
      <c r="B783" s="2"/>
      <c r="C783" s="2"/>
      <c r="D783" s="2"/>
      <c r="E783" s="2"/>
      <c r="F783" s="2"/>
      <c r="G783" s="2"/>
      <c r="H783" s="2"/>
    </row>
    <row r="784" spans="1:8" ht="15.75" customHeight="1" x14ac:dyDescent="0.3">
      <c r="A784" s="2"/>
      <c r="B784" s="2"/>
      <c r="C784" s="2"/>
      <c r="D784" s="2"/>
      <c r="E784" s="2"/>
      <c r="F784" s="2"/>
      <c r="G784" s="2"/>
      <c r="H784" s="2"/>
    </row>
    <row r="785" spans="1:8" ht="15.75" customHeight="1" x14ac:dyDescent="0.3">
      <c r="A785" s="2"/>
      <c r="B785" s="2"/>
      <c r="C785" s="2"/>
      <c r="D785" s="2"/>
      <c r="E785" s="2"/>
      <c r="F785" s="2"/>
      <c r="G785" s="2"/>
      <c r="H785" s="2"/>
    </row>
    <row r="786" spans="1:8" ht="15.75" customHeight="1" x14ac:dyDescent="0.3">
      <c r="A786" s="2"/>
      <c r="B786" s="2"/>
      <c r="C786" s="2"/>
      <c r="D786" s="2"/>
      <c r="E786" s="2"/>
      <c r="F786" s="2"/>
      <c r="G786" s="2"/>
      <c r="H786" s="2"/>
    </row>
    <row r="787" spans="1:8" ht="15.75" customHeight="1" x14ac:dyDescent="0.3">
      <c r="A787" s="2"/>
      <c r="B787" s="2"/>
      <c r="C787" s="2"/>
      <c r="D787" s="2"/>
      <c r="E787" s="2"/>
      <c r="F787" s="2"/>
      <c r="G787" s="2"/>
      <c r="H787" s="2"/>
    </row>
    <row r="788" spans="1:8" ht="15.75" customHeight="1" x14ac:dyDescent="0.3">
      <c r="A788" s="2"/>
      <c r="B788" s="2"/>
      <c r="C788" s="2"/>
      <c r="D788" s="2"/>
      <c r="E788" s="2"/>
      <c r="F788" s="2"/>
      <c r="G788" s="2"/>
      <c r="H788" s="2"/>
    </row>
    <row r="789" spans="1:8" ht="15.75" customHeight="1" x14ac:dyDescent="0.3">
      <c r="A789" s="2"/>
      <c r="B789" s="2"/>
      <c r="C789" s="2"/>
      <c r="D789" s="2"/>
      <c r="E789" s="2"/>
      <c r="F789" s="2"/>
      <c r="G789" s="2"/>
      <c r="H789" s="2"/>
    </row>
    <row r="790" spans="1:8" ht="15.75" customHeight="1" x14ac:dyDescent="0.3">
      <c r="A790" s="2"/>
      <c r="B790" s="2"/>
      <c r="C790" s="2"/>
      <c r="D790" s="2"/>
      <c r="E790" s="2"/>
      <c r="F790" s="2"/>
      <c r="G790" s="2"/>
      <c r="H790" s="2"/>
    </row>
    <row r="791" spans="1:8" ht="15.75" customHeight="1" x14ac:dyDescent="0.3">
      <c r="A791" s="2"/>
      <c r="B791" s="2"/>
      <c r="C791" s="2"/>
      <c r="D791" s="2"/>
      <c r="E791" s="2"/>
      <c r="F791" s="2"/>
      <c r="G791" s="2"/>
      <c r="H791" s="2"/>
    </row>
    <row r="792" spans="1:8" ht="15.75" customHeight="1" x14ac:dyDescent="0.3">
      <c r="A792" s="2"/>
      <c r="B792" s="2"/>
      <c r="C792" s="2"/>
      <c r="D792" s="2"/>
      <c r="E792" s="2"/>
      <c r="F792" s="2"/>
      <c r="G792" s="2"/>
      <c r="H792" s="2"/>
    </row>
    <row r="793" spans="1:8" ht="15.75" customHeight="1" x14ac:dyDescent="0.3">
      <c r="A793" s="2"/>
      <c r="B793" s="2"/>
      <c r="C793" s="2"/>
      <c r="D793" s="2"/>
      <c r="E793" s="2"/>
      <c r="F793" s="2"/>
      <c r="G793" s="2"/>
      <c r="H793" s="2"/>
    </row>
    <row r="794" spans="1:8" ht="15.75" customHeight="1" x14ac:dyDescent="0.3">
      <c r="A794" s="2"/>
      <c r="B794" s="2"/>
      <c r="C794" s="2"/>
      <c r="D794" s="2"/>
      <c r="E794" s="2"/>
      <c r="F794" s="2"/>
      <c r="G794" s="2"/>
      <c r="H794" s="2"/>
    </row>
    <row r="795" spans="1:8" ht="15.75" customHeight="1" x14ac:dyDescent="0.3">
      <c r="A795" s="2"/>
      <c r="B795" s="2"/>
      <c r="C795" s="2"/>
      <c r="D795" s="2"/>
      <c r="E795" s="2"/>
      <c r="F795" s="2"/>
      <c r="G795" s="2"/>
      <c r="H795" s="2"/>
    </row>
    <row r="796" spans="1:8" ht="15.75" customHeight="1" x14ac:dyDescent="0.3">
      <c r="A796" s="2"/>
      <c r="B796" s="2"/>
      <c r="C796" s="2"/>
      <c r="D796" s="2"/>
      <c r="E796" s="2"/>
      <c r="F796" s="2"/>
      <c r="G796" s="2"/>
      <c r="H796" s="2"/>
    </row>
    <row r="797" spans="1:8" ht="15.75" customHeight="1" x14ac:dyDescent="0.3">
      <c r="A797" s="2"/>
      <c r="B797" s="2"/>
      <c r="C797" s="2"/>
      <c r="D797" s="2"/>
      <c r="E797" s="2"/>
      <c r="F797" s="2"/>
      <c r="G797" s="2"/>
      <c r="H797" s="2"/>
    </row>
    <row r="798" spans="1:8" ht="15.75" customHeight="1" x14ac:dyDescent="0.3">
      <c r="A798" s="2"/>
      <c r="B798" s="2"/>
      <c r="C798" s="2"/>
      <c r="D798" s="2"/>
      <c r="E798" s="2"/>
      <c r="F798" s="2"/>
      <c r="G798" s="2"/>
      <c r="H798" s="2"/>
    </row>
    <row r="799" spans="1:8" ht="15.75" customHeight="1" x14ac:dyDescent="0.3">
      <c r="A799" s="2"/>
      <c r="B799" s="2"/>
      <c r="C799" s="2"/>
      <c r="D799" s="2"/>
      <c r="E799" s="2"/>
      <c r="F799" s="2"/>
      <c r="G799" s="2"/>
      <c r="H799" s="2"/>
    </row>
    <row r="800" spans="1:8" ht="15.75" customHeight="1" x14ac:dyDescent="0.3">
      <c r="A800" s="2"/>
      <c r="B800" s="2"/>
      <c r="C800" s="2"/>
      <c r="D800" s="2"/>
      <c r="E800" s="2"/>
      <c r="F800" s="2"/>
      <c r="G800" s="2"/>
      <c r="H800" s="2"/>
    </row>
    <row r="801" spans="1:8" ht="15.75" customHeight="1" x14ac:dyDescent="0.3">
      <c r="A801" s="2"/>
      <c r="B801" s="2"/>
      <c r="C801" s="2"/>
      <c r="D801" s="2"/>
      <c r="E801" s="2"/>
      <c r="F801" s="2"/>
      <c r="G801" s="2"/>
      <c r="H801" s="2"/>
    </row>
    <row r="802" spans="1:8" ht="15.75" customHeight="1" x14ac:dyDescent="0.3">
      <c r="A802" s="2"/>
      <c r="B802" s="2"/>
      <c r="C802" s="2"/>
      <c r="D802" s="2"/>
      <c r="E802" s="2"/>
      <c r="F802" s="2"/>
      <c r="G802" s="2"/>
      <c r="H802" s="2"/>
    </row>
    <row r="803" spans="1:8" ht="15.75" customHeight="1" x14ac:dyDescent="0.3">
      <c r="A803" s="2"/>
      <c r="B803" s="2"/>
      <c r="C803" s="2"/>
      <c r="D803" s="2"/>
      <c r="E803" s="2"/>
      <c r="F803" s="2"/>
      <c r="G803" s="2"/>
      <c r="H803" s="2"/>
    </row>
    <row r="804" spans="1:8" ht="15.75" customHeight="1" x14ac:dyDescent="0.3">
      <c r="A804" s="2"/>
      <c r="B804" s="2"/>
      <c r="C804" s="2"/>
      <c r="D804" s="2"/>
      <c r="E804" s="2"/>
      <c r="F804" s="2"/>
      <c r="G804" s="2"/>
      <c r="H804" s="2"/>
    </row>
    <row r="805" spans="1:8" ht="15.75" customHeight="1" x14ac:dyDescent="0.3">
      <c r="A805" s="2"/>
      <c r="B805" s="2"/>
      <c r="C805" s="2"/>
      <c r="D805" s="2"/>
      <c r="E805" s="2"/>
      <c r="F805" s="2"/>
      <c r="G805" s="2"/>
      <c r="H805" s="2"/>
    </row>
    <row r="806" spans="1:8" ht="15.75" customHeight="1" x14ac:dyDescent="0.3">
      <c r="A806" s="2"/>
      <c r="B806" s="2"/>
      <c r="C806" s="2"/>
      <c r="D806" s="2"/>
      <c r="E806" s="2"/>
      <c r="F806" s="2"/>
      <c r="G806" s="2"/>
      <c r="H806" s="2"/>
    </row>
    <row r="807" spans="1:8" ht="15.75" customHeight="1" x14ac:dyDescent="0.3">
      <c r="A807" s="2"/>
      <c r="B807" s="2"/>
      <c r="C807" s="2"/>
      <c r="D807" s="2"/>
      <c r="E807" s="2"/>
      <c r="F807" s="2"/>
      <c r="G807" s="2"/>
      <c r="H807" s="2"/>
    </row>
    <row r="808" spans="1:8" ht="15.75" customHeight="1" x14ac:dyDescent="0.3">
      <c r="A808" s="2"/>
      <c r="B808" s="2"/>
      <c r="C808" s="2"/>
      <c r="D808" s="2"/>
      <c r="E808" s="2"/>
      <c r="F808" s="2"/>
      <c r="G808" s="2"/>
      <c r="H808" s="2"/>
    </row>
    <row r="809" spans="1:8" ht="15.75" customHeight="1" x14ac:dyDescent="0.3">
      <c r="A809" s="2"/>
      <c r="B809" s="2"/>
      <c r="C809" s="2"/>
      <c r="D809" s="2"/>
      <c r="E809" s="2"/>
      <c r="F809" s="2"/>
      <c r="G809" s="2"/>
      <c r="H809" s="2"/>
    </row>
    <row r="810" spans="1:8" ht="15.75" customHeight="1" x14ac:dyDescent="0.3">
      <c r="A810" s="2"/>
      <c r="B810" s="2"/>
      <c r="C810" s="2"/>
      <c r="D810" s="2"/>
      <c r="E810" s="2"/>
      <c r="F810" s="2"/>
      <c r="G810" s="2"/>
      <c r="H810" s="2"/>
    </row>
    <row r="811" spans="1:8" ht="15.75" customHeight="1" x14ac:dyDescent="0.3">
      <c r="A811" s="2"/>
      <c r="B811" s="2"/>
      <c r="C811" s="2"/>
      <c r="D811" s="2"/>
      <c r="E811" s="2"/>
      <c r="F811" s="2"/>
      <c r="G811" s="2"/>
      <c r="H811" s="2"/>
    </row>
    <row r="812" spans="1:8" ht="15.75" customHeight="1" x14ac:dyDescent="0.3">
      <c r="A812" s="2"/>
      <c r="B812" s="2"/>
      <c r="C812" s="2"/>
      <c r="D812" s="2"/>
      <c r="E812" s="2"/>
      <c r="F812" s="2"/>
      <c r="G812" s="2"/>
      <c r="H812" s="2"/>
    </row>
    <row r="813" spans="1:8" ht="15.75" customHeight="1" x14ac:dyDescent="0.3">
      <c r="A813" s="2"/>
      <c r="B813" s="2"/>
      <c r="C813" s="2"/>
      <c r="D813" s="2"/>
      <c r="E813" s="2"/>
      <c r="F813" s="2"/>
      <c r="G813" s="2"/>
      <c r="H813" s="2"/>
    </row>
    <row r="814" spans="1:8" ht="15.75" customHeight="1" x14ac:dyDescent="0.3">
      <c r="A814" s="2"/>
      <c r="B814" s="2"/>
      <c r="C814" s="2"/>
      <c r="D814" s="2"/>
      <c r="E814" s="2"/>
      <c r="F814" s="2"/>
      <c r="G814" s="2"/>
      <c r="H814" s="2"/>
    </row>
    <row r="815" spans="1:8" ht="15.75" customHeight="1" x14ac:dyDescent="0.3">
      <c r="A815" s="2"/>
      <c r="B815" s="2"/>
      <c r="C815" s="2"/>
      <c r="D815" s="2"/>
      <c r="E815" s="2"/>
      <c r="F815" s="2"/>
      <c r="G815" s="2"/>
      <c r="H815" s="2"/>
    </row>
    <row r="816" spans="1:8" ht="15.75" customHeight="1" x14ac:dyDescent="0.3">
      <c r="A816" s="2"/>
      <c r="B816" s="2"/>
      <c r="C816" s="2"/>
      <c r="D816" s="2"/>
      <c r="E816" s="2"/>
      <c r="F816" s="2"/>
      <c r="G816" s="2"/>
      <c r="H816" s="2"/>
    </row>
    <row r="817" spans="1:8" ht="15.75" customHeight="1" x14ac:dyDescent="0.3">
      <c r="A817" s="2"/>
      <c r="B817" s="2"/>
      <c r="C817" s="2"/>
      <c r="D817" s="2"/>
      <c r="E817" s="2"/>
      <c r="F817" s="2"/>
      <c r="G817" s="2"/>
      <c r="H817" s="2"/>
    </row>
    <row r="818" spans="1:8" ht="15.75" customHeight="1" x14ac:dyDescent="0.3">
      <c r="A818" s="2"/>
      <c r="B818" s="2"/>
      <c r="C818" s="2"/>
      <c r="D818" s="2"/>
      <c r="E818" s="2"/>
      <c r="F818" s="2"/>
      <c r="G818" s="2"/>
      <c r="H818" s="2"/>
    </row>
    <row r="819" spans="1:8" ht="15.75" customHeight="1" x14ac:dyDescent="0.3">
      <c r="A819" s="2"/>
      <c r="B819" s="2"/>
      <c r="C819" s="2"/>
      <c r="D819" s="2"/>
      <c r="E819" s="2"/>
      <c r="F819" s="2"/>
      <c r="G819" s="2"/>
      <c r="H819" s="2"/>
    </row>
    <row r="820" spans="1:8" ht="15.75" customHeight="1" x14ac:dyDescent="0.3">
      <c r="A820" s="2"/>
      <c r="B820" s="2"/>
      <c r="C820" s="2"/>
      <c r="D820" s="2"/>
      <c r="E820" s="2"/>
      <c r="F820" s="2"/>
      <c r="G820" s="2"/>
      <c r="H820" s="2"/>
    </row>
    <row r="821" spans="1:8" ht="15.75" customHeight="1" x14ac:dyDescent="0.3">
      <c r="A821" s="2"/>
      <c r="B821" s="2"/>
      <c r="C821" s="2"/>
      <c r="D821" s="2"/>
      <c r="E821" s="2"/>
      <c r="F821" s="2"/>
      <c r="G821" s="2"/>
      <c r="H821" s="2"/>
    </row>
    <row r="822" spans="1:8" ht="15.75" customHeight="1" x14ac:dyDescent="0.3">
      <c r="A822" s="2"/>
      <c r="B822" s="2"/>
      <c r="C822" s="2"/>
      <c r="D822" s="2"/>
      <c r="E822" s="2"/>
      <c r="F822" s="2"/>
      <c r="G822" s="2"/>
      <c r="H822" s="2"/>
    </row>
    <row r="823" spans="1:8" ht="15.75" customHeight="1" x14ac:dyDescent="0.3">
      <c r="A823" s="2"/>
      <c r="B823" s="2"/>
      <c r="C823" s="2"/>
      <c r="D823" s="2"/>
      <c r="E823" s="2"/>
      <c r="F823" s="2"/>
      <c r="G823" s="2"/>
      <c r="H823" s="2"/>
    </row>
    <row r="824" spans="1:8" ht="15.75" customHeight="1" x14ac:dyDescent="0.3">
      <c r="A824" s="2"/>
      <c r="B824" s="2"/>
      <c r="C824" s="2"/>
      <c r="D824" s="2"/>
      <c r="E824" s="2"/>
      <c r="F824" s="2"/>
      <c r="G824" s="2"/>
      <c r="H824" s="2"/>
    </row>
    <row r="825" spans="1:8" ht="15.75" customHeight="1" x14ac:dyDescent="0.3">
      <c r="A825" s="2"/>
      <c r="B825" s="2"/>
      <c r="C825" s="2"/>
      <c r="D825" s="2"/>
      <c r="E825" s="2"/>
      <c r="F825" s="2"/>
      <c r="G825" s="2"/>
      <c r="H825" s="2"/>
    </row>
    <row r="826" spans="1:8" ht="15.75" customHeight="1" x14ac:dyDescent="0.3">
      <c r="A826" s="2"/>
      <c r="B826" s="2"/>
      <c r="C826" s="2"/>
      <c r="D826" s="2"/>
      <c r="E826" s="2"/>
      <c r="F826" s="2"/>
      <c r="G826" s="2"/>
      <c r="H826" s="2"/>
    </row>
    <row r="827" spans="1:8" ht="15.75" customHeight="1" x14ac:dyDescent="0.3">
      <c r="A827" s="2"/>
      <c r="B827" s="2"/>
      <c r="C827" s="2"/>
      <c r="D827" s="2"/>
      <c r="E827" s="2"/>
      <c r="F827" s="2"/>
      <c r="G827" s="2"/>
      <c r="H827" s="2"/>
    </row>
    <row r="828" spans="1:8" ht="15.75" customHeight="1" x14ac:dyDescent="0.3">
      <c r="A828" s="2"/>
      <c r="B828" s="2"/>
      <c r="C828" s="2"/>
      <c r="D828" s="2"/>
      <c r="E828" s="2"/>
      <c r="F828" s="2"/>
      <c r="G828" s="2"/>
      <c r="H828" s="2"/>
    </row>
    <row r="829" spans="1:8" ht="15.75" customHeight="1" x14ac:dyDescent="0.3">
      <c r="A829" s="2"/>
      <c r="B829" s="2"/>
      <c r="C829" s="2"/>
      <c r="D829" s="2"/>
      <c r="E829" s="2"/>
      <c r="F829" s="2"/>
      <c r="G829" s="2"/>
      <c r="H829" s="2"/>
    </row>
    <row r="830" spans="1:8" ht="15.75" customHeight="1" x14ac:dyDescent="0.3">
      <c r="A830" s="2"/>
      <c r="B830" s="2"/>
      <c r="C830" s="2"/>
      <c r="D830" s="2"/>
      <c r="E830" s="2"/>
      <c r="F830" s="2"/>
      <c r="G830" s="2"/>
      <c r="H830" s="2"/>
    </row>
    <row r="831" spans="1:8" ht="15.75" customHeight="1" x14ac:dyDescent="0.3">
      <c r="A831" s="2"/>
      <c r="B831" s="2"/>
      <c r="C831" s="2"/>
      <c r="D831" s="2"/>
      <c r="E831" s="2"/>
      <c r="F831" s="2"/>
      <c r="G831" s="2"/>
      <c r="H831" s="2"/>
    </row>
    <row r="832" spans="1:8" ht="15.75" customHeight="1" x14ac:dyDescent="0.3">
      <c r="A832" s="2"/>
      <c r="B832" s="2"/>
      <c r="C832" s="2"/>
      <c r="D832" s="2"/>
      <c r="E832" s="2"/>
      <c r="F832" s="2"/>
      <c r="G832" s="2"/>
      <c r="H832" s="2"/>
    </row>
    <row r="833" spans="1:8" ht="15.75" customHeight="1" x14ac:dyDescent="0.3">
      <c r="A833" s="2"/>
      <c r="B833" s="2"/>
      <c r="C833" s="2"/>
      <c r="D833" s="2"/>
      <c r="E833" s="2"/>
      <c r="F833" s="2"/>
      <c r="G833" s="2"/>
      <c r="H833" s="2"/>
    </row>
    <row r="834" spans="1:8" ht="15.75" customHeight="1" x14ac:dyDescent="0.3">
      <c r="A834" s="2"/>
      <c r="B834" s="2"/>
      <c r="C834" s="2"/>
      <c r="D834" s="2"/>
      <c r="E834" s="2"/>
      <c r="F834" s="2"/>
      <c r="G834" s="2"/>
      <c r="H834" s="2"/>
    </row>
    <row r="835" spans="1:8" ht="15.75" customHeight="1" x14ac:dyDescent="0.3">
      <c r="A835" s="2"/>
      <c r="B835" s="2"/>
      <c r="C835" s="2"/>
      <c r="D835" s="2"/>
      <c r="E835" s="2"/>
      <c r="F835" s="2"/>
      <c r="G835" s="2"/>
      <c r="H835" s="2"/>
    </row>
    <row r="836" spans="1:8" ht="15.75" customHeight="1" x14ac:dyDescent="0.3">
      <c r="A836" s="2"/>
      <c r="B836" s="2"/>
      <c r="C836" s="2"/>
      <c r="D836" s="2"/>
      <c r="E836" s="2"/>
      <c r="F836" s="2"/>
      <c r="G836" s="2"/>
      <c r="H836" s="2"/>
    </row>
    <row r="837" spans="1:8" ht="15.75" customHeight="1" x14ac:dyDescent="0.3">
      <c r="A837" s="2"/>
      <c r="B837" s="2"/>
      <c r="C837" s="2"/>
      <c r="D837" s="2"/>
      <c r="E837" s="2"/>
      <c r="F837" s="2"/>
      <c r="G837" s="2"/>
      <c r="H837" s="2"/>
    </row>
    <row r="838" spans="1:8" ht="15.75" customHeight="1" x14ac:dyDescent="0.3">
      <c r="A838" s="2"/>
      <c r="B838" s="2"/>
      <c r="C838" s="2"/>
      <c r="D838" s="2"/>
      <c r="E838" s="2"/>
      <c r="F838" s="2"/>
      <c r="G838" s="2"/>
      <c r="H838" s="2"/>
    </row>
    <row r="839" spans="1:8" ht="15.75" customHeight="1" x14ac:dyDescent="0.3">
      <c r="A839" s="2"/>
      <c r="B839" s="2"/>
      <c r="C839" s="2"/>
      <c r="D839" s="2"/>
      <c r="E839" s="2"/>
      <c r="F839" s="2"/>
      <c r="G839" s="2"/>
      <c r="H839" s="2"/>
    </row>
    <row r="840" spans="1:8" ht="15.75" customHeight="1" x14ac:dyDescent="0.3">
      <c r="A840" s="2"/>
      <c r="B840" s="2"/>
      <c r="C840" s="2"/>
      <c r="D840" s="2"/>
      <c r="E840" s="2"/>
      <c r="F840" s="2"/>
      <c r="G840" s="2"/>
      <c r="H840" s="2"/>
    </row>
    <row r="841" spans="1:8" ht="15.75" customHeight="1" x14ac:dyDescent="0.3">
      <c r="A841" s="2"/>
      <c r="B841" s="2"/>
      <c r="C841" s="2"/>
      <c r="D841" s="2"/>
      <c r="E841" s="2"/>
      <c r="F841" s="2"/>
      <c r="G841" s="2"/>
      <c r="H841" s="2"/>
    </row>
    <row r="842" spans="1:8" ht="15.75" customHeight="1" x14ac:dyDescent="0.3">
      <c r="A842" s="2"/>
      <c r="B842" s="2"/>
      <c r="C842" s="2"/>
      <c r="D842" s="2"/>
      <c r="E842" s="2"/>
      <c r="F842" s="2"/>
      <c r="G842" s="2"/>
      <c r="H842" s="2"/>
    </row>
    <row r="843" spans="1:8" ht="15.75" customHeight="1" x14ac:dyDescent="0.3">
      <c r="A843" s="2"/>
      <c r="B843" s="2"/>
      <c r="C843" s="2"/>
      <c r="D843" s="2"/>
      <c r="E843" s="2"/>
      <c r="F843" s="2"/>
      <c r="G843" s="2"/>
      <c r="H843" s="2"/>
    </row>
    <row r="844" spans="1:8" ht="15.75" customHeight="1" x14ac:dyDescent="0.3">
      <c r="A844" s="2"/>
      <c r="B844" s="2"/>
      <c r="C844" s="2"/>
      <c r="D844" s="2"/>
      <c r="E844" s="2"/>
      <c r="F844" s="2"/>
      <c r="G844" s="2"/>
      <c r="H844" s="2"/>
    </row>
    <row r="845" spans="1:8" ht="15.75" customHeight="1" x14ac:dyDescent="0.3">
      <c r="A845" s="2"/>
      <c r="B845" s="2"/>
      <c r="C845" s="2"/>
      <c r="D845" s="2"/>
      <c r="E845" s="2"/>
      <c r="F845" s="2"/>
      <c r="G845" s="2"/>
      <c r="H845" s="2"/>
    </row>
    <row r="846" spans="1:8" ht="15.75" customHeight="1" x14ac:dyDescent="0.3">
      <c r="A846" s="2"/>
      <c r="B846" s="2"/>
      <c r="C846" s="2"/>
      <c r="D846" s="2"/>
      <c r="E846" s="2"/>
      <c r="F846" s="2"/>
      <c r="G846" s="2"/>
      <c r="H846" s="2"/>
    </row>
    <row r="847" spans="1:8" ht="15.75" customHeight="1" x14ac:dyDescent="0.3">
      <c r="A847" s="2"/>
      <c r="B847" s="2"/>
      <c r="C847" s="2"/>
      <c r="D847" s="2"/>
      <c r="E847" s="2"/>
      <c r="F847" s="2"/>
      <c r="G847" s="2"/>
      <c r="H847" s="2"/>
    </row>
    <row r="848" spans="1:8" ht="15.75" customHeight="1" x14ac:dyDescent="0.3">
      <c r="A848" s="2"/>
      <c r="B848" s="2"/>
      <c r="C848" s="2"/>
      <c r="D848" s="2"/>
      <c r="E848" s="2"/>
      <c r="F848" s="2"/>
      <c r="G848" s="2"/>
      <c r="H848" s="2"/>
    </row>
    <row r="849" spans="1:8" ht="15.75" customHeight="1" x14ac:dyDescent="0.3">
      <c r="A849" s="2"/>
      <c r="B849" s="2"/>
      <c r="C849" s="2"/>
      <c r="D849" s="2"/>
      <c r="E849" s="2"/>
      <c r="F849" s="2"/>
      <c r="G849" s="2"/>
      <c r="H849" s="2"/>
    </row>
    <row r="850" spans="1:8" ht="15.75" customHeight="1" x14ac:dyDescent="0.3">
      <c r="A850" s="2"/>
      <c r="B850" s="2"/>
      <c r="C850" s="2"/>
      <c r="D850" s="2"/>
      <c r="E850" s="2"/>
      <c r="F850" s="2"/>
      <c r="G850" s="2"/>
      <c r="H850" s="2"/>
    </row>
    <row r="851" spans="1:8" ht="15.75" customHeight="1" x14ac:dyDescent="0.3">
      <c r="A851" s="2"/>
      <c r="B851" s="2"/>
      <c r="C851" s="2"/>
      <c r="D851" s="2"/>
      <c r="E851" s="2"/>
      <c r="F851" s="2"/>
      <c r="G851" s="2"/>
      <c r="H851" s="2"/>
    </row>
    <row r="852" spans="1:8" ht="15.75" customHeight="1" x14ac:dyDescent="0.3">
      <c r="A852" s="2"/>
      <c r="B852" s="2"/>
      <c r="C852" s="2"/>
      <c r="D852" s="2"/>
      <c r="E852" s="2"/>
      <c r="F852" s="2"/>
      <c r="G852" s="2"/>
      <c r="H852" s="2"/>
    </row>
    <row r="853" spans="1:8" ht="15.75" customHeight="1" x14ac:dyDescent="0.3">
      <c r="A853" s="2"/>
      <c r="B853" s="2"/>
      <c r="C853" s="2"/>
      <c r="D853" s="2"/>
      <c r="E853" s="2"/>
      <c r="F853" s="2"/>
      <c r="G853" s="2"/>
      <c r="H853" s="2"/>
    </row>
    <row r="854" spans="1:8" ht="15.75" customHeight="1" x14ac:dyDescent="0.3">
      <c r="A854" s="2"/>
      <c r="B854" s="2"/>
      <c r="C854" s="2"/>
      <c r="D854" s="2"/>
      <c r="E854" s="2"/>
      <c r="F854" s="2"/>
      <c r="G854" s="2"/>
      <c r="H854" s="2"/>
    </row>
    <row r="855" spans="1:8" ht="15.75" customHeight="1" x14ac:dyDescent="0.3">
      <c r="A855" s="2"/>
      <c r="B855" s="2"/>
      <c r="C855" s="2"/>
      <c r="D855" s="2"/>
      <c r="E855" s="2"/>
      <c r="F855" s="2"/>
      <c r="G855" s="2"/>
      <c r="H855" s="2"/>
    </row>
    <row r="856" spans="1:8" ht="15.75" customHeight="1" x14ac:dyDescent="0.3">
      <c r="A856" s="2"/>
      <c r="B856" s="2"/>
      <c r="C856" s="2"/>
      <c r="D856" s="2"/>
      <c r="E856" s="2"/>
      <c r="F856" s="2"/>
      <c r="G856" s="2"/>
      <c r="H856" s="2"/>
    </row>
    <row r="857" spans="1:8" ht="15.75" customHeight="1" x14ac:dyDescent="0.3">
      <c r="A857" s="2"/>
      <c r="B857" s="2"/>
      <c r="C857" s="2"/>
      <c r="D857" s="2"/>
      <c r="E857" s="2"/>
      <c r="F857" s="2"/>
      <c r="G857" s="2"/>
      <c r="H857" s="2"/>
    </row>
    <row r="858" spans="1:8" ht="15.75" customHeight="1" x14ac:dyDescent="0.3">
      <c r="A858" s="2"/>
      <c r="B858" s="2"/>
      <c r="C858" s="2"/>
      <c r="D858" s="2"/>
      <c r="E858" s="2"/>
      <c r="F858" s="2"/>
      <c r="G858" s="2"/>
      <c r="H858" s="2"/>
    </row>
    <row r="859" spans="1:8" ht="15.75" customHeight="1" x14ac:dyDescent="0.3">
      <c r="A859" s="2"/>
      <c r="B859" s="2"/>
      <c r="C859" s="2"/>
      <c r="D859" s="2"/>
      <c r="E859" s="2"/>
      <c r="F859" s="2"/>
      <c r="G859" s="2"/>
      <c r="H859" s="2"/>
    </row>
    <row r="860" spans="1:8" ht="15.75" customHeight="1" x14ac:dyDescent="0.3">
      <c r="A860" s="2"/>
      <c r="B860" s="2"/>
      <c r="C860" s="2"/>
      <c r="D860" s="2"/>
      <c r="E860" s="2"/>
      <c r="F860" s="2"/>
      <c r="G860" s="2"/>
      <c r="H860" s="2"/>
    </row>
    <row r="861" spans="1:8" ht="15.75" customHeight="1" x14ac:dyDescent="0.3">
      <c r="A861" s="2"/>
      <c r="B861" s="2"/>
      <c r="C861" s="2"/>
      <c r="D861" s="2"/>
      <c r="E861" s="2"/>
      <c r="F861" s="2"/>
      <c r="G861" s="2"/>
      <c r="H861" s="2"/>
    </row>
    <row r="862" spans="1:8" ht="15.75" customHeight="1" x14ac:dyDescent="0.3">
      <c r="A862" s="2"/>
      <c r="B862" s="2"/>
      <c r="C862" s="2"/>
      <c r="D862" s="2"/>
      <c r="E862" s="2"/>
      <c r="F862" s="2"/>
      <c r="G862" s="2"/>
      <c r="H862" s="2"/>
    </row>
    <row r="863" spans="1:8" ht="15.75" customHeight="1" x14ac:dyDescent="0.3">
      <c r="A863" s="2"/>
      <c r="B863" s="2"/>
      <c r="C863" s="2"/>
      <c r="D863" s="2"/>
      <c r="E863" s="2"/>
      <c r="F863" s="2"/>
      <c r="G863" s="2"/>
      <c r="H863" s="2"/>
    </row>
    <row r="864" spans="1:8" ht="15.75" customHeight="1" x14ac:dyDescent="0.3">
      <c r="A864" s="2"/>
      <c r="B864" s="2"/>
      <c r="C864" s="2"/>
      <c r="D864" s="2"/>
      <c r="E864" s="2"/>
      <c r="F864" s="2"/>
      <c r="G864" s="2"/>
      <c r="H864" s="2"/>
    </row>
    <row r="865" spans="1:8" ht="15.75" customHeight="1" x14ac:dyDescent="0.3">
      <c r="A865" s="2"/>
      <c r="B865" s="2"/>
      <c r="C865" s="2"/>
      <c r="D865" s="2"/>
      <c r="E865" s="2"/>
      <c r="F865" s="2"/>
      <c r="G865" s="2"/>
      <c r="H865" s="2"/>
    </row>
    <row r="866" spans="1:8" ht="15.75" customHeight="1" x14ac:dyDescent="0.3">
      <c r="A866" s="2"/>
      <c r="B866" s="2"/>
      <c r="C866" s="2"/>
      <c r="D866" s="2"/>
      <c r="E866" s="2"/>
      <c r="F866" s="2"/>
      <c r="G866" s="2"/>
      <c r="H866" s="2"/>
    </row>
    <row r="867" spans="1:8" ht="15.75" customHeight="1" x14ac:dyDescent="0.3">
      <c r="A867" s="2"/>
      <c r="B867" s="2"/>
      <c r="C867" s="2"/>
      <c r="D867" s="2"/>
      <c r="E867" s="2"/>
      <c r="F867" s="2"/>
      <c r="G867" s="2"/>
      <c r="H867" s="2"/>
    </row>
    <row r="868" spans="1:8" ht="15.75" customHeight="1" x14ac:dyDescent="0.3">
      <c r="A868" s="2"/>
      <c r="B868" s="2"/>
      <c r="C868" s="2"/>
      <c r="D868" s="2"/>
      <c r="E868" s="2"/>
      <c r="F868" s="2"/>
      <c r="G868" s="2"/>
      <c r="H868" s="2"/>
    </row>
    <row r="869" spans="1:8" ht="15.75" customHeight="1" x14ac:dyDescent="0.3">
      <c r="A869" s="2"/>
      <c r="B869" s="2"/>
      <c r="C869" s="2"/>
      <c r="D869" s="2"/>
      <c r="E869" s="2"/>
      <c r="F869" s="2"/>
      <c r="G869" s="2"/>
      <c r="H869" s="2"/>
    </row>
    <row r="870" spans="1:8" ht="15.75" customHeight="1" x14ac:dyDescent="0.3">
      <c r="A870" s="2"/>
      <c r="B870" s="2"/>
      <c r="C870" s="2"/>
      <c r="D870" s="2"/>
      <c r="E870" s="2"/>
      <c r="F870" s="2"/>
      <c r="G870" s="2"/>
      <c r="H870" s="2"/>
    </row>
    <row r="871" spans="1:8" ht="15.75" customHeight="1" x14ac:dyDescent="0.3">
      <c r="A871" s="2"/>
      <c r="B871" s="2"/>
      <c r="C871" s="2"/>
      <c r="D871" s="2"/>
      <c r="E871" s="2"/>
      <c r="F871" s="2"/>
      <c r="G871" s="2"/>
      <c r="H871" s="2"/>
    </row>
    <row r="872" spans="1:8" ht="15.75" customHeight="1" x14ac:dyDescent="0.3">
      <c r="A872" s="2"/>
      <c r="B872" s="2"/>
      <c r="C872" s="2"/>
      <c r="D872" s="2"/>
      <c r="E872" s="2"/>
      <c r="F872" s="2"/>
      <c r="G872" s="2"/>
      <c r="H872" s="2"/>
    </row>
    <row r="873" spans="1:8" ht="15.75" customHeight="1" x14ac:dyDescent="0.3">
      <c r="A873" s="2"/>
      <c r="B873" s="2"/>
      <c r="C873" s="2"/>
      <c r="D873" s="2"/>
      <c r="E873" s="2"/>
      <c r="F873" s="2"/>
      <c r="G873" s="2"/>
      <c r="H873" s="2"/>
    </row>
    <row r="874" spans="1:8" ht="15.75" customHeight="1" x14ac:dyDescent="0.3">
      <c r="A874" s="2"/>
      <c r="B874" s="2"/>
      <c r="C874" s="2"/>
      <c r="D874" s="2"/>
      <c r="E874" s="2"/>
      <c r="F874" s="2"/>
      <c r="G874" s="2"/>
      <c r="H874" s="2"/>
    </row>
    <row r="875" spans="1:8" ht="15.75" customHeight="1" x14ac:dyDescent="0.3">
      <c r="A875" s="2"/>
      <c r="B875" s="2"/>
      <c r="C875" s="2"/>
      <c r="D875" s="2"/>
      <c r="E875" s="2"/>
      <c r="F875" s="2"/>
      <c r="G875" s="2"/>
      <c r="H875" s="2"/>
    </row>
    <row r="876" spans="1:8" ht="15.75" customHeight="1" x14ac:dyDescent="0.3">
      <c r="A876" s="2"/>
      <c r="B876" s="2"/>
      <c r="C876" s="2"/>
      <c r="D876" s="2"/>
      <c r="E876" s="2"/>
      <c r="F876" s="2"/>
      <c r="G876" s="2"/>
      <c r="H876" s="2"/>
    </row>
    <row r="877" spans="1:8" ht="15.75" customHeight="1" x14ac:dyDescent="0.3">
      <c r="A877" s="2"/>
      <c r="B877" s="2"/>
      <c r="C877" s="2"/>
      <c r="D877" s="2"/>
      <c r="E877" s="2"/>
      <c r="F877" s="2"/>
      <c r="G877" s="2"/>
      <c r="H877" s="2"/>
    </row>
    <row r="878" spans="1:8" ht="15.75" customHeight="1" x14ac:dyDescent="0.3">
      <c r="A878" s="2"/>
      <c r="B878" s="2"/>
      <c r="C878" s="2"/>
      <c r="D878" s="2"/>
      <c r="E878" s="2"/>
      <c r="F878" s="2"/>
      <c r="G878" s="2"/>
      <c r="H878" s="2"/>
    </row>
    <row r="879" spans="1:8" ht="15.75" customHeight="1" x14ac:dyDescent="0.3">
      <c r="A879" s="2"/>
      <c r="B879" s="2"/>
      <c r="C879" s="2"/>
      <c r="D879" s="2"/>
      <c r="E879" s="2"/>
      <c r="F879" s="2"/>
      <c r="G879" s="2"/>
      <c r="H879" s="2"/>
    </row>
    <row r="880" spans="1:8" ht="15.75" customHeight="1" x14ac:dyDescent="0.3">
      <c r="A880" s="2"/>
      <c r="B880" s="2"/>
      <c r="C880" s="2"/>
      <c r="D880" s="2"/>
      <c r="E880" s="2"/>
      <c r="F880" s="2"/>
      <c r="G880" s="2"/>
      <c r="H880" s="2"/>
    </row>
    <row r="881" spans="1:8" ht="15.75" customHeight="1" x14ac:dyDescent="0.3">
      <c r="A881" s="2"/>
      <c r="B881" s="2"/>
      <c r="C881" s="2"/>
      <c r="D881" s="2"/>
      <c r="E881" s="2"/>
      <c r="F881" s="2"/>
      <c r="G881" s="2"/>
      <c r="H881" s="2"/>
    </row>
    <row r="882" spans="1:8" ht="15.75" customHeight="1" x14ac:dyDescent="0.3">
      <c r="A882" s="2"/>
      <c r="B882" s="2"/>
      <c r="C882" s="2"/>
      <c r="D882" s="2"/>
      <c r="E882" s="2"/>
      <c r="F882" s="2"/>
      <c r="G882" s="2"/>
      <c r="H882" s="2"/>
    </row>
    <row r="883" spans="1:8" ht="15.75" customHeight="1" x14ac:dyDescent="0.3">
      <c r="A883" s="2"/>
      <c r="B883" s="2"/>
      <c r="C883" s="2"/>
      <c r="D883" s="2"/>
      <c r="E883" s="2"/>
      <c r="F883" s="2"/>
      <c r="G883" s="2"/>
      <c r="H883" s="2"/>
    </row>
    <row r="884" spans="1:8" ht="15.75" customHeight="1" x14ac:dyDescent="0.3">
      <c r="A884" s="2"/>
      <c r="B884" s="2"/>
      <c r="C884" s="2"/>
      <c r="D884" s="2"/>
      <c r="E884" s="2"/>
      <c r="F884" s="2"/>
      <c r="G884" s="2"/>
      <c r="H884" s="2"/>
    </row>
    <row r="885" spans="1:8" ht="15.75" customHeight="1" x14ac:dyDescent="0.3">
      <c r="A885" s="2"/>
      <c r="B885" s="2"/>
      <c r="C885" s="2"/>
      <c r="D885" s="2"/>
      <c r="E885" s="2"/>
      <c r="F885" s="2"/>
      <c r="G885" s="2"/>
      <c r="H885" s="2"/>
    </row>
    <row r="886" spans="1:8" ht="15.75" customHeight="1" x14ac:dyDescent="0.3">
      <c r="A886" s="2"/>
      <c r="B886" s="2"/>
      <c r="C886" s="2"/>
      <c r="D886" s="2"/>
      <c r="E886" s="2"/>
      <c r="F886" s="2"/>
      <c r="G886" s="2"/>
      <c r="H886" s="2"/>
    </row>
    <row r="887" spans="1:8" ht="15.75" customHeight="1" x14ac:dyDescent="0.3">
      <c r="A887" s="2"/>
      <c r="B887" s="2"/>
      <c r="C887" s="2"/>
      <c r="D887" s="2"/>
      <c r="E887" s="2"/>
      <c r="F887" s="2"/>
      <c r="G887" s="2"/>
      <c r="H887" s="2"/>
    </row>
    <row r="888" spans="1:8" ht="15.75" customHeight="1" x14ac:dyDescent="0.3">
      <c r="A888" s="2"/>
      <c r="B888" s="2"/>
      <c r="C888" s="2"/>
      <c r="D888" s="2"/>
      <c r="E888" s="2"/>
      <c r="F888" s="2"/>
      <c r="G888" s="2"/>
      <c r="H888" s="2"/>
    </row>
    <row r="889" spans="1:8" ht="15.75" customHeight="1" x14ac:dyDescent="0.3">
      <c r="A889" s="2"/>
      <c r="B889" s="2"/>
      <c r="C889" s="2"/>
      <c r="D889" s="2"/>
      <c r="E889" s="2"/>
      <c r="F889" s="2"/>
      <c r="G889" s="2"/>
      <c r="H889" s="2"/>
    </row>
    <row r="890" spans="1:8" ht="15.75" customHeight="1" x14ac:dyDescent="0.3">
      <c r="A890" s="2"/>
      <c r="B890" s="2"/>
      <c r="C890" s="2"/>
      <c r="D890" s="2"/>
      <c r="E890" s="2"/>
      <c r="F890" s="2"/>
      <c r="G890" s="2"/>
      <c r="H890" s="2"/>
    </row>
    <row r="891" spans="1:8" ht="15.75" customHeight="1" x14ac:dyDescent="0.3">
      <c r="A891" s="2"/>
      <c r="B891" s="2"/>
      <c r="C891" s="2"/>
      <c r="D891" s="2"/>
      <c r="E891" s="2"/>
      <c r="F891" s="2"/>
      <c r="G891" s="2"/>
      <c r="H891" s="2"/>
    </row>
    <row r="892" spans="1:8" ht="15.75" customHeight="1" x14ac:dyDescent="0.3">
      <c r="A892" s="2"/>
      <c r="B892" s="2"/>
      <c r="C892" s="2"/>
      <c r="D892" s="2"/>
      <c r="E892" s="2"/>
      <c r="F892" s="2"/>
      <c r="G892" s="2"/>
      <c r="H892" s="2"/>
    </row>
    <row r="893" spans="1:8" ht="15.75" customHeight="1" x14ac:dyDescent="0.3">
      <c r="A893" s="2"/>
      <c r="B893" s="2"/>
      <c r="C893" s="2"/>
      <c r="D893" s="2"/>
      <c r="E893" s="2"/>
      <c r="F893" s="2"/>
      <c r="G893" s="2"/>
      <c r="H893" s="2"/>
    </row>
    <row r="894" spans="1:8" ht="15.75" customHeight="1" x14ac:dyDescent="0.3">
      <c r="A894" s="2"/>
      <c r="B894" s="2"/>
      <c r="C894" s="2"/>
      <c r="D894" s="2"/>
      <c r="E894" s="2"/>
      <c r="F894" s="2"/>
      <c r="G894" s="2"/>
      <c r="H894" s="2"/>
    </row>
    <row r="895" spans="1:8" ht="15.75" customHeight="1" x14ac:dyDescent="0.3">
      <c r="A895" s="2"/>
      <c r="B895" s="2"/>
      <c r="C895" s="2"/>
      <c r="D895" s="2"/>
      <c r="E895" s="2"/>
      <c r="F895" s="2"/>
      <c r="G895" s="2"/>
      <c r="H895" s="2"/>
    </row>
    <row r="896" spans="1:8" ht="15.75" customHeight="1" x14ac:dyDescent="0.3">
      <c r="A896" s="2"/>
      <c r="B896" s="2"/>
      <c r="C896" s="2"/>
      <c r="D896" s="2"/>
      <c r="E896" s="2"/>
      <c r="F896" s="2"/>
      <c r="G896" s="2"/>
      <c r="H896" s="2"/>
    </row>
    <row r="897" spans="1:8" ht="15.75" customHeight="1" x14ac:dyDescent="0.3">
      <c r="A897" s="2"/>
      <c r="B897" s="2"/>
      <c r="C897" s="2"/>
      <c r="D897" s="2"/>
      <c r="E897" s="2"/>
      <c r="F897" s="2"/>
      <c r="G897" s="2"/>
      <c r="H897" s="2"/>
    </row>
    <row r="898" spans="1:8" ht="15.75" customHeight="1" x14ac:dyDescent="0.3">
      <c r="A898" s="2"/>
      <c r="B898" s="2"/>
      <c r="C898" s="2"/>
      <c r="D898" s="2"/>
      <c r="E898" s="2"/>
      <c r="F898" s="2"/>
      <c r="G898" s="2"/>
      <c r="H898" s="2"/>
    </row>
    <row r="899" spans="1:8" ht="15.75" customHeight="1" x14ac:dyDescent="0.3">
      <c r="A899" s="2"/>
      <c r="B899" s="2"/>
      <c r="C899" s="2"/>
      <c r="D899" s="2"/>
      <c r="E899" s="2"/>
      <c r="F899" s="2"/>
      <c r="G899" s="2"/>
      <c r="H899" s="2"/>
    </row>
    <row r="900" spans="1:8" ht="15.75" customHeight="1" x14ac:dyDescent="0.3">
      <c r="A900" s="2"/>
      <c r="B900" s="2"/>
      <c r="C900" s="2"/>
      <c r="D900" s="2"/>
      <c r="E900" s="2"/>
      <c r="F900" s="2"/>
      <c r="G900" s="2"/>
      <c r="H900" s="2"/>
    </row>
    <row r="901" spans="1:8" ht="15.75" customHeight="1" x14ac:dyDescent="0.3">
      <c r="A901" s="2"/>
      <c r="B901" s="2"/>
      <c r="C901" s="2"/>
      <c r="D901" s="2"/>
      <c r="E901" s="2"/>
      <c r="F901" s="2"/>
      <c r="G901" s="2"/>
      <c r="H901" s="2"/>
    </row>
    <row r="902" spans="1:8" ht="15.75" customHeight="1" x14ac:dyDescent="0.3">
      <c r="A902" s="2"/>
      <c r="B902" s="2"/>
      <c r="C902" s="2"/>
      <c r="D902" s="2"/>
      <c r="E902" s="2"/>
      <c r="F902" s="2"/>
      <c r="G902" s="2"/>
      <c r="H902" s="2"/>
    </row>
    <row r="903" spans="1:8" ht="15.75" customHeight="1" x14ac:dyDescent="0.3">
      <c r="A903" s="2"/>
      <c r="B903" s="2"/>
      <c r="C903" s="2"/>
      <c r="D903" s="2"/>
      <c r="E903" s="2"/>
      <c r="F903" s="2"/>
      <c r="G903" s="2"/>
      <c r="H903" s="2"/>
    </row>
    <row r="904" spans="1:8" ht="15.75" customHeight="1" x14ac:dyDescent="0.3">
      <c r="A904" s="2"/>
      <c r="B904" s="2"/>
      <c r="C904" s="2"/>
      <c r="D904" s="2"/>
      <c r="E904" s="2"/>
      <c r="F904" s="2"/>
      <c r="G904" s="2"/>
      <c r="H904" s="2"/>
    </row>
    <row r="905" spans="1:8" ht="15.75" customHeight="1" x14ac:dyDescent="0.3">
      <c r="A905" s="2"/>
      <c r="B905" s="2"/>
      <c r="C905" s="2"/>
      <c r="D905" s="2"/>
      <c r="E905" s="2"/>
      <c r="F905" s="2"/>
      <c r="G905" s="2"/>
      <c r="H905" s="2"/>
    </row>
    <row r="906" spans="1:8" ht="15.75" customHeight="1" x14ac:dyDescent="0.3">
      <c r="A906" s="2"/>
      <c r="B906" s="2"/>
      <c r="C906" s="2"/>
      <c r="D906" s="2"/>
      <c r="E906" s="2"/>
      <c r="F906" s="2"/>
      <c r="G906" s="2"/>
      <c r="H906" s="2"/>
    </row>
    <row r="907" spans="1:8" ht="15.75" customHeight="1" x14ac:dyDescent="0.3">
      <c r="A907" s="2"/>
      <c r="B907" s="2"/>
      <c r="C907" s="2"/>
      <c r="D907" s="2"/>
      <c r="E907" s="2"/>
      <c r="F907" s="2"/>
      <c r="G907" s="2"/>
      <c r="H907" s="2"/>
    </row>
    <row r="908" spans="1:8" ht="15.75" customHeight="1" x14ac:dyDescent="0.3">
      <c r="A908" s="2"/>
      <c r="B908" s="2"/>
      <c r="C908" s="2"/>
      <c r="D908" s="2"/>
      <c r="E908" s="2"/>
      <c r="F908" s="2"/>
      <c r="G908" s="2"/>
      <c r="H908" s="2"/>
    </row>
    <row r="909" spans="1:8" ht="15.75" customHeight="1" x14ac:dyDescent="0.3">
      <c r="A909" s="2"/>
      <c r="B909" s="2"/>
      <c r="C909" s="2"/>
      <c r="D909" s="2"/>
      <c r="E909" s="2"/>
      <c r="F909" s="2"/>
      <c r="G909" s="2"/>
      <c r="H909" s="2"/>
    </row>
    <row r="910" spans="1:8" ht="15.75" customHeight="1" x14ac:dyDescent="0.3">
      <c r="A910" s="2"/>
      <c r="B910" s="2"/>
      <c r="C910" s="2"/>
      <c r="D910" s="2"/>
      <c r="E910" s="2"/>
      <c r="F910" s="2"/>
      <c r="G910" s="2"/>
      <c r="H910" s="2"/>
    </row>
    <row r="911" spans="1:8" ht="15.75" customHeight="1" x14ac:dyDescent="0.3">
      <c r="A911" s="2"/>
      <c r="B911" s="2"/>
      <c r="C911" s="2"/>
      <c r="D911" s="2"/>
      <c r="E911" s="2"/>
      <c r="F911" s="2"/>
      <c r="G911" s="2"/>
      <c r="H911" s="2"/>
    </row>
    <row r="912" spans="1:8" ht="15.75" customHeight="1" x14ac:dyDescent="0.3">
      <c r="A912" s="2"/>
      <c r="B912" s="2"/>
      <c r="C912" s="2"/>
      <c r="D912" s="2"/>
      <c r="E912" s="2"/>
      <c r="F912" s="2"/>
      <c r="G912" s="2"/>
      <c r="H912" s="2"/>
    </row>
    <row r="913" spans="1:8" ht="15.75" customHeight="1" x14ac:dyDescent="0.3">
      <c r="A913" s="2"/>
      <c r="B913" s="2"/>
      <c r="C913" s="2"/>
      <c r="D913" s="2"/>
      <c r="E913" s="2"/>
      <c r="F913" s="2"/>
      <c r="G913" s="2"/>
      <c r="H913" s="2"/>
    </row>
    <row r="914" spans="1:8" ht="15.75" customHeight="1" x14ac:dyDescent="0.3">
      <c r="A914" s="2"/>
      <c r="B914" s="2"/>
      <c r="C914" s="2"/>
      <c r="D914" s="2"/>
      <c r="E914" s="2"/>
      <c r="F914" s="2"/>
      <c r="G914" s="2"/>
      <c r="H914" s="2"/>
    </row>
    <row r="915" spans="1:8" ht="15.75" customHeight="1" x14ac:dyDescent="0.3">
      <c r="A915" s="2"/>
      <c r="B915" s="2"/>
      <c r="C915" s="2"/>
      <c r="D915" s="2"/>
      <c r="E915" s="2"/>
      <c r="F915" s="2"/>
      <c r="G915" s="2"/>
      <c r="H915" s="2"/>
    </row>
    <row r="916" spans="1:8" ht="15.75" customHeight="1" x14ac:dyDescent="0.3">
      <c r="A916" s="2"/>
      <c r="B916" s="2"/>
      <c r="C916" s="2"/>
      <c r="D916" s="2"/>
      <c r="E916" s="2"/>
      <c r="F916" s="2"/>
      <c r="G916" s="2"/>
      <c r="H916" s="2"/>
    </row>
    <row r="917" spans="1:8" ht="15.75" customHeight="1" x14ac:dyDescent="0.3">
      <c r="A917" s="2"/>
      <c r="B917" s="2"/>
      <c r="C917" s="2"/>
      <c r="D917" s="2"/>
      <c r="E917" s="2"/>
      <c r="F917" s="2"/>
      <c r="G917" s="2"/>
      <c r="H917" s="2"/>
    </row>
    <row r="918" spans="1:8" ht="15.75" customHeight="1" x14ac:dyDescent="0.3">
      <c r="A918" s="2"/>
      <c r="B918" s="2"/>
      <c r="C918" s="2"/>
      <c r="D918" s="2"/>
      <c r="E918" s="2"/>
      <c r="F918" s="2"/>
      <c r="G918" s="2"/>
      <c r="H918" s="2"/>
    </row>
    <row r="919" spans="1:8" ht="15.75" customHeight="1" x14ac:dyDescent="0.3">
      <c r="A919" s="2"/>
      <c r="B919" s="2"/>
      <c r="C919" s="2"/>
      <c r="D919" s="2"/>
      <c r="E919" s="2"/>
      <c r="F919" s="2"/>
      <c r="G919" s="2"/>
      <c r="H919" s="2"/>
    </row>
    <row r="920" spans="1:8" ht="15.75" customHeight="1" x14ac:dyDescent="0.3">
      <c r="A920" s="2"/>
      <c r="B920" s="2"/>
      <c r="C920" s="2"/>
      <c r="D920" s="2"/>
      <c r="E920" s="2"/>
      <c r="F920" s="2"/>
      <c r="G920" s="2"/>
      <c r="H920" s="2"/>
    </row>
    <row r="921" spans="1:8" ht="15.75" customHeight="1" x14ac:dyDescent="0.3">
      <c r="A921" s="2"/>
      <c r="B921" s="2"/>
      <c r="C921" s="2"/>
      <c r="D921" s="2"/>
      <c r="E921" s="2"/>
      <c r="F921" s="2"/>
      <c r="G921" s="2"/>
      <c r="H921" s="2"/>
    </row>
    <row r="922" spans="1:8" ht="15.75" customHeight="1" x14ac:dyDescent="0.3">
      <c r="A922" s="2"/>
      <c r="B922" s="2"/>
      <c r="C922" s="2"/>
      <c r="D922" s="2"/>
      <c r="E922" s="2"/>
      <c r="F922" s="2"/>
      <c r="G922" s="2"/>
      <c r="H922" s="2"/>
    </row>
    <row r="923" spans="1:8" ht="15.75" customHeight="1" x14ac:dyDescent="0.3">
      <c r="A923" s="2"/>
      <c r="B923" s="2"/>
      <c r="C923" s="2"/>
      <c r="D923" s="2"/>
      <c r="E923" s="2"/>
      <c r="F923" s="2"/>
      <c r="G923" s="2"/>
      <c r="H923" s="2"/>
    </row>
    <row r="924" spans="1:8" ht="15.75" customHeight="1" x14ac:dyDescent="0.3">
      <c r="A924" s="2"/>
      <c r="B924" s="2"/>
      <c r="C924" s="2"/>
      <c r="D924" s="2"/>
      <c r="E924" s="2"/>
      <c r="F924" s="2"/>
      <c r="G924" s="2"/>
      <c r="H924" s="2"/>
    </row>
    <row r="925" spans="1:8" ht="15.75" customHeight="1" x14ac:dyDescent="0.3">
      <c r="A925" s="2"/>
      <c r="B925" s="2"/>
      <c r="C925" s="2"/>
      <c r="D925" s="2"/>
      <c r="E925" s="2"/>
      <c r="F925" s="2"/>
      <c r="G925" s="2"/>
      <c r="H925" s="2"/>
    </row>
    <row r="926" spans="1:8" ht="15.75" customHeight="1" x14ac:dyDescent="0.3">
      <c r="A926" s="2"/>
      <c r="B926" s="2"/>
      <c r="C926" s="2"/>
      <c r="D926" s="2"/>
      <c r="E926" s="2"/>
      <c r="F926" s="2"/>
      <c r="G926" s="2"/>
      <c r="H926" s="2"/>
    </row>
    <row r="927" spans="1:8" ht="15.75" customHeight="1" x14ac:dyDescent="0.3">
      <c r="A927" s="2"/>
      <c r="B927" s="2"/>
      <c r="C927" s="2"/>
      <c r="D927" s="2"/>
      <c r="E927" s="2"/>
      <c r="F927" s="2"/>
      <c r="G927" s="2"/>
      <c r="H927" s="2"/>
    </row>
    <row r="928" spans="1:8" ht="15.75" customHeight="1" x14ac:dyDescent="0.3">
      <c r="A928" s="2"/>
      <c r="B928" s="2"/>
      <c r="C928" s="2"/>
      <c r="D928" s="2"/>
      <c r="E928" s="2"/>
      <c r="F928" s="2"/>
      <c r="G928" s="2"/>
      <c r="H928" s="2"/>
    </row>
    <row r="929" spans="1:8" ht="15.75" customHeight="1" x14ac:dyDescent="0.3">
      <c r="A929" s="2"/>
      <c r="B929" s="2"/>
      <c r="C929" s="2"/>
      <c r="D929" s="2"/>
      <c r="E929" s="2"/>
      <c r="F929" s="2"/>
      <c r="G929" s="2"/>
      <c r="H929" s="2"/>
    </row>
    <row r="930" spans="1:8" ht="15.75" customHeight="1" x14ac:dyDescent="0.3">
      <c r="A930" s="2"/>
      <c r="B930" s="2"/>
      <c r="C930" s="2"/>
      <c r="D930" s="2"/>
      <c r="E930" s="2"/>
      <c r="F930" s="2"/>
      <c r="G930" s="2"/>
      <c r="H930" s="2"/>
    </row>
    <row r="931" spans="1:8" ht="15.75" customHeight="1" x14ac:dyDescent="0.3">
      <c r="A931" s="2"/>
      <c r="B931" s="2"/>
      <c r="C931" s="2"/>
      <c r="D931" s="2"/>
      <c r="E931" s="2"/>
      <c r="F931" s="2"/>
      <c r="G931" s="2"/>
      <c r="H931" s="2"/>
    </row>
    <row r="932" spans="1:8" ht="15.75" customHeight="1" x14ac:dyDescent="0.3">
      <c r="A932" s="2"/>
      <c r="B932" s="2"/>
      <c r="C932" s="2"/>
      <c r="D932" s="2"/>
      <c r="E932" s="2"/>
      <c r="F932" s="2"/>
      <c r="G932" s="2"/>
      <c r="H932" s="2"/>
    </row>
    <row r="933" spans="1:8" ht="15.75" customHeight="1" x14ac:dyDescent="0.3">
      <c r="A933" s="2"/>
      <c r="B933" s="2"/>
      <c r="C933" s="2"/>
      <c r="D933" s="2"/>
      <c r="E933" s="2"/>
      <c r="F933" s="2"/>
      <c r="G933" s="2"/>
      <c r="H933" s="2"/>
    </row>
    <row r="934" spans="1:8" ht="15.75" customHeight="1" x14ac:dyDescent="0.3">
      <c r="A934" s="2"/>
      <c r="B934" s="2"/>
      <c r="C934" s="2"/>
      <c r="D934" s="2"/>
      <c r="E934" s="2"/>
      <c r="F934" s="2"/>
      <c r="G934" s="2"/>
      <c r="H934" s="2"/>
    </row>
    <row r="935" spans="1:8" ht="15.75" customHeight="1" x14ac:dyDescent="0.3">
      <c r="A935" s="2"/>
      <c r="B935" s="2"/>
      <c r="C935" s="2"/>
      <c r="D935" s="2"/>
      <c r="E935" s="2"/>
      <c r="F935" s="2"/>
      <c r="G935" s="2"/>
      <c r="H935" s="2"/>
    </row>
    <row r="936" spans="1:8" ht="15.75" customHeight="1" x14ac:dyDescent="0.3">
      <c r="A936" s="2"/>
      <c r="B936" s="2"/>
      <c r="C936" s="2"/>
      <c r="D936" s="2"/>
      <c r="E936" s="2"/>
      <c r="F936" s="2"/>
      <c r="G936" s="2"/>
      <c r="H936" s="2"/>
    </row>
    <row r="937" spans="1:8" ht="15.75" customHeight="1" x14ac:dyDescent="0.3">
      <c r="A937" s="2"/>
      <c r="B937" s="2"/>
      <c r="C937" s="2"/>
      <c r="D937" s="2"/>
      <c r="E937" s="2"/>
      <c r="F937" s="2"/>
      <c r="G937" s="2"/>
      <c r="H937" s="2"/>
    </row>
    <row r="938" spans="1:8" ht="15.75" customHeight="1" x14ac:dyDescent="0.3">
      <c r="A938" s="2"/>
      <c r="B938" s="2"/>
      <c r="C938" s="2"/>
      <c r="D938" s="2"/>
      <c r="E938" s="2"/>
      <c r="F938" s="2"/>
      <c r="G938" s="2"/>
      <c r="H938" s="2"/>
    </row>
    <row r="939" spans="1:8" ht="15.75" customHeight="1" x14ac:dyDescent="0.3">
      <c r="A939" s="2"/>
      <c r="B939" s="2"/>
      <c r="C939" s="2"/>
      <c r="D939" s="2"/>
      <c r="E939" s="2"/>
      <c r="F939" s="2"/>
      <c r="G939" s="2"/>
      <c r="H939" s="2"/>
    </row>
    <row r="940" spans="1:8" ht="15.75" customHeight="1" x14ac:dyDescent="0.3">
      <c r="A940" s="2"/>
      <c r="B940" s="2"/>
      <c r="C940" s="2"/>
      <c r="D940" s="2"/>
      <c r="E940" s="2"/>
      <c r="F940" s="2"/>
      <c r="G940" s="2"/>
      <c r="H940" s="2"/>
    </row>
    <row r="941" spans="1:8" ht="15.75" customHeight="1" x14ac:dyDescent="0.3">
      <c r="A941" s="2"/>
      <c r="B941" s="2"/>
      <c r="C941" s="2"/>
      <c r="D941" s="2"/>
      <c r="E941" s="2"/>
      <c r="F941" s="2"/>
      <c r="G941" s="2"/>
      <c r="H941" s="2"/>
    </row>
    <row r="942" spans="1:8" ht="15.75" customHeight="1" x14ac:dyDescent="0.3">
      <c r="A942" s="2"/>
      <c r="B942" s="2"/>
      <c r="C942" s="2"/>
      <c r="D942" s="2"/>
      <c r="E942" s="2"/>
      <c r="F942" s="2"/>
      <c r="G942" s="2"/>
      <c r="H942" s="2"/>
    </row>
    <row r="943" spans="1:8" ht="15.75" customHeight="1" x14ac:dyDescent="0.3">
      <c r="A943" s="2"/>
      <c r="B943" s="2"/>
      <c r="C943" s="2"/>
      <c r="D943" s="2"/>
      <c r="E943" s="2"/>
      <c r="F943" s="2"/>
      <c r="G943" s="2"/>
      <c r="H943" s="2"/>
    </row>
    <row r="944" spans="1:8" ht="15.75" customHeight="1" x14ac:dyDescent="0.3">
      <c r="A944" s="2"/>
      <c r="B944" s="2"/>
      <c r="C944" s="2"/>
      <c r="D944" s="2"/>
      <c r="E944" s="2"/>
      <c r="F944" s="2"/>
      <c r="G944" s="2"/>
      <c r="H944" s="2"/>
    </row>
    <row r="945" spans="1:8" ht="15.75" customHeight="1" x14ac:dyDescent="0.3">
      <c r="A945" s="2"/>
      <c r="B945" s="2"/>
      <c r="C945" s="2"/>
      <c r="D945" s="2"/>
      <c r="E945" s="2"/>
      <c r="F945" s="2"/>
      <c r="G945" s="2"/>
      <c r="H945" s="2"/>
    </row>
    <row r="946" spans="1:8" ht="15.75" customHeight="1" x14ac:dyDescent="0.3">
      <c r="A946" s="2"/>
      <c r="B946" s="2"/>
      <c r="C946" s="2"/>
      <c r="D946" s="2"/>
      <c r="E946" s="2"/>
      <c r="F946" s="2"/>
      <c r="G946" s="2"/>
      <c r="H946" s="2"/>
    </row>
    <row r="947" spans="1:8" ht="15.75" customHeight="1" x14ac:dyDescent="0.3">
      <c r="A947" s="2"/>
      <c r="B947" s="2"/>
      <c r="C947" s="2"/>
      <c r="D947" s="2"/>
      <c r="E947" s="2"/>
      <c r="F947" s="2"/>
      <c r="G947" s="2"/>
      <c r="H947" s="2"/>
    </row>
    <row r="948" spans="1:8" ht="15.75" customHeight="1" x14ac:dyDescent="0.3">
      <c r="A948" s="2"/>
      <c r="B948" s="2"/>
      <c r="C948" s="2"/>
      <c r="D948" s="2"/>
      <c r="E948" s="2"/>
      <c r="F948" s="2"/>
      <c r="G948" s="2"/>
      <c r="H948" s="2"/>
    </row>
    <row r="949" spans="1:8" ht="15.75" customHeight="1" x14ac:dyDescent="0.3">
      <c r="A949" s="2"/>
      <c r="B949" s="2"/>
      <c r="C949" s="2"/>
      <c r="D949" s="2"/>
      <c r="E949" s="2"/>
      <c r="F949" s="2"/>
      <c r="G949" s="2"/>
      <c r="H949" s="2"/>
    </row>
    <row r="950" spans="1:8" ht="15.75" customHeight="1" x14ac:dyDescent="0.3">
      <c r="A950" s="2"/>
      <c r="B950" s="2"/>
      <c r="C950" s="2"/>
      <c r="D950" s="2"/>
      <c r="E950" s="2"/>
      <c r="F950" s="2"/>
      <c r="G950" s="2"/>
      <c r="H950" s="2"/>
    </row>
    <row r="951" spans="1:8" ht="15.75" customHeight="1" x14ac:dyDescent="0.3">
      <c r="A951" s="2"/>
      <c r="B951" s="2"/>
      <c r="C951" s="2"/>
      <c r="D951" s="2"/>
      <c r="E951" s="2"/>
      <c r="F951" s="2"/>
      <c r="G951" s="2"/>
      <c r="H951" s="2"/>
    </row>
    <row r="952" spans="1:8" ht="15.75" customHeight="1" x14ac:dyDescent="0.3">
      <c r="A952" s="2"/>
      <c r="B952" s="2"/>
      <c r="C952" s="2"/>
      <c r="D952" s="2"/>
      <c r="E952" s="2"/>
      <c r="F952" s="2"/>
      <c r="G952" s="2"/>
      <c r="H952" s="2"/>
    </row>
    <row r="953" spans="1:8" ht="15.75" customHeight="1" x14ac:dyDescent="0.3">
      <c r="A953" s="2"/>
      <c r="B953" s="2"/>
      <c r="C953" s="2"/>
      <c r="D953" s="2"/>
      <c r="E953" s="2"/>
      <c r="F953" s="2"/>
      <c r="G953" s="2"/>
      <c r="H953" s="2"/>
    </row>
    <row r="954" spans="1:8" ht="15.75" customHeight="1" x14ac:dyDescent="0.3">
      <c r="A954" s="2"/>
      <c r="B954" s="2"/>
      <c r="C954" s="2"/>
      <c r="D954" s="2"/>
      <c r="E954" s="2"/>
      <c r="F954" s="2"/>
      <c r="G954" s="2"/>
      <c r="H954" s="2"/>
    </row>
    <row r="955" spans="1:8" ht="15.75" customHeight="1" x14ac:dyDescent="0.3">
      <c r="A955" s="2"/>
      <c r="B955" s="2"/>
      <c r="C955" s="2"/>
      <c r="D955" s="2"/>
      <c r="E955" s="2"/>
      <c r="F955" s="2"/>
      <c r="G955" s="2"/>
      <c r="H955" s="2"/>
    </row>
    <row r="956" spans="1:8" ht="15.75" customHeight="1" x14ac:dyDescent="0.3">
      <c r="A956" s="2"/>
      <c r="B956" s="2"/>
      <c r="C956" s="2"/>
      <c r="D956" s="2"/>
      <c r="E956" s="2"/>
      <c r="F956" s="2"/>
      <c r="G956" s="2"/>
      <c r="H956" s="2"/>
    </row>
    <row r="957" spans="1:8" ht="15.75" customHeight="1" x14ac:dyDescent="0.3">
      <c r="A957" s="2"/>
      <c r="B957" s="2"/>
      <c r="C957" s="2"/>
      <c r="D957" s="2"/>
      <c r="E957" s="2"/>
      <c r="F957" s="2"/>
      <c r="G957" s="2"/>
      <c r="H957" s="2"/>
    </row>
    <row r="958" spans="1:8" ht="15.75" customHeight="1" x14ac:dyDescent="0.3">
      <c r="A958" s="2"/>
      <c r="B958" s="2"/>
      <c r="C958" s="2"/>
      <c r="D958" s="2"/>
      <c r="E958" s="2"/>
      <c r="F958" s="2"/>
      <c r="G958" s="2"/>
      <c r="H958" s="2"/>
    </row>
    <row r="959" spans="1:8" ht="15.75" customHeight="1" x14ac:dyDescent="0.3">
      <c r="A959" s="2"/>
      <c r="B959" s="2"/>
      <c r="C959" s="2"/>
      <c r="D959" s="2"/>
      <c r="E959" s="2"/>
      <c r="F959" s="2"/>
      <c r="G959" s="2"/>
      <c r="H959" s="2"/>
    </row>
    <row r="960" spans="1:8" ht="15.75" customHeight="1" x14ac:dyDescent="0.3">
      <c r="A960" s="2"/>
      <c r="B960" s="2"/>
      <c r="C960" s="2"/>
      <c r="D960" s="2"/>
      <c r="E960" s="2"/>
      <c r="F960" s="2"/>
      <c r="G960" s="2"/>
      <c r="H960" s="2"/>
    </row>
    <row r="961" spans="1:8" ht="15.75" customHeight="1" x14ac:dyDescent="0.3">
      <c r="A961" s="2"/>
      <c r="B961" s="2"/>
      <c r="C961" s="2"/>
      <c r="D961" s="2"/>
      <c r="E961" s="2"/>
      <c r="F961" s="2"/>
      <c r="G961" s="2"/>
      <c r="H961" s="2"/>
    </row>
    <row r="962" spans="1:8" ht="15.75" customHeight="1" x14ac:dyDescent="0.3">
      <c r="A962" s="2"/>
      <c r="B962" s="2"/>
      <c r="C962" s="2"/>
      <c r="D962" s="2"/>
      <c r="E962" s="2"/>
      <c r="F962" s="2"/>
      <c r="G962" s="2"/>
      <c r="H962" s="2"/>
    </row>
    <row r="963" spans="1:8" ht="15.75" customHeight="1" x14ac:dyDescent="0.3">
      <c r="A963" s="2"/>
      <c r="B963" s="2"/>
      <c r="C963" s="2"/>
      <c r="D963" s="2"/>
      <c r="E963" s="2"/>
      <c r="F963" s="2"/>
      <c r="G963" s="2"/>
      <c r="H963" s="2"/>
    </row>
    <row r="964" spans="1:8" ht="15.75" customHeight="1" x14ac:dyDescent="0.3">
      <c r="A964" s="2"/>
      <c r="B964" s="2"/>
      <c r="C964" s="2"/>
      <c r="D964" s="2"/>
      <c r="E964" s="2"/>
      <c r="F964" s="2"/>
      <c r="G964" s="2"/>
      <c r="H964" s="2"/>
    </row>
    <row r="965" spans="1:8" ht="15.75" customHeight="1" x14ac:dyDescent="0.3">
      <c r="A965" s="2"/>
      <c r="B965" s="2"/>
      <c r="C965" s="2"/>
      <c r="D965" s="2"/>
      <c r="E965" s="2"/>
      <c r="F965" s="2"/>
      <c r="G965" s="2"/>
      <c r="H965" s="2"/>
    </row>
    <row r="966" spans="1:8" ht="15.75" customHeight="1" x14ac:dyDescent="0.3">
      <c r="A966" s="2"/>
      <c r="B966" s="2"/>
      <c r="C966" s="2"/>
      <c r="D966" s="2"/>
      <c r="E966" s="2"/>
      <c r="F966" s="2"/>
      <c r="G966" s="2"/>
      <c r="H966" s="2"/>
    </row>
    <row r="967" spans="1:8" ht="15.75" customHeight="1" x14ac:dyDescent="0.3">
      <c r="A967" s="2"/>
      <c r="B967" s="2"/>
      <c r="C967" s="2"/>
      <c r="D967" s="2"/>
      <c r="E967" s="2"/>
      <c r="F967" s="2"/>
      <c r="G967" s="2"/>
      <c r="H967" s="2"/>
    </row>
    <row r="968" spans="1:8" ht="15.75" customHeight="1" x14ac:dyDescent="0.3">
      <c r="A968" s="2"/>
      <c r="B968" s="2"/>
      <c r="C968" s="2"/>
      <c r="D968" s="2"/>
      <c r="E968" s="2"/>
      <c r="F968" s="2"/>
      <c r="G968" s="2"/>
      <c r="H968" s="2"/>
    </row>
    <row r="969" spans="1:8" ht="15.75" customHeight="1" x14ac:dyDescent="0.3">
      <c r="A969" s="2"/>
      <c r="B969" s="2"/>
      <c r="C969" s="2"/>
      <c r="D969" s="2"/>
      <c r="E969" s="2"/>
      <c r="F969" s="2"/>
      <c r="G969" s="2"/>
      <c r="H969" s="2"/>
    </row>
    <row r="970" spans="1:8" ht="15.75" customHeight="1" x14ac:dyDescent="0.3">
      <c r="A970" s="2"/>
      <c r="B970" s="2"/>
      <c r="C970" s="2"/>
      <c r="D970" s="2"/>
      <c r="E970" s="2"/>
      <c r="F970" s="2"/>
      <c r="G970" s="2"/>
      <c r="H970" s="2"/>
    </row>
    <row r="971" spans="1:8" ht="15.75" customHeight="1" x14ac:dyDescent="0.3">
      <c r="A971" s="2"/>
      <c r="B971" s="2"/>
      <c r="C971" s="2"/>
      <c r="D971" s="2"/>
      <c r="E971" s="2"/>
      <c r="F971" s="2"/>
      <c r="G971" s="2"/>
      <c r="H971" s="2"/>
    </row>
    <row r="972" spans="1:8" ht="15.75" customHeight="1" x14ac:dyDescent="0.3">
      <c r="A972" s="2"/>
      <c r="B972" s="2"/>
      <c r="C972" s="2"/>
      <c r="D972" s="2"/>
      <c r="E972" s="2"/>
      <c r="F972" s="2"/>
      <c r="G972" s="2"/>
      <c r="H972" s="2"/>
    </row>
    <row r="973" spans="1:8" ht="15.75" customHeight="1" x14ac:dyDescent="0.3">
      <c r="A973" s="2"/>
      <c r="B973" s="2"/>
      <c r="C973" s="2"/>
      <c r="D973" s="2"/>
      <c r="E973" s="2"/>
      <c r="F973" s="2"/>
      <c r="G973" s="2"/>
      <c r="H973" s="2"/>
    </row>
    <row r="974" spans="1:8" ht="15.75" customHeight="1" x14ac:dyDescent="0.3">
      <c r="A974" s="2"/>
      <c r="B974" s="2"/>
      <c r="C974" s="2"/>
      <c r="D974" s="2"/>
      <c r="E974" s="2"/>
      <c r="F974" s="2"/>
      <c r="G974" s="2"/>
      <c r="H974" s="2"/>
    </row>
    <row r="975" spans="1:8" ht="15.75" customHeight="1" x14ac:dyDescent="0.3">
      <c r="A975" s="2"/>
      <c r="B975" s="2"/>
      <c r="C975" s="2"/>
      <c r="D975" s="2"/>
      <c r="E975" s="2"/>
      <c r="F975" s="2"/>
      <c r="G975" s="2"/>
      <c r="H975" s="2"/>
    </row>
    <row r="976" spans="1:8" ht="15.75" customHeight="1" x14ac:dyDescent="0.3">
      <c r="A976" s="2"/>
      <c r="B976" s="2"/>
      <c r="C976" s="2"/>
      <c r="D976" s="2"/>
      <c r="E976" s="2"/>
      <c r="F976" s="2"/>
      <c r="G976" s="2"/>
      <c r="H976" s="2"/>
    </row>
    <row r="977" spans="1:8" ht="15.75" customHeight="1" x14ac:dyDescent="0.3">
      <c r="A977" s="2"/>
      <c r="B977" s="2"/>
      <c r="C977" s="2"/>
      <c r="D977" s="2"/>
      <c r="E977" s="2"/>
      <c r="F977" s="2"/>
      <c r="G977" s="2"/>
      <c r="H977" s="2"/>
    </row>
    <row r="978" spans="1:8" ht="15.75" customHeight="1" x14ac:dyDescent="0.3">
      <c r="A978" s="2"/>
      <c r="B978" s="2"/>
      <c r="C978" s="2"/>
      <c r="D978" s="2"/>
      <c r="E978" s="2"/>
      <c r="F978" s="2"/>
      <c r="G978" s="2"/>
      <c r="H978" s="2"/>
    </row>
    <row r="979" spans="1:8" ht="15.75" customHeight="1" x14ac:dyDescent="0.3">
      <c r="A979" s="2"/>
      <c r="B979" s="2"/>
      <c r="C979" s="2"/>
      <c r="D979" s="2"/>
      <c r="E979" s="2"/>
      <c r="F979" s="2"/>
      <c r="G979" s="2"/>
      <c r="H979" s="2"/>
    </row>
    <row r="980" spans="1:8" ht="15.75" customHeight="1" x14ac:dyDescent="0.3">
      <c r="A980" s="2"/>
      <c r="B980" s="2"/>
      <c r="C980" s="2"/>
      <c r="D980" s="2"/>
      <c r="E980" s="2"/>
      <c r="F980" s="2"/>
      <c r="G980" s="2"/>
      <c r="H980" s="2"/>
    </row>
    <row r="981" spans="1:8" ht="15.75" customHeight="1" x14ac:dyDescent="0.3">
      <c r="A981" s="2"/>
      <c r="B981" s="2"/>
      <c r="C981" s="2"/>
      <c r="D981" s="2"/>
      <c r="E981" s="2"/>
      <c r="F981" s="2"/>
      <c r="G981" s="2"/>
      <c r="H981" s="2"/>
    </row>
    <row r="982" spans="1:8" ht="15.75" customHeight="1" x14ac:dyDescent="0.3">
      <c r="A982" s="2"/>
      <c r="B982" s="2"/>
      <c r="C982" s="2"/>
      <c r="D982" s="2"/>
      <c r="E982" s="2"/>
      <c r="F982" s="2"/>
      <c r="G982" s="2"/>
      <c r="H982" s="2"/>
    </row>
    <row r="983" spans="1:8" ht="15.75" customHeight="1" x14ac:dyDescent="0.3">
      <c r="A983" s="2"/>
      <c r="B983" s="2"/>
      <c r="C983" s="2"/>
      <c r="D983" s="2"/>
      <c r="E983" s="2"/>
      <c r="F983" s="2"/>
      <c r="G983" s="2"/>
      <c r="H983" s="2"/>
    </row>
    <row r="984" spans="1:8" ht="15.75" customHeight="1" x14ac:dyDescent="0.3">
      <c r="A984" s="2"/>
      <c r="B984" s="2"/>
      <c r="C984" s="2"/>
      <c r="D984" s="2"/>
      <c r="E984" s="2"/>
      <c r="F984" s="2"/>
      <c r="G984" s="2"/>
      <c r="H984" s="2"/>
    </row>
    <row r="985" spans="1:8" ht="15.75" customHeight="1" x14ac:dyDescent="0.3">
      <c r="A985" s="2"/>
      <c r="B985" s="2"/>
      <c r="C985" s="2"/>
      <c r="D985" s="2"/>
      <c r="E985" s="2"/>
      <c r="F985" s="2"/>
      <c r="G985" s="2"/>
      <c r="H985" s="2"/>
    </row>
    <row r="986" spans="1:8" ht="15.75" customHeight="1" x14ac:dyDescent="0.3">
      <c r="A986" s="2"/>
      <c r="B986" s="2"/>
      <c r="C986" s="2"/>
      <c r="D986" s="2"/>
      <c r="E986" s="2"/>
      <c r="F986" s="2"/>
      <c r="G986" s="2"/>
      <c r="H986" s="2"/>
    </row>
    <row r="987" spans="1:8" ht="15.75" customHeight="1" x14ac:dyDescent="0.3">
      <c r="A987" s="2"/>
      <c r="B987" s="2"/>
      <c r="C987" s="2"/>
      <c r="D987" s="2"/>
      <c r="E987" s="2"/>
      <c r="F987" s="2"/>
      <c r="G987" s="2"/>
      <c r="H987" s="2"/>
    </row>
    <row r="988" spans="1:8" ht="15.75" customHeight="1" x14ac:dyDescent="0.3">
      <c r="A988" s="2"/>
      <c r="B988" s="2"/>
      <c r="C988" s="2"/>
      <c r="D988" s="2"/>
      <c r="E988" s="2"/>
      <c r="F988" s="2"/>
      <c r="G988" s="2"/>
      <c r="H988" s="2"/>
    </row>
    <row r="989" spans="1:8" ht="15.75" customHeight="1" x14ac:dyDescent="0.3">
      <c r="A989" s="2"/>
      <c r="B989" s="2"/>
      <c r="C989" s="2"/>
      <c r="D989" s="2"/>
      <c r="E989" s="2"/>
      <c r="F989" s="2"/>
      <c r="G989" s="2"/>
      <c r="H989" s="2"/>
    </row>
    <row r="990" spans="1:8" ht="15.75" customHeight="1" x14ac:dyDescent="0.3">
      <c r="A990" s="2"/>
      <c r="B990" s="2"/>
      <c r="C990" s="2"/>
      <c r="D990" s="2"/>
      <c r="E990" s="2"/>
      <c r="F990" s="2"/>
      <c r="G990" s="2"/>
      <c r="H990" s="2"/>
    </row>
    <row r="991" spans="1:8" ht="15.75" customHeight="1" x14ac:dyDescent="0.3">
      <c r="A991" s="2"/>
      <c r="B991" s="2"/>
      <c r="C991" s="2"/>
      <c r="D991" s="2"/>
      <c r="E991" s="2"/>
      <c r="F991" s="2"/>
      <c r="G991" s="2"/>
      <c r="H991" s="2"/>
    </row>
    <row r="992" spans="1:8" ht="15.75" customHeight="1" x14ac:dyDescent="0.3">
      <c r="A992" s="2"/>
      <c r="B992" s="2"/>
      <c r="C992" s="2"/>
      <c r="D992" s="2"/>
      <c r="E992" s="2"/>
      <c r="F992" s="2"/>
      <c r="G992" s="2"/>
      <c r="H992" s="2"/>
    </row>
    <row r="993" spans="1:8" ht="15.75" customHeight="1" x14ac:dyDescent="0.3">
      <c r="A993" s="2"/>
      <c r="B993" s="2"/>
      <c r="C993" s="2"/>
      <c r="D993" s="2"/>
      <c r="E993" s="2"/>
      <c r="F993" s="2"/>
      <c r="G993" s="2"/>
      <c r="H993" s="2"/>
    </row>
    <row r="994" spans="1:8" ht="15.75" customHeight="1" x14ac:dyDescent="0.3">
      <c r="A994" s="2"/>
      <c r="B994" s="2"/>
      <c r="C994" s="2"/>
      <c r="D994" s="2"/>
      <c r="E994" s="2"/>
      <c r="F994" s="2"/>
      <c r="G994" s="2"/>
      <c r="H994" s="2"/>
    </row>
    <row r="995" spans="1:8" ht="15.75" customHeight="1" x14ac:dyDescent="0.3">
      <c r="A995" s="2"/>
      <c r="B995" s="2"/>
      <c r="C995" s="2"/>
      <c r="D995" s="2"/>
      <c r="E995" s="2"/>
      <c r="F995" s="2"/>
      <c r="G995" s="2"/>
      <c r="H995" s="2"/>
    </row>
    <row r="996" spans="1:8" ht="15.75" customHeight="1" x14ac:dyDescent="0.3">
      <c r="A996" s="2"/>
      <c r="B996" s="2"/>
      <c r="C996" s="2"/>
      <c r="D996" s="2"/>
      <c r="E996" s="2"/>
      <c r="F996" s="2"/>
      <c r="G996" s="2"/>
      <c r="H996" s="2"/>
    </row>
    <row r="997" spans="1:8" ht="15.75" customHeight="1" x14ac:dyDescent="0.3">
      <c r="A997" s="2"/>
      <c r="B997" s="2"/>
      <c r="C997" s="2"/>
      <c r="D997" s="2"/>
      <c r="E997" s="2"/>
      <c r="F997" s="2"/>
      <c r="G997" s="2"/>
      <c r="H997" s="2"/>
    </row>
    <row r="998" spans="1:8" ht="15.75" customHeight="1" x14ac:dyDescent="0.3">
      <c r="A998" s="2"/>
      <c r="B998" s="2"/>
      <c r="C998" s="2"/>
      <c r="D998" s="2"/>
      <c r="E998" s="2"/>
      <c r="F998" s="2"/>
      <c r="G998" s="2"/>
      <c r="H998" s="2"/>
    </row>
    <row r="999" spans="1:8" ht="15.75" customHeight="1" x14ac:dyDescent="0.3">
      <c r="A999" s="2"/>
      <c r="B999" s="2"/>
      <c r="C999" s="2"/>
      <c r="D999" s="2"/>
      <c r="E999" s="2"/>
      <c r="F999" s="2"/>
      <c r="G999" s="2"/>
      <c r="H999" s="2"/>
    </row>
    <row r="1000" spans="1:8" ht="15.75" customHeight="1" x14ac:dyDescent="0.3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 x14ac:dyDescent="0.3"/>
  <cols>
    <col min="1" max="2" width="18" customWidth="1"/>
    <col min="3" max="4" width="14" customWidth="1"/>
    <col min="5" max="5" width="12" customWidth="1"/>
    <col min="6" max="6" width="16" customWidth="1"/>
    <col min="7" max="8" width="12" customWidth="1"/>
    <col min="9" max="9" width="10" customWidth="1"/>
    <col min="10" max="10" width="13" customWidth="1"/>
    <col min="11" max="11" width="12" customWidth="1"/>
    <col min="12" max="12" width="16" customWidth="1"/>
    <col min="13" max="13" width="10" customWidth="1"/>
    <col min="14" max="14" width="30" customWidth="1"/>
    <col min="15" max="20" width="13" customWidth="1"/>
    <col min="22" max="23" width="13" customWidth="1"/>
  </cols>
  <sheetData>
    <row r="1" spans="1:26" ht="25.5" customHeight="1" x14ac:dyDescent="0.3">
      <c r="A1" s="34" t="s">
        <v>63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  <c r="O1" s="34"/>
      <c r="P1" s="35"/>
      <c r="Q1" s="35"/>
      <c r="R1" s="35"/>
      <c r="S1" s="35"/>
      <c r="T1" s="36"/>
      <c r="U1" s="2"/>
      <c r="V1" s="2"/>
      <c r="W1" s="2"/>
      <c r="X1" s="2"/>
      <c r="Y1" s="2"/>
      <c r="Z1" s="2"/>
    </row>
    <row r="2" spans="1:26" ht="19.5" customHeight="1" x14ac:dyDescent="0.3">
      <c r="A2" s="13" t="s">
        <v>64</v>
      </c>
      <c r="B2" s="13" t="s">
        <v>65</v>
      </c>
      <c r="C2" s="13" t="s">
        <v>66</v>
      </c>
      <c r="D2" s="13" t="s">
        <v>67</v>
      </c>
      <c r="E2" s="13" t="s">
        <v>30</v>
      </c>
      <c r="F2" s="13" t="s">
        <v>68</v>
      </c>
      <c r="G2" s="13" t="s">
        <v>69</v>
      </c>
      <c r="H2" s="13" t="s">
        <v>70</v>
      </c>
      <c r="I2" s="13" t="s">
        <v>31</v>
      </c>
      <c r="J2" s="13" t="s">
        <v>71</v>
      </c>
      <c r="K2" s="13" t="s">
        <v>72</v>
      </c>
      <c r="L2" s="13" t="s">
        <v>73</v>
      </c>
      <c r="M2" s="13" t="s">
        <v>74</v>
      </c>
      <c r="N2" s="13" t="s">
        <v>75</v>
      </c>
      <c r="O2" s="13" t="s">
        <v>76</v>
      </c>
      <c r="P2" s="14" t="s">
        <v>77</v>
      </c>
      <c r="Q2" s="14" t="s">
        <v>78</v>
      </c>
      <c r="R2" s="14" t="s">
        <v>79</v>
      </c>
      <c r="S2" s="14" t="s">
        <v>80</v>
      </c>
      <c r="T2" s="14" t="s">
        <v>81</v>
      </c>
      <c r="U2" s="14" t="s">
        <v>82</v>
      </c>
      <c r="V2" s="14" t="s">
        <v>83</v>
      </c>
      <c r="W2" s="14" t="s">
        <v>84</v>
      </c>
      <c r="X2" s="2"/>
      <c r="Y2" s="2"/>
      <c r="Z2" s="2"/>
    </row>
    <row r="3" spans="1:26" ht="14.4" x14ac:dyDescent="0.3">
      <c r="A3" s="15" t="s">
        <v>85</v>
      </c>
      <c r="B3" s="15" t="s">
        <v>86</v>
      </c>
      <c r="C3" s="16" t="s">
        <v>36</v>
      </c>
      <c r="D3" s="16" t="s">
        <v>57</v>
      </c>
      <c r="E3" s="16" t="s">
        <v>38</v>
      </c>
      <c r="F3" s="17" t="str">
        <f ca="1">IF($A3="","",IF($K3&lt;Settings!$B$14,"",IF($P3=0,"",IFERROR(_xludf.MINIFS(Trade_Reports!$I$3:$I$502,Trade_Reports!$H$3:$H$502,$A3,Trade_Reports!$M$3:$M$502,"APPROVED",Trade_Reports!$Q$3:$Q$502,"&lt;="&amp;Settings!$B$4,Trade_Reports!$W$3:$W$502,"&gt;="&amp;0.5*$P3),""))))</f>
        <v/>
      </c>
      <c r="G3" s="17" t="str">
        <f ca="1">IF($A3="","",IF($K3=0,"",IFERROR(_xludf.MINIFS(Trade_Reports!$I$3:$I$502,Trade_Reports!$H$3:$H$502,$A3,Trade_Reports!$M$3:$M$502,"APPROVED",Trade_Reports!$Q$3:$Q$502,"&lt;="&amp;Settings!$B$4),"")))</f>
        <v/>
      </c>
      <c r="H3" s="17" t="str">
        <f ca="1">IF($A3="","",IF($K3=0,"",IFERROR(_xludf.MAXIFS(Trade_Reports!$I$3:$I$502,Trade_Reports!$H$3:$H$502,$A3,Trade_Reports!$M$3:$M$502,"APPROVED",Trade_Reports!$Q$3:$Q$502,"&lt;="&amp;Settings!$B$4),"")))</f>
        <v/>
      </c>
      <c r="I3" s="17" t="str">
        <f ca="1">IF($A3="","",IF($F3="","",IF($Q3="","",IF(ABS($F3-$Q3)/$Q3&lt;=Settings!$B$18,"STABLE",IF($F3&gt;$Q3,"UP","DOWN")))))</f>
        <v/>
      </c>
      <c r="J3" s="18">
        <f ca="1">IF($A3="","",IF($K3=0,"",MIN(1,ROUND($K3/Settings!$B$14,2))))</f>
        <v>1</v>
      </c>
      <c r="K3" s="17">
        <f ca="1">IF($A3="","",COUNTIFS(Trade_Reports!$H$3:$H$502,$A3,Trade_Reports!$M$3:$M$502,"APPROVED",Trade_Reports!$Q$3:$Q$502,"&lt;="&amp;Settings!$B$4))</f>
        <v>2</v>
      </c>
      <c r="L3" s="19" t="str">
        <f ca="1">IF($A3="","",IF($K3=0,"",IFERROR(_xludf.MAXIFS(Trade_Reports!$O$3:$O$502,Trade_Reports!$H$3:$H$502,$A3,Trade_Reports!$M$3:$M$502,"APPROVED"),"")))</f>
        <v/>
      </c>
      <c r="M3" s="16" t="s">
        <v>46</v>
      </c>
      <c r="N3" s="15"/>
      <c r="O3" s="9" t="str">
        <f t="shared" ref="O3:O257" ca="1" si="0">IF(OR($A3="",ISERROR(SEARCH("_",$A3))),"", $W3)</f>
        <v>LOW</v>
      </c>
      <c r="P3" s="20">
        <f ca="1">IF($A3="","",SUMIFS(Trade_Reports!$U$3:$U$502,Trade_Reports!$H$3:$H$502,$A3,Trade_Reports!$M$3:$M$502,"APPROVED",Trade_Reports!$Q$3:$Q$502,"&lt;="&amp;Settings!$B$4))</f>
        <v>2.0999999999999996</v>
      </c>
      <c r="Q3" s="20">
        <f ca="1">IF($A3="","",SUMIFS(Trade_Reports!$U$3:$U$502,Trade_Reports!$H$3:$H$502,$A3,Trade_Reports!$M$3:$M$502,"APPROVED",Trade_Reports!$Q$3:$Q$502,"&lt;="&amp;Settings!$B$5))</f>
        <v>3.8999999999999995</v>
      </c>
      <c r="R3" s="20" t="str">
        <f ca="1">IF($A3="","",IF($Q3=0,"",IFERROR(_xludf.MINIFS(Trade_Reports!$I$3:$I$502,Trade_Reports!$H$3:$H$502,$A3,Trade_Reports!$M$3:$M$502,"APPROVED",Trade_Reports!$Q$3:$Q$502,"&lt;="&amp;Settings!$B$5,Trade_Reports!$X$3:$X$502,"&gt;="&amp;0.5*$Q3),"")))</f>
        <v/>
      </c>
      <c r="S3" s="20">
        <f ca="1">IF($A3="","",COUNTIFS(Trade_Reports!$H$3:$H$502,$A3,Trade_Reports!$M$3:$M$502,"APPROVED",Trade_Reports!$Q$3:$Q$502,"&lt;="&amp;Settings!$B$5))</f>
        <v>4</v>
      </c>
      <c r="T3" s="2"/>
      <c r="U3" s="2"/>
      <c r="V3" s="21">
        <f ca="1">IF(OR($A3="",ISERROR(SEARCH("_",$A3))),"",IFERROR(SUMIFS(Trade_Reports!$Z$3:$Z$502,Trade_Reports!$H$3:$H$502,$A3,Trade_Reports!$M$3:$M$502,"APPROVED")/SUMIFS(Trade_Reports!$U$3:$U$502,Trade_Reports!$H$3:$H$502,$A3,Trade_Reports!$M$3:$M$502,"APPROVED"),""))</f>
        <v>0.80769230769230771</v>
      </c>
      <c r="W3" s="17" t="str">
        <f t="shared" ref="W3:W257" ca="1" si="1">IF($V3="","",IF($V3&lt;1.75,"LOW",IF($V3&lt;2.5,"MID","HIGH")))</f>
        <v>LOW</v>
      </c>
      <c r="X3" s="2"/>
      <c r="Y3" s="2"/>
      <c r="Z3" s="2"/>
    </row>
    <row r="4" spans="1:26" ht="14.4" x14ac:dyDescent="0.3">
      <c r="A4" s="15" t="s">
        <v>87</v>
      </c>
      <c r="B4" s="15" t="s">
        <v>88</v>
      </c>
      <c r="C4" s="16" t="s">
        <v>43</v>
      </c>
      <c r="D4" s="16" t="s">
        <v>59</v>
      </c>
      <c r="E4" s="16" t="s">
        <v>38</v>
      </c>
      <c r="F4" s="17" t="str">
        <f ca="1">IF($A4="","",IF($K4&lt;Settings!$B$14,"",IF($P4=0,"",IFERROR(_xludf.MINIFS(Trade_Reports!$I$3:$I$502,Trade_Reports!$H$3:$H$502,$A4,Trade_Reports!$M$3:$M$502,"APPROVED",Trade_Reports!$Q$3:$Q$502,"&lt;="&amp;Settings!$B$4,Trade_Reports!$W$3:$W$502,"&gt;="&amp;0.5*$P4),""))))</f>
        <v/>
      </c>
      <c r="G4" s="17" t="str">
        <f ca="1">IF($A4="","",IF($K4=0,"",IFERROR(_xludf.MINIFS(Trade_Reports!$I$3:$I$502,Trade_Reports!$H$3:$H$502,$A4,Trade_Reports!$M$3:$M$502,"APPROVED",Trade_Reports!$Q$3:$Q$502,"&lt;="&amp;Settings!$B$4),"")))</f>
        <v/>
      </c>
      <c r="H4" s="17" t="str">
        <f ca="1">IF($A4="","",IF($K4=0,"",IFERROR(_xludf.MAXIFS(Trade_Reports!$I$3:$I$502,Trade_Reports!$H$3:$H$502,$A4,Trade_Reports!$M$3:$M$502,"APPROVED",Trade_Reports!$Q$3:$Q$502,"&lt;="&amp;Settings!$B$4),"")))</f>
        <v/>
      </c>
      <c r="I4" s="17" t="str">
        <f ca="1">IF($A4="","",IF($F4="","",IF($Q4="","",IF(ABS($F4-$Q4)/$Q4&lt;=Settings!$B$18,"STABLE",IF($F4&gt;$Q4,"UP","DOWN")))))</f>
        <v/>
      </c>
      <c r="J4" s="18">
        <f ca="1">IF($A4="","",IF($K4=0,"",MIN(1,ROUND($K4/Settings!$B$14,2))))</f>
        <v>1</v>
      </c>
      <c r="K4" s="17">
        <f ca="1">IF($A4="","",COUNTIFS(Trade_Reports!$H$3:$H$502,$A4,Trade_Reports!$M$3:$M$502,"APPROVED",Trade_Reports!$Q$3:$Q$502,"&lt;="&amp;Settings!$B$4))</f>
        <v>1</v>
      </c>
      <c r="L4" s="19" t="str">
        <f ca="1">IF($A4="","",IF($K4=0,"",IFERROR(_xludf.MAXIFS(Trade_Reports!$O$3:$O$502,Trade_Reports!$H$3:$H$502,$A4,Trade_Reports!$M$3:$M$502,"APPROVED"),"")))</f>
        <v/>
      </c>
      <c r="M4" s="16" t="s">
        <v>46</v>
      </c>
      <c r="N4" s="15"/>
      <c r="O4" s="9" t="str">
        <f t="shared" ca="1" si="0"/>
        <v>HIGH</v>
      </c>
      <c r="P4" s="20">
        <f ca="1">IF($A4="","",SUMIFS(Trade_Reports!$U$3:$U$502,Trade_Reports!$H$3:$H$502,$A4,Trade_Reports!$M$3:$M$502,"APPROVED",Trade_Reports!$Q$3:$Q$502,"&lt;="&amp;Settings!$B$4))</f>
        <v>1.0499999999999998</v>
      </c>
      <c r="Q4" s="20">
        <f ca="1">IF($A4="","",SUMIFS(Trade_Reports!$U$3:$U$502,Trade_Reports!$H$3:$H$502,$A4,Trade_Reports!$M$3:$M$502,"APPROVED",Trade_Reports!$Q$3:$Q$502,"&lt;="&amp;Settings!$B$5))</f>
        <v>1.9499999999999997</v>
      </c>
      <c r="R4" s="20" t="str">
        <f ca="1">IF($A4="","",IF($Q4=0,"",IFERROR(_xludf.MINIFS(Trade_Reports!$I$3:$I$502,Trade_Reports!$H$3:$H$502,$A4,Trade_Reports!$M$3:$M$502,"APPROVED",Trade_Reports!$Q$3:$Q$502,"&lt;="&amp;Settings!$B$5,Trade_Reports!$X$3:$X$502,"&gt;="&amp;0.5*$Q4),"")))</f>
        <v/>
      </c>
      <c r="S4" s="20">
        <f ca="1">IF($A4="","",COUNTIFS(Trade_Reports!$H$3:$H$502,$A4,Trade_Reports!$M$3:$M$502,"APPROVED",Trade_Reports!$Q$3:$Q$502,"&lt;="&amp;Settings!$B$5))</f>
        <v>2</v>
      </c>
      <c r="T4" s="2"/>
      <c r="U4" s="2"/>
      <c r="V4" s="21">
        <f ca="1">IF(OR($A4="",ISERROR(SEARCH("_",$A4))),"",IFERROR(SUMIFS(Trade_Reports!$Z$3:$Z$502,Trade_Reports!$H$3:$H$502,$A4,Trade_Reports!$M$3:$M$502,"APPROVED")/SUMIFS(Trade_Reports!$U$3:$U$502,Trade_Reports!$H$3:$H$502,$A4,Trade_Reports!$M$3:$M$502,"APPROVED"),""))</f>
        <v>3.0000000000000004</v>
      </c>
      <c r="W4" s="17" t="str">
        <f t="shared" ca="1" si="1"/>
        <v>HIGH</v>
      </c>
      <c r="X4" s="2"/>
      <c r="Y4" s="2"/>
      <c r="Z4" s="2"/>
    </row>
    <row r="5" spans="1:26" ht="14.4" x14ac:dyDescent="0.3">
      <c r="A5" s="22" t="s">
        <v>89</v>
      </c>
      <c r="B5" s="15" t="s">
        <v>90</v>
      </c>
      <c r="C5" s="16"/>
      <c r="D5" s="16"/>
      <c r="E5" s="16"/>
      <c r="F5" s="17" t="str">
        <f>IF($A5="","",IF($K5&lt;Settings!$B$14,"",IF($P5=0,"",IFERROR(_xludf.MINIFS(Trade_Reports!$I$3:$I$502,Trade_Reports!$H$3:$H$502,$A5,Trade_Reports!$M$3:$M$502,"APPROVED",Trade_Reports!$Q$3:$Q$502,"&lt;="&amp;Settings!$B$4,Trade_Reports!$W$3:$W$502,"&gt;="&amp;0.5*$P5),""))))</f>
        <v/>
      </c>
      <c r="G5" s="17" t="str">
        <f>IF($A5="","",IF($K5=0,"",IFERROR(_xludf.MINIFS(Trade_Reports!$I$3:$I$502,Trade_Reports!$H$3:$H$502,$A5,Trade_Reports!$M$3:$M$502,"APPROVED",Trade_Reports!$Q$3:$Q$502,"&lt;="&amp;Settings!$B$4),"")))</f>
        <v/>
      </c>
      <c r="H5" s="17" t="str">
        <f>IF($A5="","",IF($K5=0,"",IFERROR(_xludf.MAXIFS(Trade_Reports!$I$3:$I$502,Trade_Reports!$H$3:$H$502,$A5,Trade_Reports!$M$3:$M$502,"APPROVED",Trade_Reports!$Q$3:$Q$502,"&lt;="&amp;Settings!$B$4),"")))</f>
        <v/>
      </c>
      <c r="I5" s="17" t="str">
        <f>IF($A5="","",IF($F5="","",IF($Q5="","",IF(ABS($F5-$Q5)/$Q5&lt;=Settings!$B$18,"STABLE",IF($F5&gt;$Q5,"UP","DOWN")))))</f>
        <v/>
      </c>
      <c r="J5" s="18" t="str">
        <f>IF($A5="","",IF($K5=0,"",MIN(1,ROUND($K5/Settings!$B$14,2))))</f>
        <v/>
      </c>
      <c r="K5" s="17">
        <f>IF($A5="","",COUNTIFS(Trade_Reports!$H$3:$H$502,$A5,Trade_Reports!$M$3:$M$502,"APPROVED",Trade_Reports!$Q$3:$Q$502,"&lt;="&amp;Settings!$B$4))</f>
        <v>0</v>
      </c>
      <c r="L5" s="19" t="str">
        <f>IF($A5="","",IF($K5=0,"",IFERROR(_xludf.MAXIFS(Trade_Reports!$O$3:$O$502,Trade_Reports!$H$3:$H$502,$A5,Trade_Reports!$M$3:$M$502,"APPROVED"),"")))</f>
        <v/>
      </c>
      <c r="M5" s="16" t="s">
        <v>46</v>
      </c>
      <c r="N5" s="15"/>
      <c r="O5" s="9" t="str">
        <f t="shared" si="0"/>
        <v/>
      </c>
      <c r="P5" s="20">
        <f>IF($A5="","",SUMIFS(Trade_Reports!$U$3:$U$502,Trade_Reports!$H$3:$H$502,$A5,Trade_Reports!$M$3:$M$502,"APPROVED",Trade_Reports!$Q$3:$Q$502,"&lt;="&amp;Settings!$B$4))</f>
        <v>0</v>
      </c>
      <c r="Q5" s="20">
        <f>IF($A5="","",SUMIFS(Trade_Reports!$U$3:$U$502,Trade_Reports!$H$3:$H$502,$A5,Trade_Reports!$M$3:$M$502,"APPROVED",Trade_Reports!$Q$3:$Q$502,"&lt;="&amp;Settings!$B$5))</f>
        <v>0</v>
      </c>
      <c r="R5" s="2" t="str">
        <f>IF($A5="","",IF($Q5=0,"",IFERROR(_xludf.MINIFS(Trade_Reports!$I$3:$I$502,Trade_Reports!$H$3:$H$502,$A5,Trade_Reports!$M$3:$M$502,"APPROVED",Trade_Reports!$Q$3:$Q$502,"&lt;="&amp;Settings!$B$5,Trade_Reports!$X$3:$X$502,"&gt;="&amp;0.5*$Q5),"")))</f>
        <v/>
      </c>
      <c r="S5" s="20">
        <f>IF($A5="","",COUNTIFS(Trade_Reports!$H$3:$H$502,$A5,Trade_Reports!$M$3:$M$502,"APPROVED",Trade_Reports!$Q$3:$Q$502,"&lt;="&amp;Settings!$B$5))</f>
        <v>0</v>
      </c>
      <c r="T5" s="2"/>
      <c r="U5" s="2"/>
      <c r="V5" s="21" t="str">
        <f>IF(OR($A5="",ISERROR(SEARCH("_",$A5))),"",IFERROR(SUMIFS(Trade_Reports!$Z$3:$Z$502,Trade_Reports!$H$3:$H$502,$A5,Trade_Reports!$M$3:$M$502,"APPROVED")/SUMIFS(Trade_Reports!$U$3:$U$502,Trade_Reports!$H$3:$H$502,$A5,Trade_Reports!$M$3:$M$502,"APPROVED"),""))</f>
        <v/>
      </c>
      <c r="W5" s="17" t="str">
        <f t="shared" si="1"/>
        <v/>
      </c>
      <c r="X5" s="2"/>
      <c r="Y5" s="2"/>
      <c r="Z5" s="2"/>
    </row>
    <row r="6" spans="1:26" ht="14.4" x14ac:dyDescent="0.3">
      <c r="A6" s="15" t="s">
        <v>91</v>
      </c>
      <c r="B6" s="15"/>
      <c r="C6" s="16"/>
      <c r="D6" s="16"/>
      <c r="E6" s="16"/>
      <c r="F6" s="17" t="str">
        <f>IF($A6="","",IF($K6&lt;Settings!$B$14,"",IF($P6=0,"",IFERROR(_xludf.MINIFS(Trade_Reports!$I$3:$I$502,Trade_Reports!$H$3:$H$502,$A6,Trade_Reports!$M$3:$M$502,"APPROVED",Trade_Reports!$Q$3:$Q$502,"&lt;="&amp;Settings!$B$4,Trade_Reports!$W$3:$W$502,"&gt;="&amp;0.5*$P6),""))))</f>
        <v/>
      </c>
      <c r="G6" s="17" t="str">
        <f>IF($A6="","",IF($K6=0,"",IFERROR(_xludf.MINIFS(Trade_Reports!$I$3:$I$502,Trade_Reports!$H$3:$H$502,$A6,Trade_Reports!$M$3:$M$502,"APPROVED",Trade_Reports!$Q$3:$Q$502,"&lt;="&amp;Settings!$B$4),"")))</f>
        <v/>
      </c>
      <c r="H6" s="17" t="str">
        <f>IF($A6="","",IF($K6=0,"",IFERROR(_xludf.MAXIFS(Trade_Reports!$I$3:$I$502,Trade_Reports!$H$3:$H$502,$A6,Trade_Reports!$M$3:$M$502,"APPROVED",Trade_Reports!$Q$3:$Q$502,"&lt;="&amp;Settings!$B$4),"")))</f>
        <v/>
      </c>
      <c r="I6" s="17" t="str">
        <f>IF($A6="","",IF($F6="","",IF($Q6="","",IF(ABS($F6-$Q6)/$Q6&lt;=Settings!$B$18,"STABLE",IF($F6&gt;$Q6,"UP","DOWN")))))</f>
        <v/>
      </c>
      <c r="J6" s="18" t="str">
        <f>IF($A6="","",IF($K6=0,"",MIN(1,ROUND($K6/Settings!$B$14,2))))</f>
        <v/>
      </c>
      <c r="K6" s="17">
        <f>IF($A6="","",COUNTIFS(Trade_Reports!$H$3:$H$502,$A6,Trade_Reports!$M$3:$M$502,"APPROVED",Trade_Reports!$Q$3:$Q$502,"&lt;="&amp;Settings!$B$4))</f>
        <v>0</v>
      </c>
      <c r="L6" s="19" t="str">
        <f>IF($A6="","",IF($K6=0,"",IFERROR(_xludf.MAXIFS(Trade_Reports!$O$3:$O$502,Trade_Reports!$H$3:$H$502,$A6,Trade_Reports!$M$3:$M$502,"APPROVED"),"")))</f>
        <v/>
      </c>
      <c r="M6" s="16" t="s">
        <v>46</v>
      </c>
      <c r="N6" s="15"/>
      <c r="O6" s="9" t="str">
        <f t="shared" si="0"/>
        <v/>
      </c>
      <c r="P6" s="20">
        <f>IF($A6="","",SUMIFS(Trade_Reports!$U$3:$U$502,Trade_Reports!$H$3:$H$502,$A6,Trade_Reports!$M$3:$M$502,"APPROVED",Trade_Reports!$Q$3:$Q$502,"&lt;="&amp;Settings!$B$4))</f>
        <v>0</v>
      </c>
      <c r="Q6" s="20">
        <f>IF($A6="","",SUMIFS(Trade_Reports!$U$3:$U$502,Trade_Reports!$H$3:$H$502,$A6,Trade_Reports!$M$3:$M$502,"APPROVED",Trade_Reports!$Q$3:$Q$502,"&lt;="&amp;Settings!$B$5))</f>
        <v>0</v>
      </c>
      <c r="R6" s="2" t="str">
        <f>IF($A6="","",IF($Q6=0,"",IFERROR(_xludf.MINIFS(Trade_Reports!$I$3:$I$502,Trade_Reports!$H$3:$H$502,$A6,Trade_Reports!$M$3:$M$502,"APPROVED",Trade_Reports!$Q$3:$Q$502,"&lt;="&amp;Settings!$B$5,Trade_Reports!$X$3:$X$502,"&gt;="&amp;0.5*$Q6),"")))</f>
        <v/>
      </c>
      <c r="S6" s="20">
        <f>IF($A6="","",COUNTIFS(Trade_Reports!$H$3:$H$502,$A6,Trade_Reports!$M$3:$M$502,"APPROVED",Trade_Reports!$Q$3:$Q$502,"&lt;="&amp;Settings!$B$5))</f>
        <v>0</v>
      </c>
      <c r="T6" s="2"/>
      <c r="U6" s="2"/>
      <c r="V6" s="21" t="str">
        <f>IF(OR($A6="",ISERROR(SEARCH("_",$A6))),"",IFERROR(SUMIFS(Trade_Reports!$Z$3:$Z$502,Trade_Reports!$H$3:$H$502,$A6,Trade_Reports!$M$3:$M$502,"APPROVED")/SUMIFS(Trade_Reports!$U$3:$U$502,Trade_Reports!$H$3:$H$502,$A6,Trade_Reports!$M$3:$M$502,"APPROVED"),""))</f>
        <v/>
      </c>
      <c r="W6" s="17" t="str">
        <f t="shared" si="1"/>
        <v/>
      </c>
      <c r="X6" s="2"/>
      <c r="Y6" s="2"/>
      <c r="Z6" s="2"/>
    </row>
    <row r="7" spans="1:26" ht="14.4" x14ac:dyDescent="0.3">
      <c r="A7" s="15" t="s">
        <v>92</v>
      </c>
      <c r="B7" s="15"/>
      <c r="C7" s="16"/>
      <c r="D7" s="16"/>
      <c r="E7" s="16"/>
      <c r="F7" s="17" t="str">
        <f>IF($A7="","",IF($K7&lt;Settings!$B$14,"",IF($P7=0,"",IFERROR(_xludf.MINIFS(Trade_Reports!$I$3:$I$502,Trade_Reports!$H$3:$H$502,$A7,Trade_Reports!$M$3:$M$502,"APPROVED",Trade_Reports!$Q$3:$Q$502,"&lt;="&amp;Settings!$B$4,Trade_Reports!$W$3:$W$502,"&gt;="&amp;0.5*$P7),""))))</f>
        <v/>
      </c>
      <c r="G7" s="17" t="str">
        <f>IF($A7="","",IF($K7=0,"",IFERROR(_xludf.MINIFS(Trade_Reports!$I$3:$I$502,Trade_Reports!$H$3:$H$502,$A7,Trade_Reports!$M$3:$M$502,"APPROVED",Trade_Reports!$Q$3:$Q$502,"&lt;="&amp;Settings!$B$4),"")))</f>
        <v/>
      </c>
      <c r="H7" s="17" t="str">
        <f>IF($A7="","",IF($K7=0,"",IFERROR(_xludf.MAXIFS(Trade_Reports!$I$3:$I$502,Trade_Reports!$H$3:$H$502,$A7,Trade_Reports!$M$3:$M$502,"APPROVED",Trade_Reports!$Q$3:$Q$502,"&lt;="&amp;Settings!$B$4),"")))</f>
        <v/>
      </c>
      <c r="I7" s="17" t="str">
        <f>IF($A7="","",IF($F7="","",IF($Q7="","",IF(ABS($F7-$Q7)/$Q7&lt;=Settings!$B$18,"STABLE",IF($F7&gt;$Q7,"UP","DOWN")))))</f>
        <v/>
      </c>
      <c r="J7" s="18" t="str">
        <f>IF($A7="","",IF($K7=0,"",MIN(1,ROUND($K7/Settings!$B$14,2))))</f>
        <v/>
      </c>
      <c r="K7" s="17">
        <f>IF($A7="","",COUNTIFS(Trade_Reports!$H$3:$H$502,$A7,Trade_Reports!$M$3:$M$502,"APPROVED",Trade_Reports!$Q$3:$Q$502,"&lt;="&amp;Settings!$B$4))</f>
        <v>0</v>
      </c>
      <c r="L7" s="19" t="str">
        <f>IF($A7="","",IF($K7=0,"",IFERROR(_xludf.MAXIFS(Trade_Reports!$O$3:$O$502,Trade_Reports!$H$3:$H$502,$A7,Trade_Reports!$M$3:$M$502,"APPROVED"),"")))</f>
        <v/>
      </c>
      <c r="M7" s="16" t="s">
        <v>46</v>
      </c>
      <c r="N7" s="15"/>
      <c r="O7" s="9" t="str">
        <f t="shared" si="0"/>
        <v/>
      </c>
      <c r="P7" s="20">
        <f>IF($A7="","",SUMIFS(Trade_Reports!$U$3:$U$502,Trade_Reports!$H$3:$H$502,$A7,Trade_Reports!$M$3:$M$502,"APPROVED",Trade_Reports!$Q$3:$Q$502,"&lt;="&amp;Settings!$B$4))</f>
        <v>0</v>
      </c>
      <c r="Q7" s="20">
        <f>IF($A7="","",SUMIFS(Trade_Reports!$U$3:$U$502,Trade_Reports!$H$3:$H$502,$A7,Trade_Reports!$M$3:$M$502,"APPROVED",Trade_Reports!$Q$3:$Q$502,"&lt;="&amp;Settings!$B$5))</f>
        <v>0</v>
      </c>
      <c r="R7" s="2" t="str">
        <f>IF($A7="","",IF($Q7=0,"",IFERROR(_xludf.MINIFS(Trade_Reports!$I$3:$I$502,Trade_Reports!$H$3:$H$502,$A7,Trade_Reports!$M$3:$M$502,"APPROVED",Trade_Reports!$Q$3:$Q$502,"&lt;="&amp;Settings!$B$5,Trade_Reports!$X$3:$X$502,"&gt;="&amp;0.5*$Q7),"")))</f>
        <v/>
      </c>
      <c r="S7" s="20">
        <f>IF($A7="","",COUNTIFS(Trade_Reports!$H$3:$H$502,$A7,Trade_Reports!$M$3:$M$502,"APPROVED",Trade_Reports!$Q$3:$Q$502,"&lt;="&amp;Settings!$B$5))</f>
        <v>0</v>
      </c>
      <c r="T7" s="2"/>
      <c r="U7" s="2"/>
      <c r="V7" s="21" t="str">
        <f>IF(OR($A7="",ISERROR(SEARCH("_",$A7))),"",IFERROR(SUMIFS(Trade_Reports!$Z$3:$Z$502,Trade_Reports!$H$3:$H$502,$A7,Trade_Reports!$M$3:$M$502,"APPROVED")/SUMIFS(Trade_Reports!$U$3:$U$502,Trade_Reports!$H$3:$H$502,$A7,Trade_Reports!$M$3:$M$502,"APPROVED"),""))</f>
        <v/>
      </c>
      <c r="W7" s="17" t="str">
        <f t="shared" si="1"/>
        <v/>
      </c>
      <c r="X7" s="2"/>
      <c r="Y7" s="2"/>
      <c r="Z7" s="2"/>
    </row>
    <row r="8" spans="1:26" ht="14.4" x14ac:dyDescent="0.3">
      <c r="A8" s="15" t="s">
        <v>93</v>
      </c>
      <c r="B8" s="15"/>
      <c r="C8" s="16"/>
      <c r="D8" s="16"/>
      <c r="E8" s="16"/>
      <c r="F8" s="17" t="str">
        <f>IF($A8="","",IF($K8&lt;Settings!$B$14,"",IF($P8=0,"",IFERROR(_xludf.MINIFS(Trade_Reports!$I$3:$I$502,Trade_Reports!$H$3:$H$502,$A8,Trade_Reports!$M$3:$M$502,"APPROVED",Trade_Reports!$Q$3:$Q$502,"&lt;="&amp;Settings!$B$4,Trade_Reports!$W$3:$W$502,"&gt;="&amp;0.5*$P8),""))))</f>
        <v/>
      </c>
      <c r="G8" s="17" t="str">
        <f>IF($A8="","",IF($K8=0,"",IFERROR(_xludf.MINIFS(Trade_Reports!$I$3:$I$502,Trade_Reports!$H$3:$H$502,$A8,Trade_Reports!$M$3:$M$502,"APPROVED",Trade_Reports!$Q$3:$Q$502,"&lt;="&amp;Settings!$B$4),"")))</f>
        <v/>
      </c>
      <c r="H8" s="17" t="str">
        <f>IF($A8="","",IF($K8=0,"",IFERROR(_xludf.MAXIFS(Trade_Reports!$I$3:$I$502,Trade_Reports!$H$3:$H$502,$A8,Trade_Reports!$M$3:$M$502,"APPROVED",Trade_Reports!$Q$3:$Q$502,"&lt;="&amp;Settings!$B$4),"")))</f>
        <v/>
      </c>
      <c r="I8" s="17" t="str">
        <f>IF($A8="","",IF($F8="","",IF($Q8="","",IF(ABS($F8-$Q8)/$Q8&lt;=Settings!$B$18,"STABLE",IF($F8&gt;$Q8,"UP","DOWN")))))</f>
        <v/>
      </c>
      <c r="J8" s="18" t="str">
        <f>IF($A8="","",IF($K8=0,"",MIN(1,ROUND($K8/Settings!$B$14,2))))</f>
        <v/>
      </c>
      <c r="K8" s="17">
        <f>IF($A8="","",COUNTIFS(Trade_Reports!$H$3:$H$502,$A8,Trade_Reports!$M$3:$M$502,"APPROVED",Trade_Reports!$Q$3:$Q$502,"&lt;="&amp;Settings!$B$4))</f>
        <v>0</v>
      </c>
      <c r="L8" s="19" t="str">
        <f>IF($A8="","",IF($K8=0,"",IFERROR(_xludf.MAXIFS(Trade_Reports!$O$3:$O$502,Trade_Reports!$H$3:$H$502,$A8,Trade_Reports!$M$3:$M$502,"APPROVED"),"")))</f>
        <v/>
      </c>
      <c r="M8" s="16" t="s">
        <v>46</v>
      </c>
      <c r="N8" s="15"/>
      <c r="O8" s="9" t="str">
        <f t="shared" si="0"/>
        <v/>
      </c>
      <c r="P8" s="20">
        <f>IF($A8="","",SUMIFS(Trade_Reports!$U$3:$U$502,Trade_Reports!$H$3:$H$502,$A8,Trade_Reports!$M$3:$M$502,"APPROVED",Trade_Reports!$Q$3:$Q$502,"&lt;="&amp;Settings!$B$4))</f>
        <v>0</v>
      </c>
      <c r="Q8" s="20">
        <f>IF($A8="","",SUMIFS(Trade_Reports!$U$3:$U$502,Trade_Reports!$H$3:$H$502,$A8,Trade_Reports!$M$3:$M$502,"APPROVED",Trade_Reports!$Q$3:$Q$502,"&lt;="&amp;Settings!$B$5))</f>
        <v>0</v>
      </c>
      <c r="R8" s="2" t="str">
        <f>IF($A8="","",IF($Q8=0,"",IFERROR(_xludf.MINIFS(Trade_Reports!$I$3:$I$502,Trade_Reports!$H$3:$H$502,$A8,Trade_Reports!$M$3:$M$502,"APPROVED",Trade_Reports!$Q$3:$Q$502,"&lt;="&amp;Settings!$B$5,Trade_Reports!$X$3:$X$502,"&gt;="&amp;0.5*$Q8),"")))</f>
        <v/>
      </c>
      <c r="S8" s="20">
        <f>IF($A8="","",COUNTIFS(Trade_Reports!$H$3:$H$502,$A8,Trade_Reports!$M$3:$M$502,"APPROVED",Trade_Reports!$Q$3:$Q$502,"&lt;="&amp;Settings!$B$5))</f>
        <v>0</v>
      </c>
      <c r="T8" s="2"/>
      <c r="U8" s="2"/>
      <c r="V8" s="21" t="str">
        <f>IF(OR($A8="",ISERROR(SEARCH("_",$A8))),"",IFERROR(SUMIFS(Trade_Reports!$Z$3:$Z$502,Trade_Reports!$H$3:$H$502,$A8,Trade_Reports!$M$3:$M$502,"APPROVED")/SUMIFS(Trade_Reports!$U$3:$U$502,Trade_Reports!$H$3:$H$502,$A8,Trade_Reports!$M$3:$M$502,"APPROVED"),""))</f>
        <v/>
      </c>
      <c r="W8" s="17" t="str">
        <f t="shared" si="1"/>
        <v/>
      </c>
      <c r="X8" s="2"/>
      <c r="Y8" s="2"/>
      <c r="Z8" s="2"/>
    </row>
    <row r="9" spans="1:26" ht="14.4" x14ac:dyDescent="0.3">
      <c r="A9" s="15" t="s">
        <v>94</v>
      </c>
      <c r="B9" s="15"/>
      <c r="C9" s="16"/>
      <c r="D9" s="16"/>
      <c r="E9" s="16"/>
      <c r="F9" s="17" t="str">
        <f>IF($A9="","",IF($K9&lt;Settings!$B$14,"",IF($P9=0,"",IFERROR(_xludf.MINIFS(Trade_Reports!$I$3:$I$502,Trade_Reports!$H$3:$H$502,$A9,Trade_Reports!$M$3:$M$502,"APPROVED",Trade_Reports!$Q$3:$Q$502,"&lt;="&amp;Settings!$B$4,Trade_Reports!$W$3:$W$502,"&gt;="&amp;0.5*$P9),""))))</f>
        <v/>
      </c>
      <c r="G9" s="17" t="str">
        <f>IF($A9="","",IF($K9=0,"",IFERROR(_xludf.MINIFS(Trade_Reports!$I$3:$I$502,Trade_Reports!$H$3:$H$502,$A9,Trade_Reports!$M$3:$M$502,"APPROVED",Trade_Reports!$Q$3:$Q$502,"&lt;="&amp;Settings!$B$4),"")))</f>
        <v/>
      </c>
      <c r="H9" s="17" t="str">
        <f>IF($A9="","",IF($K9=0,"",IFERROR(_xludf.MAXIFS(Trade_Reports!$I$3:$I$502,Trade_Reports!$H$3:$H$502,$A9,Trade_Reports!$M$3:$M$502,"APPROVED",Trade_Reports!$Q$3:$Q$502,"&lt;="&amp;Settings!$B$4),"")))</f>
        <v/>
      </c>
      <c r="I9" s="17" t="str">
        <f>IF($A9="","",IF($F9="","",IF($Q9="","",IF(ABS($F9-$Q9)/$Q9&lt;=Settings!$B$18,"STABLE",IF($F9&gt;$Q9,"UP","DOWN")))))</f>
        <v/>
      </c>
      <c r="J9" s="18" t="str">
        <f>IF($A9="","",IF($K9=0,"",MIN(1,ROUND($K9/Settings!$B$14,2))))</f>
        <v/>
      </c>
      <c r="K9" s="17">
        <f>IF($A9="","",COUNTIFS(Trade_Reports!$H$3:$H$502,$A9,Trade_Reports!$M$3:$M$502,"APPROVED",Trade_Reports!$Q$3:$Q$502,"&lt;="&amp;Settings!$B$4))</f>
        <v>0</v>
      </c>
      <c r="L9" s="19" t="str">
        <f>IF($A9="","",IF($K9=0,"",IFERROR(_xludf.MAXIFS(Trade_Reports!$O$3:$O$502,Trade_Reports!$H$3:$H$502,$A9,Trade_Reports!$M$3:$M$502,"APPROVED"),"")))</f>
        <v/>
      </c>
      <c r="M9" s="16" t="s">
        <v>46</v>
      </c>
      <c r="N9" s="15"/>
      <c r="O9" s="9" t="str">
        <f t="shared" si="0"/>
        <v/>
      </c>
      <c r="P9" s="20">
        <f>IF($A9="","",SUMIFS(Trade_Reports!$U$3:$U$502,Trade_Reports!$H$3:$H$502,$A9,Trade_Reports!$M$3:$M$502,"APPROVED",Trade_Reports!$Q$3:$Q$502,"&lt;="&amp;Settings!$B$4))</f>
        <v>0</v>
      </c>
      <c r="Q9" s="20">
        <f>IF($A9="","",SUMIFS(Trade_Reports!$U$3:$U$502,Trade_Reports!$H$3:$H$502,$A9,Trade_Reports!$M$3:$M$502,"APPROVED",Trade_Reports!$Q$3:$Q$502,"&lt;="&amp;Settings!$B$5))</f>
        <v>0</v>
      </c>
      <c r="R9" s="2" t="str">
        <f>IF($A9="","",IF($Q9=0,"",IFERROR(_xludf.MINIFS(Trade_Reports!$I$3:$I$502,Trade_Reports!$H$3:$H$502,$A9,Trade_Reports!$M$3:$M$502,"APPROVED",Trade_Reports!$Q$3:$Q$502,"&lt;="&amp;Settings!$B$5,Trade_Reports!$X$3:$X$502,"&gt;="&amp;0.5*$Q9),"")))</f>
        <v/>
      </c>
      <c r="S9" s="20">
        <f>IF($A9="","",COUNTIFS(Trade_Reports!$H$3:$H$502,$A9,Trade_Reports!$M$3:$M$502,"APPROVED",Trade_Reports!$Q$3:$Q$502,"&lt;="&amp;Settings!$B$5))</f>
        <v>0</v>
      </c>
      <c r="T9" s="2"/>
      <c r="U9" s="2"/>
      <c r="V9" s="21" t="str">
        <f>IF(OR($A9="",ISERROR(SEARCH("_",$A9))),"",IFERROR(SUMIFS(Trade_Reports!$Z$3:$Z$502,Trade_Reports!$H$3:$H$502,$A9,Trade_Reports!$M$3:$M$502,"APPROVED")/SUMIFS(Trade_Reports!$U$3:$U$502,Trade_Reports!$H$3:$H$502,$A9,Trade_Reports!$M$3:$M$502,"APPROVED"),""))</f>
        <v/>
      </c>
      <c r="W9" s="17" t="str">
        <f t="shared" si="1"/>
        <v/>
      </c>
      <c r="X9" s="2"/>
      <c r="Y9" s="2"/>
      <c r="Z9" s="2"/>
    </row>
    <row r="10" spans="1:26" ht="14.4" x14ac:dyDescent="0.3">
      <c r="A10" s="15" t="s">
        <v>95</v>
      </c>
      <c r="B10" s="15"/>
      <c r="C10" s="16"/>
      <c r="D10" s="16"/>
      <c r="E10" s="16"/>
      <c r="F10" s="17" t="str">
        <f>IF($A10="","",IF($K10&lt;Settings!$B$14,"",IF($P10=0,"",IFERROR(_xludf.MINIFS(Trade_Reports!$I$3:$I$502,Trade_Reports!$H$3:$H$502,$A10,Trade_Reports!$M$3:$M$502,"APPROVED",Trade_Reports!$Q$3:$Q$502,"&lt;="&amp;Settings!$B$4,Trade_Reports!$W$3:$W$502,"&gt;="&amp;0.5*$P10),""))))</f>
        <v/>
      </c>
      <c r="G10" s="17" t="str">
        <f>IF($A10="","",IF($K10=0,"",IFERROR(_xludf.MINIFS(Trade_Reports!$I$3:$I$502,Trade_Reports!$H$3:$H$502,$A10,Trade_Reports!$M$3:$M$502,"APPROVED",Trade_Reports!$Q$3:$Q$502,"&lt;="&amp;Settings!$B$4),"")))</f>
        <v/>
      </c>
      <c r="H10" s="17" t="str">
        <f>IF($A10="","",IF($K10=0,"",IFERROR(_xludf.MAXIFS(Trade_Reports!$I$3:$I$502,Trade_Reports!$H$3:$H$502,$A10,Trade_Reports!$M$3:$M$502,"APPROVED",Trade_Reports!$Q$3:$Q$502,"&lt;="&amp;Settings!$B$4),"")))</f>
        <v/>
      </c>
      <c r="I10" s="17" t="str">
        <f>IF($A10="","",IF($F10="","",IF($Q10="","",IF(ABS($F10-$Q10)/$Q10&lt;=Settings!$B$18,"STABLE",IF($F10&gt;$Q10,"UP","DOWN")))))</f>
        <v/>
      </c>
      <c r="J10" s="18" t="str">
        <f>IF($A10="","",IF($K10=0,"",MIN(1,ROUND($K10/Settings!$B$14,2))))</f>
        <v/>
      </c>
      <c r="K10" s="17">
        <f>IF($A10="","",COUNTIFS(Trade_Reports!$H$3:$H$502,$A10,Trade_Reports!$M$3:$M$502,"APPROVED",Trade_Reports!$Q$3:$Q$502,"&lt;="&amp;Settings!$B$4))</f>
        <v>0</v>
      </c>
      <c r="L10" s="19" t="str">
        <f>IF($A10="","",IF($K10=0,"",IFERROR(_xludf.MAXIFS(Trade_Reports!$O$3:$O$502,Trade_Reports!$H$3:$H$502,$A10,Trade_Reports!$M$3:$M$502,"APPROVED"),"")))</f>
        <v/>
      </c>
      <c r="M10" s="16" t="s">
        <v>46</v>
      </c>
      <c r="N10" s="15"/>
      <c r="O10" s="9" t="str">
        <f t="shared" si="0"/>
        <v/>
      </c>
      <c r="P10" s="20">
        <f>IF($A10="","",SUMIFS(Trade_Reports!$U$3:$U$502,Trade_Reports!$H$3:$H$502,$A10,Trade_Reports!$M$3:$M$502,"APPROVED",Trade_Reports!$Q$3:$Q$502,"&lt;="&amp;Settings!$B$4))</f>
        <v>0</v>
      </c>
      <c r="Q10" s="20">
        <f>IF($A10="","",SUMIFS(Trade_Reports!$U$3:$U$502,Trade_Reports!$H$3:$H$502,$A10,Trade_Reports!$M$3:$M$502,"APPROVED",Trade_Reports!$Q$3:$Q$502,"&lt;="&amp;Settings!$B$5))</f>
        <v>0</v>
      </c>
      <c r="R10" s="2" t="str">
        <f>IF($A10="","",IF($Q10=0,"",IFERROR(_xludf.MINIFS(Trade_Reports!$I$3:$I$502,Trade_Reports!$H$3:$H$502,$A10,Trade_Reports!$M$3:$M$502,"APPROVED",Trade_Reports!$Q$3:$Q$502,"&lt;="&amp;Settings!$B$5,Trade_Reports!$X$3:$X$502,"&gt;="&amp;0.5*$Q10),"")))</f>
        <v/>
      </c>
      <c r="S10" s="20">
        <f>IF($A10="","",COUNTIFS(Trade_Reports!$H$3:$H$502,$A10,Trade_Reports!$M$3:$M$502,"APPROVED",Trade_Reports!$Q$3:$Q$502,"&lt;="&amp;Settings!$B$5))</f>
        <v>0</v>
      </c>
      <c r="T10" s="2"/>
      <c r="U10" s="2"/>
      <c r="V10" s="21" t="str">
        <f>IF(OR($A10="",ISERROR(SEARCH("_",$A10))),"",IFERROR(SUMIFS(Trade_Reports!$Z$3:$Z$502,Trade_Reports!$H$3:$H$502,$A10,Trade_Reports!$M$3:$M$502,"APPROVED")/SUMIFS(Trade_Reports!$U$3:$U$502,Trade_Reports!$H$3:$H$502,$A10,Trade_Reports!$M$3:$M$502,"APPROVED"),""))</f>
        <v/>
      </c>
      <c r="W10" s="17" t="str">
        <f t="shared" si="1"/>
        <v/>
      </c>
      <c r="X10" s="2"/>
      <c r="Y10" s="2"/>
      <c r="Z10" s="2"/>
    </row>
    <row r="11" spans="1:26" ht="14.4" x14ac:dyDescent="0.3">
      <c r="A11" s="15" t="s">
        <v>96</v>
      </c>
      <c r="B11" s="15"/>
      <c r="C11" s="16"/>
      <c r="D11" s="16"/>
      <c r="E11" s="16"/>
      <c r="F11" s="17" t="str">
        <f>IF($A11="","",IF($K11&lt;Settings!$B$14,"",IF($P11=0,"",IFERROR(_xludf.MINIFS(Trade_Reports!$I$3:$I$502,Trade_Reports!$H$3:$H$502,$A11,Trade_Reports!$M$3:$M$502,"APPROVED",Trade_Reports!$Q$3:$Q$502,"&lt;="&amp;Settings!$B$4,Trade_Reports!$W$3:$W$502,"&gt;="&amp;0.5*$P11),""))))</f>
        <v/>
      </c>
      <c r="G11" s="17" t="str">
        <f>IF($A11="","",IF($K11=0,"",IFERROR(_xludf.MINIFS(Trade_Reports!$I$3:$I$502,Trade_Reports!$H$3:$H$502,$A11,Trade_Reports!$M$3:$M$502,"APPROVED",Trade_Reports!$Q$3:$Q$502,"&lt;="&amp;Settings!$B$4),"")))</f>
        <v/>
      </c>
      <c r="H11" s="17" t="str">
        <f>IF($A11="","",IF($K11=0,"",IFERROR(_xludf.MAXIFS(Trade_Reports!$I$3:$I$502,Trade_Reports!$H$3:$H$502,$A11,Trade_Reports!$M$3:$M$502,"APPROVED",Trade_Reports!$Q$3:$Q$502,"&lt;="&amp;Settings!$B$4),"")))</f>
        <v/>
      </c>
      <c r="I11" s="17" t="str">
        <f>IF($A11="","",IF($F11="","",IF($Q11="","",IF(ABS($F11-$Q11)/$Q11&lt;=Settings!$B$18,"STABLE",IF($F11&gt;$Q11,"UP","DOWN")))))</f>
        <v/>
      </c>
      <c r="J11" s="18" t="str">
        <f>IF($A11="","",IF($K11=0,"",MIN(1,ROUND($K11/Settings!$B$14,2))))</f>
        <v/>
      </c>
      <c r="K11" s="17">
        <f>IF($A11="","",COUNTIFS(Trade_Reports!$H$3:$H$502,$A11,Trade_Reports!$M$3:$M$502,"APPROVED",Trade_Reports!$Q$3:$Q$502,"&lt;="&amp;Settings!$B$4))</f>
        <v>0</v>
      </c>
      <c r="L11" s="19" t="str">
        <f>IF($A11="","",IF($K11=0,"",IFERROR(_xludf.MAXIFS(Trade_Reports!$O$3:$O$502,Trade_Reports!$H$3:$H$502,$A11,Trade_Reports!$M$3:$M$502,"APPROVED"),"")))</f>
        <v/>
      </c>
      <c r="M11" s="16" t="s">
        <v>46</v>
      </c>
      <c r="N11" s="15"/>
      <c r="O11" s="9" t="str">
        <f t="shared" si="0"/>
        <v/>
      </c>
      <c r="P11" s="20">
        <f>IF($A11="","",SUMIFS(Trade_Reports!$U$3:$U$502,Trade_Reports!$H$3:$H$502,$A11,Trade_Reports!$M$3:$M$502,"APPROVED",Trade_Reports!$Q$3:$Q$502,"&lt;="&amp;Settings!$B$4))</f>
        <v>0</v>
      </c>
      <c r="Q11" s="20">
        <f>IF($A11="","",SUMIFS(Trade_Reports!$U$3:$U$502,Trade_Reports!$H$3:$H$502,$A11,Trade_Reports!$M$3:$M$502,"APPROVED",Trade_Reports!$Q$3:$Q$502,"&lt;="&amp;Settings!$B$5))</f>
        <v>0</v>
      </c>
      <c r="R11" s="2" t="str">
        <f>IF($A11="","",IF($Q11=0,"",IFERROR(_xludf.MINIFS(Trade_Reports!$I$3:$I$502,Trade_Reports!$H$3:$H$502,$A11,Trade_Reports!$M$3:$M$502,"APPROVED",Trade_Reports!$Q$3:$Q$502,"&lt;="&amp;Settings!$B$5,Trade_Reports!$X$3:$X$502,"&gt;="&amp;0.5*$Q11),"")))</f>
        <v/>
      </c>
      <c r="S11" s="20">
        <f>IF($A11="","",COUNTIFS(Trade_Reports!$H$3:$H$502,$A11,Trade_Reports!$M$3:$M$502,"APPROVED",Trade_Reports!$Q$3:$Q$502,"&lt;="&amp;Settings!$B$5))</f>
        <v>0</v>
      </c>
      <c r="T11" s="2"/>
      <c r="U11" s="2"/>
      <c r="V11" s="21" t="str">
        <f>IF(OR($A11="",ISERROR(SEARCH("_",$A11))),"",IFERROR(SUMIFS(Trade_Reports!$Z$3:$Z$502,Trade_Reports!$H$3:$H$502,$A11,Trade_Reports!$M$3:$M$502,"APPROVED")/SUMIFS(Trade_Reports!$U$3:$U$502,Trade_Reports!$H$3:$H$502,$A11,Trade_Reports!$M$3:$M$502,"APPROVED"),""))</f>
        <v/>
      </c>
      <c r="W11" s="17" t="str">
        <f t="shared" si="1"/>
        <v/>
      </c>
      <c r="X11" s="2"/>
      <c r="Y11" s="2"/>
      <c r="Z11" s="2"/>
    </row>
    <row r="12" spans="1:26" ht="14.4" x14ac:dyDescent="0.3">
      <c r="A12" s="15" t="s">
        <v>97</v>
      </c>
      <c r="B12" s="15"/>
      <c r="C12" s="16"/>
      <c r="D12" s="16"/>
      <c r="E12" s="16"/>
      <c r="F12" s="17" t="str">
        <f>IF($A12="","",IF($K12&lt;Settings!$B$14,"",IF($P12=0,"",IFERROR(_xludf.MINIFS(Trade_Reports!$I$3:$I$502,Trade_Reports!$H$3:$H$502,$A12,Trade_Reports!$M$3:$M$502,"APPROVED",Trade_Reports!$Q$3:$Q$502,"&lt;="&amp;Settings!$B$4,Trade_Reports!$W$3:$W$502,"&gt;="&amp;0.5*$P12),""))))</f>
        <v/>
      </c>
      <c r="G12" s="17" t="str">
        <f>IF($A12="","",IF($K12=0,"",IFERROR(_xludf.MINIFS(Trade_Reports!$I$3:$I$502,Trade_Reports!$H$3:$H$502,$A12,Trade_Reports!$M$3:$M$502,"APPROVED",Trade_Reports!$Q$3:$Q$502,"&lt;="&amp;Settings!$B$4),"")))</f>
        <v/>
      </c>
      <c r="H12" s="17" t="str">
        <f>IF($A12="","",IF($K12=0,"",IFERROR(_xludf.MAXIFS(Trade_Reports!$I$3:$I$502,Trade_Reports!$H$3:$H$502,$A12,Trade_Reports!$M$3:$M$502,"APPROVED",Trade_Reports!$Q$3:$Q$502,"&lt;="&amp;Settings!$B$4),"")))</f>
        <v/>
      </c>
      <c r="I12" s="17" t="str">
        <f>IF($A12="","",IF($F12="","",IF($Q12="","",IF(ABS($F12-$Q12)/$Q12&lt;=Settings!$B$18,"STABLE",IF($F12&gt;$Q12,"UP","DOWN")))))</f>
        <v/>
      </c>
      <c r="J12" s="18" t="str">
        <f>IF($A12="","",IF($K12=0,"",MIN(1,ROUND($K12/Settings!$B$14,2))))</f>
        <v/>
      </c>
      <c r="K12" s="17">
        <f>IF($A12="","",COUNTIFS(Trade_Reports!$H$3:$H$502,$A12,Trade_Reports!$M$3:$M$502,"APPROVED",Trade_Reports!$Q$3:$Q$502,"&lt;="&amp;Settings!$B$4))</f>
        <v>0</v>
      </c>
      <c r="L12" s="19" t="str">
        <f>IF($A12="","",IF($K12=0,"",IFERROR(_xludf.MAXIFS(Trade_Reports!$O$3:$O$502,Trade_Reports!$H$3:$H$502,$A12,Trade_Reports!$M$3:$M$502,"APPROVED"),"")))</f>
        <v/>
      </c>
      <c r="M12" s="16" t="s">
        <v>46</v>
      </c>
      <c r="N12" s="15"/>
      <c r="O12" s="9" t="str">
        <f t="shared" si="0"/>
        <v/>
      </c>
      <c r="P12" s="20">
        <f>IF($A12="","",SUMIFS(Trade_Reports!$U$3:$U$502,Trade_Reports!$H$3:$H$502,$A12,Trade_Reports!$M$3:$M$502,"APPROVED",Trade_Reports!$Q$3:$Q$502,"&lt;="&amp;Settings!$B$4))</f>
        <v>0</v>
      </c>
      <c r="Q12" s="20">
        <f>IF($A12="","",SUMIFS(Trade_Reports!$U$3:$U$502,Trade_Reports!$H$3:$H$502,$A12,Trade_Reports!$M$3:$M$502,"APPROVED",Trade_Reports!$Q$3:$Q$502,"&lt;="&amp;Settings!$B$5))</f>
        <v>0</v>
      </c>
      <c r="R12" s="2" t="str">
        <f>IF($A12="","",IF($Q12=0,"",IFERROR(_xludf.MINIFS(Trade_Reports!$I$3:$I$502,Trade_Reports!$H$3:$H$502,$A12,Trade_Reports!$M$3:$M$502,"APPROVED",Trade_Reports!$Q$3:$Q$502,"&lt;="&amp;Settings!$B$5,Trade_Reports!$X$3:$X$502,"&gt;="&amp;0.5*$Q12),"")))</f>
        <v/>
      </c>
      <c r="S12" s="20">
        <f>IF($A12="","",COUNTIFS(Trade_Reports!$H$3:$H$502,$A12,Trade_Reports!$M$3:$M$502,"APPROVED",Trade_Reports!$Q$3:$Q$502,"&lt;="&amp;Settings!$B$5))</f>
        <v>0</v>
      </c>
      <c r="T12" s="2"/>
      <c r="U12" s="2"/>
      <c r="V12" s="21" t="str">
        <f>IF(OR($A12="",ISERROR(SEARCH("_",$A12))),"",IFERROR(SUMIFS(Trade_Reports!$Z$3:$Z$502,Trade_Reports!$H$3:$H$502,$A12,Trade_Reports!$M$3:$M$502,"APPROVED")/SUMIFS(Trade_Reports!$U$3:$U$502,Trade_Reports!$H$3:$H$502,$A12,Trade_Reports!$M$3:$M$502,"APPROVED"),""))</f>
        <v/>
      </c>
      <c r="W12" s="17" t="str">
        <f t="shared" si="1"/>
        <v/>
      </c>
      <c r="X12" s="2"/>
      <c r="Y12" s="2"/>
      <c r="Z12" s="2"/>
    </row>
    <row r="13" spans="1:26" ht="14.4" x14ac:dyDescent="0.3">
      <c r="A13" s="15" t="s">
        <v>98</v>
      </c>
      <c r="B13" s="15"/>
      <c r="C13" s="16"/>
      <c r="D13" s="16"/>
      <c r="E13" s="16"/>
      <c r="F13" s="17" t="str">
        <f>IF($A13="","",IF($K13&lt;Settings!$B$14,"",IF($P13=0,"",IFERROR(_xludf.MINIFS(Trade_Reports!$I$3:$I$502,Trade_Reports!$H$3:$H$502,$A13,Trade_Reports!$M$3:$M$502,"APPROVED",Trade_Reports!$Q$3:$Q$502,"&lt;="&amp;Settings!$B$4,Trade_Reports!$W$3:$W$502,"&gt;="&amp;0.5*$P13),""))))</f>
        <v/>
      </c>
      <c r="G13" s="17" t="str">
        <f>IF($A13="","",IF($K13=0,"",IFERROR(_xludf.MINIFS(Trade_Reports!$I$3:$I$502,Trade_Reports!$H$3:$H$502,$A13,Trade_Reports!$M$3:$M$502,"APPROVED",Trade_Reports!$Q$3:$Q$502,"&lt;="&amp;Settings!$B$4),"")))</f>
        <v/>
      </c>
      <c r="H13" s="17" t="str">
        <f>IF($A13="","",IF($K13=0,"",IFERROR(_xludf.MAXIFS(Trade_Reports!$I$3:$I$502,Trade_Reports!$H$3:$H$502,$A13,Trade_Reports!$M$3:$M$502,"APPROVED",Trade_Reports!$Q$3:$Q$502,"&lt;="&amp;Settings!$B$4),"")))</f>
        <v/>
      </c>
      <c r="I13" s="17" t="str">
        <f>IF($A13="","",IF($F13="","",IF($Q13="","",IF(ABS($F13-$Q13)/$Q13&lt;=Settings!$B$18,"STABLE",IF($F13&gt;$Q13,"UP","DOWN")))))</f>
        <v/>
      </c>
      <c r="J13" s="18" t="str">
        <f>IF($A13="","",IF($K13=0,"",MIN(1,ROUND($K13/Settings!$B$14,2))))</f>
        <v/>
      </c>
      <c r="K13" s="17">
        <f>IF($A13="","",COUNTIFS(Trade_Reports!$H$3:$H$502,$A13,Trade_Reports!$M$3:$M$502,"APPROVED",Trade_Reports!$Q$3:$Q$502,"&lt;="&amp;Settings!$B$4))</f>
        <v>0</v>
      </c>
      <c r="L13" s="19" t="str">
        <f>IF($A13="","",IF($K13=0,"",IFERROR(_xludf.MAXIFS(Trade_Reports!$O$3:$O$502,Trade_Reports!$H$3:$H$502,$A13,Trade_Reports!$M$3:$M$502,"APPROVED"),"")))</f>
        <v/>
      </c>
      <c r="M13" s="16" t="s">
        <v>46</v>
      </c>
      <c r="N13" s="15"/>
      <c r="O13" s="9" t="str">
        <f t="shared" si="0"/>
        <v/>
      </c>
      <c r="P13" s="20">
        <f>IF($A13="","",SUMIFS(Trade_Reports!$U$3:$U$502,Trade_Reports!$H$3:$H$502,$A13,Trade_Reports!$M$3:$M$502,"APPROVED",Trade_Reports!$Q$3:$Q$502,"&lt;="&amp;Settings!$B$4))</f>
        <v>0</v>
      </c>
      <c r="Q13" s="20">
        <f>IF($A13="","",SUMIFS(Trade_Reports!$U$3:$U$502,Trade_Reports!$H$3:$H$502,$A13,Trade_Reports!$M$3:$M$502,"APPROVED",Trade_Reports!$Q$3:$Q$502,"&lt;="&amp;Settings!$B$5))</f>
        <v>0</v>
      </c>
      <c r="R13" s="2" t="str">
        <f>IF($A13="","",IF($Q13=0,"",IFERROR(_xludf.MINIFS(Trade_Reports!$I$3:$I$502,Trade_Reports!$H$3:$H$502,$A13,Trade_Reports!$M$3:$M$502,"APPROVED",Trade_Reports!$Q$3:$Q$502,"&lt;="&amp;Settings!$B$5,Trade_Reports!$X$3:$X$502,"&gt;="&amp;0.5*$Q13),"")))</f>
        <v/>
      </c>
      <c r="S13" s="20">
        <f>IF($A13="","",COUNTIFS(Trade_Reports!$H$3:$H$502,$A13,Trade_Reports!$M$3:$M$502,"APPROVED",Trade_Reports!$Q$3:$Q$502,"&lt;="&amp;Settings!$B$5))</f>
        <v>0</v>
      </c>
      <c r="T13" s="2"/>
      <c r="U13" s="2"/>
      <c r="V13" s="21" t="str">
        <f>IF(OR($A13="",ISERROR(SEARCH("_",$A13))),"",IFERROR(SUMIFS(Trade_Reports!$Z$3:$Z$502,Trade_Reports!$H$3:$H$502,$A13,Trade_Reports!$M$3:$M$502,"APPROVED")/SUMIFS(Trade_Reports!$U$3:$U$502,Trade_Reports!$H$3:$H$502,$A13,Trade_Reports!$M$3:$M$502,"APPROVED"),""))</f>
        <v/>
      </c>
      <c r="W13" s="17" t="str">
        <f t="shared" si="1"/>
        <v/>
      </c>
      <c r="X13" s="2"/>
      <c r="Y13" s="2"/>
      <c r="Z13" s="2"/>
    </row>
    <row r="14" spans="1:26" ht="14.4" x14ac:dyDescent="0.3">
      <c r="A14" s="15" t="s">
        <v>99</v>
      </c>
      <c r="B14" s="15"/>
      <c r="C14" s="16"/>
      <c r="D14" s="16"/>
      <c r="E14" s="16"/>
      <c r="F14" s="17" t="str">
        <f>IF($A14="","",IF($K14&lt;Settings!$B$14,"",IF($P14=0,"",IFERROR(_xludf.MINIFS(Trade_Reports!$I$3:$I$502,Trade_Reports!$H$3:$H$502,$A14,Trade_Reports!$M$3:$M$502,"APPROVED",Trade_Reports!$Q$3:$Q$502,"&lt;="&amp;Settings!$B$4,Trade_Reports!$W$3:$W$502,"&gt;="&amp;0.5*$P14),""))))</f>
        <v/>
      </c>
      <c r="G14" s="17" t="str">
        <f>IF($A14="","",IF($K14=0,"",IFERROR(_xludf.MINIFS(Trade_Reports!$I$3:$I$502,Trade_Reports!$H$3:$H$502,$A14,Trade_Reports!$M$3:$M$502,"APPROVED",Trade_Reports!$Q$3:$Q$502,"&lt;="&amp;Settings!$B$4),"")))</f>
        <v/>
      </c>
      <c r="H14" s="17" t="str">
        <f>IF($A14="","",IF($K14=0,"",IFERROR(_xludf.MAXIFS(Trade_Reports!$I$3:$I$502,Trade_Reports!$H$3:$H$502,$A14,Trade_Reports!$M$3:$M$502,"APPROVED",Trade_Reports!$Q$3:$Q$502,"&lt;="&amp;Settings!$B$4),"")))</f>
        <v/>
      </c>
      <c r="I14" s="17" t="str">
        <f>IF($A14="","",IF($F14="","",IF($Q14="","",IF(ABS($F14-$Q14)/$Q14&lt;=Settings!$B$18,"STABLE",IF($F14&gt;$Q14,"UP","DOWN")))))</f>
        <v/>
      </c>
      <c r="J14" s="18" t="str">
        <f>IF($A14="","",IF($K14=0,"",MIN(1,ROUND($K14/Settings!$B$14,2))))</f>
        <v/>
      </c>
      <c r="K14" s="17">
        <f>IF($A14="","",COUNTIFS(Trade_Reports!$H$3:$H$502,$A14,Trade_Reports!$M$3:$M$502,"APPROVED",Trade_Reports!$Q$3:$Q$502,"&lt;="&amp;Settings!$B$4))</f>
        <v>0</v>
      </c>
      <c r="L14" s="19" t="str">
        <f>IF($A14="","",IF($K14=0,"",IFERROR(_xludf.MAXIFS(Trade_Reports!$O$3:$O$502,Trade_Reports!$H$3:$H$502,$A14,Trade_Reports!$M$3:$M$502,"APPROVED"),"")))</f>
        <v/>
      </c>
      <c r="M14" s="16" t="s">
        <v>46</v>
      </c>
      <c r="N14" s="15"/>
      <c r="O14" s="9" t="str">
        <f t="shared" si="0"/>
        <v/>
      </c>
      <c r="P14" s="20">
        <f>IF($A14="","",SUMIFS(Trade_Reports!$U$3:$U$502,Trade_Reports!$H$3:$H$502,$A14,Trade_Reports!$M$3:$M$502,"APPROVED",Trade_Reports!$Q$3:$Q$502,"&lt;="&amp;Settings!$B$4))</f>
        <v>0</v>
      </c>
      <c r="Q14" s="20">
        <f>IF($A14="","",SUMIFS(Trade_Reports!$U$3:$U$502,Trade_Reports!$H$3:$H$502,$A14,Trade_Reports!$M$3:$M$502,"APPROVED",Trade_Reports!$Q$3:$Q$502,"&lt;="&amp;Settings!$B$5))</f>
        <v>0</v>
      </c>
      <c r="R14" s="2" t="str">
        <f>IF($A14="","",IF($Q14=0,"",IFERROR(_xludf.MINIFS(Trade_Reports!$I$3:$I$502,Trade_Reports!$H$3:$H$502,$A14,Trade_Reports!$M$3:$M$502,"APPROVED",Trade_Reports!$Q$3:$Q$502,"&lt;="&amp;Settings!$B$5,Trade_Reports!$X$3:$X$502,"&gt;="&amp;0.5*$Q14),"")))</f>
        <v/>
      </c>
      <c r="S14" s="20">
        <f>IF($A14="","",COUNTIFS(Trade_Reports!$H$3:$H$502,$A14,Trade_Reports!$M$3:$M$502,"APPROVED",Trade_Reports!$Q$3:$Q$502,"&lt;="&amp;Settings!$B$5))</f>
        <v>0</v>
      </c>
      <c r="T14" s="2"/>
      <c r="U14" s="2"/>
      <c r="V14" s="21" t="str">
        <f>IF(OR($A14="",ISERROR(SEARCH("_",$A14))),"",IFERROR(SUMIFS(Trade_Reports!$Z$3:$Z$502,Trade_Reports!$H$3:$H$502,$A14,Trade_Reports!$M$3:$M$502,"APPROVED")/SUMIFS(Trade_Reports!$U$3:$U$502,Trade_Reports!$H$3:$H$502,$A14,Trade_Reports!$M$3:$M$502,"APPROVED"),""))</f>
        <v/>
      </c>
      <c r="W14" s="17" t="str">
        <f t="shared" si="1"/>
        <v/>
      </c>
      <c r="X14" s="2"/>
      <c r="Y14" s="2"/>
      <c r="Z14" s="2"/>
    </row>
    <row r="15" spans="1:26" ht="14.4" x14ac:dyDescent="0.3">
      <c r="A15" s="15" t="s">
        <v>100</v>
      </c>
      <c r="B15" s="15"/>
      <c r="C15" s="16"/>
      <c r="D15" s="16"/>
      <c r="E15" s="16"/>
      <c r="F15" s="17" t="str">
        <f>IF($A15="","",IF($K15&lt;Settings!$B$14,"",IF($P15=0,"",IFERROR(_xludf.MINIFS(Trade_Reports!$I$3:$I$502,Trade_Reports!$H$3:$H$502,$A15,Trade_Reports!$M$3:$M$502,"APPROVED",Trade_Reports!$Q$3:$Q$502,"&lt;="&amp;Settings!$B$4,Trade_Reports!$W$3:$W$502,"&gt;="&amp;0.5*$P15),""))))</f>
        <v/>
      </c>
      <c r="G15" s="17" t="str">
        <f>IF($A15="","",IF($K15=0,"",IFERROR(_xludf.MINIFS(Trade_Reports!$I$3:$I$502,Trade_Reports!$H$3:$H$502,$A15,Trade_Reports!$M$3:$M$502,"APPROVED",Trade_Reports!$Q$3:$Q$502,"&lt;="&amp;Settings!$B$4),"")))</f>
        <v/>
      </c>
      <c r="H15" s="17" t="str">
        <f>IF($A15="","",IF($K15=0,"",IFERROR(_xludf.MAXIFS(Trade_Reports!$I$3:$I$502,Trade_Reports!$H$3:$H$502,$A15,Trade_Reports!$M$3:$M$502,"APPROVED",Trade_Reports!$Q$3:$Q$502,"&lt;="&amp;Settings!$B$4),"")))</f>
        <v/>
      </c>
      <c r="I15" s="17" t="str">
        <f>IF($A15="","",IF($F15="","",IF($Q15="","",IF(ABS($F15-$Q15)/$Q15&lt;=Settings!$B$18,"STABLE",IF($F15&gt;$Q15,"UP","DOWN")))))</f>
        <v/>
      </c>
      <c r="J15" s="18" t="str">
        <f>IF($A15="","",IF($K15=0,"",MIN(1,ROUND($K15/Settings!$B$14,2))))</f>
        <v/>
      </c>
      <c r="K15" s="17">
        <f>IF($A15="","",COUNTIFS(Trade_Reports!$H$3:$H$502,$A15,Trade_Reports!$M$3:$M$502,"APPROVED",Trade_Reports!$Q$3:$Q$502,"&lt;="&amp;Settings!$B$4))</f>
        <v>0</v>
      </c>
      <c r="L15" s="19" t="str">
        <f>IF($A15="","",IF($K15=0,"",IFERROR(_xludf.MAXIFS(Trade_Reports!$O$3:$O$502,Trade_Reports!$H$3:$H$502,$A15,Trade_Reports!$M$3:$M$502,"APPROVED"),"")))</f>
        <v/>
      </c>
      <c r="M15" s="16" t="s">
        <v>46</v>
      </c>
      <c r="N15" s="15"/>
      <c r="O15" s="9" t="str">
        <f t="shared" si="0"/>
        <v/>
      </c>
      <c r="P15" s="20">
        <f>IF($A15="","",SUMIFS(Trade_Reports!$U$3:$U$502,Trade_Reports!$H$3:$H$502,$A15,Trade_Reports!$M$3:$M$502,"APPROVED",Trade_Reports!$Q$3:$Q$502,"&lt;="&amp;Settings!$B$4))</f>
        <v>0</v>
      </c>
      <c r="Q15" s="20">
        <f>IF($A15="","",SUMIFS(Trade_Reports!$U$3:$U$502,Trade_Reports!$H$3:$H$502,$A15,Trade_Reports!$M$3:$M$502,"APPROVED",Trade_Reports!$Q$3:$Q$502,"&lt;="&amp;Settings!$B$5))</f>
        <v>0</v>
      </c>
      <c r="R15" s="2" t="str">
        <f>IF($A15="","",IF($Q15=0,"",IFERROR(_xludf.MINIFS(Trade_Reports!$I$3:$I$502,Trade_Reports!$H$3:$H$502,$A15,Trade_Reports!$M$3:$M$502,"APPROVED",Trade_Reports!$Q$3:$Q$502,"&lt;="&amp;Settings!$B$5,Trade_Reports!$X$3:$X$502,"&gt;="&amp;0.5*$Q15),"")))</f>
        <v/>
      </c>
      <c r="S15" s="20">
        <f>IF($A15="","",COUNTIFS(Trade_Reports!$H$3:$H$502,$A15,Trade_Reports!$M$3:$M$502,"APPROVED",Trade_Reports!$Q$3:$Q$502,"&lt;="&amp;Settings!$B$5))</f>
        <v>0</v>
      </c>
      <c r="T15" s="2"/>
      <c r="U15" s="2"/>
      <c r="V15" s="21" t="str">
        <f>IF(OR($A15="",ISERROR(SEARCH("_",$A15))),"",IFERROR(SUMIFS(Trade_Reports!$Z$3:$Z$502,Trade_Reports!$H$3:$H$502,$A15,Trade_Reports!$M$3:$M$502,"APPROVED")/SUMIFS(Trade_Reports!$U$3:$U$502,Trade_Reports!$H$3:$H$502,$A15,Trade_Reports!$M$3:$M$502,"APPROVED"),""))</f>
        <v/>
      </c>
      <c r="W15" s="17" t="str">
        <f t="shared" si="1"/>
        <v/>
      </c>
      <c r="X15" s="2"/>
      <c r="Y15" s="2"/>
      <c r="Z15" s="2"/>
    </row>
    <row r="16" spans="1:26" ht="14.4" x14ac:dyDescent="0.3">
      <c r="A16" s="15" t="s">
        <v>101</v>
      </c>
      <c r="B16" s="15"/>
      <c r="C16" s="16"/>
      <c r="D16" s="16"/>
      <c r="E16" s="16"/>
      <c r="F16" s="17" t="str">
        <f>IF($A16="","",IF($K16&lt;Settings!$B$14,"",IF($P16=0,"",IFERROR(_xludf.MINIFS(Trade_Reports!$I$3:$I$502,Trade_Reports!$H$3:$H$502,$A16,Trade_Reports!$M$3:$M$502,"APPROVED",Trade_Reports!$Q$3:$Q$502,"&lt;="&amp;Settings!$B$4,Trade_Reports!$W$3:$W$502,"&gt;="&amp;0.5*$P16),""))))</f>
        <v/>
      </c>
      <c r="G16" s="17" t="str">
        <f>IF($A16="","",IF($K16=0,"",IFERROR(_xludf.MINIFS(Trade_Reports!$I$3:$I$502,Trade_Reports!$H$3:$H$502,$A16,Trade_Reports!$M$3:$M$502,"APPROVED",Trade_Reports!$Q$3:$Q$502,"&lt;="&amp;Settings!$B$4),"")))</f>
        <v/>
      </c>
      <c r="H16" s="17" t="str">
        <f>IF($A16="","",IF($K16=0,"",IFERROR(_xludf.MAXIFS(Trade_Reports!$I$3:$I$502,Trade_Reports!$H$3:$H$502,$A16,Trade_Reports!$M$3:$M$502,"APPROVED",Trade_Reports!$Q$3:$Q$502,"&lt;="&amp;Settings!$B$4),"")))</f>
        <v/>
      </c>
      <c r="I16" s="17" t="str">
        <f>IF($A16="","",IF($F16="","",IF($Q16="","",IF(ABS($F16-$Q16)/$Q16&lt;=Settings!$B$18,"STABLE",IF($F16&gt;$Q16,"UP","DOWN")))))</f>
        <v/>
      </c>
      <c r="J16" s="18" t="str">
        <f>IF($A16="","",IF($K16=0,"",MIN(1,ROUND($K16/Settings!$B$14,2))))</f>
        <v/>
      </c>
      <c r="K16" s="17">
        <f>IF($A16="","",COUNTIFS(Trade_Reports!$H$3:$H$502,$A16,Trade_Reports!$M$3:$M$502,"APPROVED",Trade_Reports!$Q$3:$Q$502,"&lt;="&amp;Settings!$B$4))</f>
        <v>0</v>
      </c>
      <c r="L16" s="19" t="str">
        <f>IF($A16="","",IF($K16=0,"",IFERROR(_xludf.MAXIFS(Trade_Reports!$O$3:$O$502,Trade_Reports!$H$3:$H$502,$A16,Trade_Reports!$M$3:$M$502,"APPROVED"),"")))</f>
        <v/>
      </c>
      <c r="M16" s="16" t="s">
        <v>46</v>
      </c>
      <c r="N16" s="15"/>
      <c r="O16" s="9" t="str">
        <f t="shared" si="0"/>
        <v/>
      </c>
      <c r="P16" s="20">
        <f>IF($A16="","",SUMIFS(Trade_Reports!$U$3:$U$502,Trade_Reports!$H$3:$H$502,$A16,Trade_Reports!$M$3:$M$502,"APPROVED",Trade_Reports!$Q$3:$Q$502,"&lt;="&amp;Settings!$B$4))</f>
        <v>0</v>
      </c>
      <c r="Q16" s="20">
        <f>IF($A16="","",SUMIFS(Trade_Reports!$U$3:$U$502,Trade_Reports!$H$3:$H$502,$A16,Trade_Reports!$M$3:$M$502,"APPROVED",Trade_Reports!$Q$3:$Q$502,"&lt;="&amp;Settings!$B$5))</f>
        <v>0</v>
      </c>
      <c r="R16" s="2" t="str">
        <f>IF($A16="","",IF($Q16=0,"",IFERROR(_xludf.MINIFS(Trade_Reports!$I$3:$I$502,Trade_Reports!$H$3:$H$502,$A16,Trade_Reports!$M$3:$M$502,"APPROVED",Trade_Reports!$Q$3:$Q$502,"&lt;="&amp;Settings!$B$5,Trade_Reports!$X$3:$X$502,"&gt;="&amp;0.5*$Q16),"")))</f>
        <v/>
      </c>
      <c r="S16" s="20">
        <f>IF($A16="","",COUNTIFS(Trade_Reports!$H$3:$H$502,$A16,Trade_Reports!$M$3:$M$502,"APPROVED",Trade_Reports!$Q$3:$Q$502,"&lt;="&amp;Settings!$B$5))</f>
        <v>0</v>
      </c>
      <c r="T16" s="2"/>
      <c r="U16" s="2"/>
      <c r="V16" s="21" t="str">
        <f>IF(OR($A16="",ISERROR(SEARCH("_",$A16))),"",IFERROR(SUMIFS(Trade_Reports!$Z$3:$Z$502,Trade_Reports!$H$3:$H$502,$A16,Trade_Reports!$M$3:$M$502,"APPROVED")/SUMIFS(Trade_Reports!$U$3:$U$502,Trade_Reports!$H$3:$H$502,$A16,Trade_Reports!$M$3:$M$502,"APPROVED"),""))</f>
        <v/>
      </c>
      <c r="W16" s="17" t="str">
        <f t="shared" si="1"/>
        <v/>
      </c>
      <c r="X16" s="2"/>
      <c r="Y16" s="2"/>
      <c r="Z16" s="2"/>
    </row>
    <row r="17" spans="1:26" ht="14.4" x14ac:dyDescent="0.3">
      <c r="A17" s="15" t="s">
        <v>102</v>
      </c>
      <c r="B17" s="15"/>
      <c r="C17" s="16"/>
      <c r="D17" s="16"/>
      <c r="E17" s="16"/>
      <c r="F17" s="17" t="str">
        <f>IF($A17="","",IF($K17&lt;Settings!$B$14,"",IF($P17=0,"",IFERROR(_xludf.MINIFS(Trade_Reports!$I$3:$I$502,Trade_Reports!$H$3:$H$502,$A17,Trade_Reports!$M$3:$M$502,"APPROVED",Trade_Reports!$Q$3:$Q$502,"&lt;="&amp;Settings!$B$4,Trade_Reports!$W$3:$W$502,"&gt;="&amp;0.5*$P17),""))))</f>
        <v/>
      </c>
      <c r="G17" s="17" t="str">
        <f>IF($A17="","",IF($K17=0,"",IFERROR(_xludf.MINIFS(Trade_Reports!$I$3:$I$502,Trade_Reports!$H$3:$H$502,$A17,Trade_Reports!$M$3:$M$502,"APPROVED",Trade_Reports!$Q$3:$Q$502,"&lt;="&amp;Settings!$B$4),"")))</f>
        <v/>
      </c>
      <c r="H17" s="17" t="str">
        <f>IF($A17="","",IF($K17=0,"",IFERROR(_xludf.MAXIFS(Trade_Reports!$I$3:$I$502,Trade_Reports!$H$3:$H$502,$A17,Trade_Reports!$M$3:$M$502,"APPROVED",Trade_Reports!$Q$3:$Q$502,"&lt;="&amp;Settings!$B$4),"")))</f>
        <v/>
      </c>
      <c r="I17" s="17" t="str">
        <f>IF($A17="","",IF($F17="","",IF($Q17="","",IF(ABS($F17-$Q17)/$Q17&lt;=Settings!$B$18,"STABLE",IF($F17&gt;$Q17,"UP","DOWN")))))</f>
        <v/>
      </c>
      <c r="J17" s="18" t="str">
        <f>IF($A17="","",IF($K17=0,"",MIN(1,ROUND($K17/Settings!$B$14,2))))</f>
        <v/>
      </c>
      <c r="K17" s="17">
        <f>IF($A17="","",COUNTIFS(Trade_Reports!$H$3:$H$502,$A17,Trade_Reports!$M$3:$M$502,"APPROVED",Trade_Reports!$Q$3:$Q$502,"&lt;="&amp;Settings!$B$4))</f>
        <v>0</v>
      </c>
      <c r="L17" s="19" t="str">
        <f>IF($A17="","",IF($K17=0,"",IFERROR(_xludf.MAXIFS(Trade_Reports!$O$3:$O$502,Trade_Reports!$H$3:$H$502,$A17,Trade_Reports!$M$3:$M$502,"APPROVED"),"")))</f>
        <v/>
      </c>
      <c r="M17" s="16" t="s">
        <v>46</v>
      </c>
      <c r="N17" s="15"/>
      <c r="O17" s="9" t="str">
        <f t="shared" si="0"/>
        <v/>
      </c>
      <c r="P17" s="20">
        <f>IF($A17="","",SUMIFS(Trade_Reports!$U$3:$U$502,Trade_Reports!$H$3:$H$502,$A17,Trade_Reports!$M$3:$M$502,"APPROVED",Trade_Reports!$Q$3:$Q$502,"&lt;="&amp;Settings!$B$4))</f>
        <v>0</v>
      </c>
      <c r="Q17" s="20">
        <f>IF($A17="","",SUMIFS(Trade_Reports!$U$3:$U$502,Trade_Reports!$H$3:$H$502,$A17,Trade_Reports!$M$3:$M$502,"APPROVED",Trade_Reports!$Q$3:$Q$502,"&lt;="&amp;Settings!$B$5))</f>
        <v>0</v>
      </c>
      <c r="R17" s="2" t="str">
        <f>IF($A17="","",IF($Q17=0,"",IFERROR(_xludf.MINIFS(Trade_Reports!$I$3:$I$502,Trade_Reports!$H$3:$H$502,$A17,Trade_Reports!$M$3:$M$502,"APPROVED",Trade_Reports!$Q$3:$Q$502,"&lt;="&amp;Settings!$B$5,Trade_Reports!$X$3:$X$502,"&gt;="&amp;0.5*$Q17),"")))</f>
        <v/>
      </c>
      <c r="S17" s="20">
        <f>IF($A17="","",COUNTIFS(Trade_Reports!$H$3:$H$502,$A17,Trade_Reports!$M$3:$M$502,"APPROVED",Trade_Reports!$Q$3:$Q$502,"&lt;="&amp;Settings!$B$5))</f>
        <v>0</v>
      </c>
      <c r="T17" s="2"/>
      <c r="U17" s="2"/>
      <c r="V17" s="21" t="str">
        <f>IF(OR($A17="",ISERROR(SEARCH("_",$A17))),"",IFERROR(SUMIFS(Trade_Reports!$Z$3:$Z$502,Trade_Reports!$H$3:$H$502,$A17,Trade_Reports!$M$3:$M$502,"APPROVED")/SUMIFS(Trade_Reports!$U$3:$U$502,Trade_Reports!$H$3:$H$502,$A17,Trade_Reports!$M$3:$M$502,"APPROVED"),""))</f>
        <v/>
      </c>
      <c r="W17" s="17" t="str">
        <f t="shared" si="1"/>
        <v/>
      </c>
      <c r="X17" s="2"/>
      <c r="Y17" s="2"/>
      <c r="Z17" s="2"/>
    </row>
    <row r="18" spans="1:26" ht="14.4" x14ac:dyDescent="0.3">
      <c r="A18" s="15" t="s">
        <v>103</v>
      </c>
      <c r="B18" s="15"/>
      <c r="C18" s="16"/>
      <c r="D18" s="16"/>
      <c r="E18" s="16"/>
      <c r="F18" s="17" t="str">
        <f>IF($A18="","",IF($K18&lt;Settings!$B$14,"",IF($P18=0,"",IFERROR(_xludf.MINIFS(Trade_Reports!$I$3:$I$502,Trade_Reports!$H$3:$H$502,$A18,Trade_Reports!$M$3:$M$502,"APPROVED",Trade_Reports!$Q$3:$Q$502,"&lt;="&amp;Settings!$B$4,Trade_Reports!$W$3:$W$502,"&gt;="&amp;0.5*$P18),""))))</f>
        <v/>
      </c>
      <c r="G18" s="17" t="str">
        <f>IF($A18="","",IF($K18=0,"",IFERROR(_xludf.MINIFS(Trade_Reports!$I$3:$I$502,Trade_Reports!$H$3:$H$502,$A18,Trade_Reports!$M$3:$M$502,"APPROVED",Trade_Reports!$Q$3:$Q$502,"&lt;="&amp;Settings!$B$4),"")))</f>
        <v/>
      </c>
      <c r="H18" s="17" t="str">
        <f>IF($A18="","",IF($K18=0,"",IFERROR(_xludf.MAXIFS(Trade_Reports!$I$3:$I$502,Trade_Reports!$H$3:$H$502,$A18,Trade_Reports!$M$3:$M$502,"APPROVED",Trade_Reports!$Q$3:$Q$502,"&lt;="&amp;Settings!$B$4),"")))</f>
        <v/>
      </c>
      <c r="I18" s="17" t="str">
        <f>IF($A18="","",IF($F18="","",IF($Q18="","",IF(ABS($F18-$Q18)/$Q18&lt;=Settings!$B$18,"STABLE",IF($F18&gt;$Q18,"UP","DOWN")))))</f>
        <v/>
      </c>
      <c r="J18" s="18" t="str">
        <f>IF($A18="","",IF($K18=0,"",MIN(1,ROUND($K18/Settings!$B$14,2))))</f>
        <v/>
      </c>
      <c r="K18" s="17">
        <f>IF($A18="","",COUNTIFS(Trade_Reports!$H$3:$H$502,$A18,Trade_Reports!$M$3:$M$502,"APPROVED",Trade_Reports!$Q$3:$Q$502,"&lt;="&amp;Settings!$B$4))</f>
        <v>0</v>
      </c>
      <c r="L18" s="19" t="str">
        <f>IF($A18="","",IF($K18=0,"",IFERROR(_xludf.MAXIFS(Trade_Reports!$O$3:$O$502,Trade_Reports!$H$3:$H$502,$A18,Trade_Reports!$M$3:$M$502,"APPROVED"),"")))</f>
        <v/>
      </c>
      <c r="M18" s="16" t="s">
        <v>46</v>
      </c>
      <c r="N18" s="15"/>
      <c r="O18" s="9" t="str">
        <f t="shared" si="0"/>
        <v/>
      </c>
      <c r="P18" s="20">
        <f>IF($A18="","",SUMIFS(Trade_Reports!$U$3:$U$502,Trade_Reports!$H$3:$H$502,$A18,Trade_Reports!$M$3:$M$502,"APPROVED",Trade_Reports!$Q$3:$Q$502,"&lt;="&amp;Settings!$B$4))</f>
        <v>0</v>
      </c>
      <c r="Q18" s="20">
        <f>IF($A18="","",SUMIFS(Trade_Reports!$U$3:$U$502,Trade_Reports!$H$3:$H$502,$A18,Trade_Reports!$M$3:$M$502,"APPROVED",Trade_Reports!$Q$3:$Q$502,"&lt;="&amp;Settings!$B$5))</f>
        <v>0</v>
      </c>
      <c r="R18" s="2" t="str">
        <f>IF($A18="","",IF($Q18=0,"",IFERROR(_xludf.MINIFS(Trade_Reports!$I$3:$I$502,Trade_Reports!$H$3:$H$502,$A18,Trade_Reports!$M$3:$M$502,"APPROVED",Trade_Reports!$Q$3:$Q$502,"&lt;="&amp;Settings!$B$5,Trade_Reports!$X$3:$X$502,"&gt;="&amp;0.5*$Q18),"")))</f>
        <v/>
      </c>
      <c r="S18" s="20">
        <f>IF($A18="","",COUNTIFS(Trade_Reports!$H$3:$H$502,$A18,Trade_Reports!$M$3:$M$502,"APPROVED",Trade_Reports!$Q$3:$Q$502,"&lt;="&amp;Settings!$B$5))</f>
        <v>0</v>
      </c>
      <c r="T18" s="2"/>
      <c r="U18" s="2"/>
      <c r="V18" s="21" t="str">
        <f>IF(OR($A18="",ISERROR(SEARCH("_",$A18))),"",IFERROR(SUMIFS(Trade_Reports!$Z$3:$Z$502,Trade_Reports!$H$3:$H$502,$A18,Trade_Reports!$M$3:$M$502,"APPROVED")/SUMIFS(Trade_Reports!$U$3:$U$502,Trade_Reports!$H$3:$H$502,$A18,Trade_Reports!$M$3:$M$502,"APPROVED"),""))</f>
        <v/>
      </c>
      <c r="W18" s="17" t="str">
        <f t="shared" si="1"/>
        <v/>
      </c>
      <c r="X18" s="2"/>
      <c r="Y18" s="2"/>
      <c r="Z18" s="2"/>
    </row>
    <row r="19" spans="1:26" ht="14.4" x14ac:dyDescent="0.3">
      <c r="A19" s="15" t="s">
        <v>104</v>
      </c>
      <c r="B19" s="15"/>
      <c r="C19" s="16"/>
      <c r="D19" s="16"/>
      <c r="E19" s="16"/>
      <c r="F19" s="17" t="str">
        <f>IF($A19="","",IF($K19&lt;Settings!$B$14,"",IF($P19=0,"",IFERROR(_xludf.MINIFS(Trade_Reports!$I$3:$I$502,Trade_Reports!$H$3:$H$502,$A19,Trade_Reports!$M$3:$M$502,"APPROVED",Trade_Reports!$Q$3:$Q$502,"&lt;="&amp;Settings!$B$4,Trade_Reports!$W$3:$W$502,"&gt;="&amp;0.5*$P19),""))))</f>
        <v/>
      </c>
      <c r="G19" s="17" t="str">
        <f>IF($A19="","",IF($K19=0,"",IFERROR(_xludf.MINIFS(Trade_Reports!$I$3:$I$502,Trade_Reports!$H$3:$H$502,$A19,Trade_Reports!$M$3:$M$502,"APPROVED",Trade_Reports!$Q$3:$Q$502,"&lt;="&amp;Settings!$B$4),"")))</f>
        <v/>
      </c>
      <c r="H19" s="17" t="str">
        <f>IF($A19="","",IF($K19=0,"",IFERROR(_xludf.MAXIFS(Trade_Reports!$I$3:$I$502,Trade_Reports!$H$3:$H$502,$A19,Trade_Reports!$M$3:$M$502,"APPROVED",Trade_Reports!$Q$3:$Q$502,"&lt;="&amp;Settings!$B$4),"")))</f>
        <v/>
      </c>
      <c r="I19" s="17" t="str">
        <f>IF($A19="","",IF($F19="","",IF($Q19="","",IF(ABS($F19-$Q19)/$Q19&lt;=Settings!$B$18,"STABLE",IF($F19&gt;$Q19,"UP","DOWN")))))</f>
        <v/>
      </c>
      <c r="J19" s="18" t="str">
        <f>IF($A19="","",IF($K19=0,"",MIN(1,ROUND($K19/Settings!$B$14,2))))</f>
        <v/>
      </c>
      <c r="K19" s="17">
        <f>IF($A19="","",COUNTIFS(Trade_Reports!$H$3:$H$502,$A19,Trade_Reports!$M$3:$M$502,"APPROVED",Trade_Reports!$Q$3:$Q$502,"&lt;="&amp;Settings!$B$4))</f>
        <v>0</v>
      </c>
      <c r="L19" s="19" t="str">
        <f>IF($A19="","",IF($K19=0,"",IFERROR(_xludf.MAXIFS(Trade_Reports!$O$3:$O$502,Trade_Reports!$H$3:$H$502,$A19,Trade_Reports!$M$3:$M$502,"APPROVED"),"")))</f>
        <v/>
      </c>
      <c r="M19" s="16" t="s">
        <v>46</v>
      </c>
      <c r="N19" s="15"/>
      <c r="O19" s="9" t="str">
        <f t="shared" si="0"/>
        <v/>
      </c>
      <c r="P19" s="20">
        <f>IF($A19="","",SUMIFS(Trade_Reports!$U$3:$U$502,Trade_Reports!$H$3:$H$502,$A19,Trade_Reports!$M$3:$M$502,"APPROVED",Trade_Reports!$Q$3:$Q$502,"&lt;="&amp;Settings!$B$4))</f>
        <v>0</v>
      </c>
      <c r="Q19" s="20">
        <f>IF($A19="","",SUMIFS(Trade_Reports!$U$3:$U$502,Trade_Reports!$H$3:$H$502,$A19,Trade_Reports!$M$3:$M$502,"APPROVED",Trade_Reports!$Q$3:$Q$502,"&lt;="&amp;Settings!$B$5))</f>
        <v>0</v>
      </c>
      <c r="R19" s="2" t="str">
        <f>IF($A19="","",IF($Q19=0,"",IFERROR(_xludf.MINIFS(Trade_Reports!$I$3:$I$502,Trade_Reports!$H$3:$H$502,$A19,Trade_Reports!$M$3:$M$502,"APPROVED",Trade_Reports!$Q$3:$Q$502,"&lt;="&amp;Settings!$B$5,Trade_Reports!$X$3:$X$502,"&gt;="&amp;0.5*$Q19),"")))</f>
        <v/>
      </c>
      <c r="S19" s="20">
        <f>IF($A19="","",COUNTIFS(Trade_Reports!$H$3:$H$502,$A19,Trade_Reports!$M$3:$M$502,"APPROVED",Trade_Reports!$Q$3:$Q$502,"&lt;="&amp;Settings!$B$5))</f>
        <v>0</v>
      </c>
      <c r="T19" s="2"/>
      <c r="U19" s="2"/>
      <c r="V19" s="21" t="str">
        <f>IF(OR($A19="",ISERROR(SEARCH("_",$A19))),"",IFERROR(SUMIFS(Trade_Reports!$Z$3:$Z$502,Trade_Reports!$H$3:$H$502,$A19,Trade_Reports!$M$3:$M$502,"APPROVED")/SUMIFS(Trade_Reports!$U$3:$U$502,Trade_Reports!$H$3:$H$502,$A19,Trade_Reports!$M$3:$M$502,"APPROVED"),""))</f>
        <v/>
      </c>
      <c r="W19" s="17" t="str">
        <f t="shared" si="1"/>
        <v/>
      </c>
      <c r="X19" s="2"/>
      <c r="Y19" s="2"/>
      <c r="Z19" s="2"/>
    </row>
    <row r="20" spans="1:26" ht="14.4" x14ac:dyDescent="0.3">
      <c r="A20" s="15" t="s">
        <v>105</v>
      </c>
      <c r="B20" s="15"/>
      <c r="C20" s="16"/>
      <c r="D20" s="16"/>
      <c r="E20" s="16"/>
      <c r="F20" s="17" t="str">
        <f>IF($A20="","",IF($K20&lt;Settings!$B$14,"",IF($P20=0,"",IFERROR(_xludf.MINIFS(Trade_Reports!$I$3:$I$502,Trade_Reports!$H$3:$H$502,$A20,Trade_Reports!$M$3:$M$502,"APPROVED",Trade_Reports!$Q$3:$Q$502,"&lt;="&amp;Settings!$B$4,Trade_Reports!$W$3:$W$502,"&gt;="&amp;0.5*$P20),""))))</f>
        <v/>
      </c>
      <c r="G20" s="17" t="str">
        <f>IF($A20="","",IF($K20=0,"",IFERROR(_xludf.MINIFS(Trade_Reports!$I$3:$I$502,Trade_Reports!$H$3:$H$502,$A20,Trade_Reports!$M$3:$M$502,"APPROVED",Trade_Reports!$Q$3:$Q$502,"&lt;="&amp;Settings!$B$4),"")))</f>
        <v/>
      </c>
      <c r="H20" s="17" t="str">
        <f>IF($A20="","",IF($K20=0,"",IFERROR(_xludf.MAXIFS(Trade_Reports!$I$3:$I$502,Trade_Reports!$H$3:$H$502,$A20,Trade_Reports!$M$3:$M$502,"APPROVED",Trade_Reports!$Q$3:$Q$502,"&lt;="&amp;Settings!$B$4),"")))</f>
        <v/>
      </c>
      <c r="I20" s="17" t="str">
        <f>IF($A20="","",IF($F20="","",IF($Q20="","",IF(ABS($F20-$Q20)/$Q20&lt;=Settings!$B$18,"STABLE",IF($F20&gt;$Q20,"UP","DOWN")))))</f>
        <v/>
      </c>
      <c r="J20" s="18" t="str">
        <f>IF($A20="","",IF($K20=0,"",MIN(1,ROUND($K20/Settings!$B$14,2))))</f>
        <v/>
      </c>
      <c r="K20" s="17">
        <f>IF($A20="","",COUNTIFS(Trade_Reports!$H$3:$H$502,$A20,Trade_Reports!$M$3:$M$502,"APPROVED",Trade_Reports!$Q$3:$Q$502,"&lt;="&amp;Settings!$B$4))</f>
        <v>0</v>
      </c>
      <c r="L20" s="19" t="str">
        <f>IF($A20="","",IF($K20=0,"",IFERROR(_xludf.MAXIFS(Trade_Reports!$O$3:$O$502,Trade_Reports!$H$3:$H$502,$A20,Trade_Reports!$M$3:$M$502,"APPROVED"),"")))</f>
        <v/>
      </c>
      <c r="M20" s="16" t="s">
        <v>46</v>
      </c>
      <c r="N20" s="15"/>
      <c r="O20" s="9" t="str">
        <f t="shared" si="0"/>
        <v/>
      </c>
      <c r="P20" s="20">
        <f>IF($A20="","",SUMIFS(Trade_Reports!$U$3:$U$502,Trade_Reports!$H$3:$H$502,$A20,Trade_Reports!$M$3:$M$502,"APPROVED",Trade_Reports!$Q$3:$Q$502,"&lt;="&amp;Settings!$B$4))</f>
        <v>0</v>
      </c>
      <c r="Q20" s="20">
        <f>IF($A20="","",SUMIFS(Trade_Reports!$U$3:$U$502,Trade_Reports!$H$3:$H$502,$A20,Trade_Reports!$M$3:$M$502,"APPROVED",Trade_Reports!$Q$3:$Q$502,"&lt;="&amp;Settings!$B$5))</f>
        <v>0</v>
      </c>
      <c r="R20" s="2" t="str">
        <f>IF($A20="","",IF($Q20=0,"",IFERROR(_xludf.MINIFS(Trade_Reports!$I$3:$I$502,Trade_Reports!$H$3:$H$502,$A20,Trade_Reports!$M$3:$M$502,"APPROVED",Trade_Reports!$Q$3:$Q$502,"&lt;="&amp;Settings!$B$5,Trade_Reports!$X$3:$X$502,"&gt;="&amp;0.5*$Q20),"")))</f>
        <v/>
      </c>
      <c r="S20" s="20">
        <f>IF($A20="","",COUNTIFS(Trade_Reports!$H$3:$H$502,$A20,Trade_Reports!$M$3:$M$502,"APPROVED",Trade_Reports!$Q$3:$Q$502,"&lt;="&amp;Settings!$B$5))</f>
        <v>0</v>
      </c>
      <c r="T20" s="2"/>
      <c r="U20" s="2"/>
      <c r="V20" s="21" t="str">
        <f>IF(OR($A20="",ISERROR(SEARCH("_",$A20))),"",IFERROR(SUMIFS(Trade_Reports!$Z$3:$Z$502,Trade_Reports!$H$3:$H$502,$A20,Trade_Reports!$M$3:$M$502,"APPROVED")/SUMIFS(Trade_Reports!$U$3:$U$502,Trade_Reports!$H$3:$H$502,$A20,Trade_Reports!$M$3:$M$502,"APPROVED"),""))</f>
        <v/>
      </c>
      <c r="W20" s="17" t="str">
        <f t="shared" si="1"/>
        <v/>
      </c>
      <c r="X20" s="2"/>
      <c r="Y20" s="2"/>
      <c r="Z20" s="2"/>
    </row>
    <row r="21" spans="1:26" ht="15.75" customHeight="1" x14ac:dyDescent="0.3">
      <c r="A21" s="15" t="s">
        <v>106</v>
      </c>
      <c r="B21" s="15"/>
      <c r="C21" s="16"/>
      <c r="D21" s="16"/>
      <c r="E21" s="16"/>
      <c r="F21" s="17" t="str">
        <f>IF($A21="","",IF($K21&lt;Settings!$B$14,"",IF($P21=0,"",IFERROR(_xludf.MINIFS(Trade_Reports!$I$3:$I$502,Trade_Reports!$H$3:$H$502,$A21,Trade_Reports!$M$3:$M$502,"APPROVED",Trade_Reports!$Q$3:$Q$502,"&lt;="&amp;Settings!$B$4,Trade_Reports!$W$3:$W$502,"&gt;="&amp;0.5*$P21),""))))</f>
        <v/>
      </c>
      <c r="G21" s="17" t="str">
        <f>IF($A21="","",IF($K21=0,"",IFERROR(_xludf.MINIFS(Trade_Reports!$I$3:$I$502,Trade_Reports!$H$3:$H$502,$A21,Trade_Reports!$M$3:$M$502,"APPROVED",Trade_Reports!$Q$3:$Q$502,"&lt;="&amp;Settings!$B$4),"")))</f>
        <v/>
      </c>
      <c r="H21" s="17" t="str">
        <f>IF($A21="","",IF($K21=0,"",IFERROR(_xludf.MAXIFS(Trade_Reports!$I$3:$I$502,Trade_Reports!$H$3:$H$502,$A21,Trade_Reports!$M$3:$M$502,"APPROVED",Trade_Reports!$Q$3:$Q$502,"&lt;="&amp;Settings!$B$4),"")))</f>
        <v/>
      </c>
      <c r="I21" s="17" t="str">
        <f>IF($A21="","",IF($F21="","",IF($Q21="","",IF(ABS($F21-$Q21)/$Q21&lt;=Settings!$B$18,"STABLE",IF($F21&gt;$Q21,"UP","DOWN")))))</f>
        <v/>
      </c>
      <c r="J21" s="18" t="str">
        <f>IF($A21="","",IF($K21=0,"",MIN(1,ROUND($K21/Settings!$B$14,2))))</f>
        <v/>
      </c>
      <c r="K21" s="17">
        <f>IF($A21="","",COUNTIFS(Trade_Reports!$H$3:$H$502,$A21,Trade_Reports!$M$3:$M$502,"APPROVED",Trade_Reports!$Q$3:$Q$502,"&lt;="&amp;Settings!$B$4))</f>
        <v>0</v>
      </c>
      <c r="L21" s="19" t="str">
        <f>IF($A21="","",IF($K21=0,"",IFERROR(_xludf.MAXIFS(Trade_Reports!$O$3:$O$502,Trade_Reports!$H$3:$H$502,$A21,Trade_Reports!$M$3:$M$502,"APPROVED"),"")))</f>
        <v/>
      </c>
      <c r="M21" s="16" t="s">
        <v>46</v>
      </c>
      <c r="N21" s="15"/>
      <c r="O21" s="9" t="str">
        <f t="shared" si="0"/>
        <v/>
      </c>
      <c r="P21" s="20">
        <f>IF($A21="","",SUMIFS(Trade_Reports!$U$3:$U$502,Trade_Reports!$H$3:$H$502,$A21,Trade_Reports!$M$3:$M$502,"APPROVED",Trade_Reports!$Q$3:$Q$502,"&lt;="&amp;Settings!$B$4))</f>
        <v>0</v>
      </c>
      <c r="Q21" s="20">
        <f>IF($A21="","",SUMIFS(Trade_Reports!$U$3:$U$502,Trade_Reports!$H$3:$H$502,$A21,Trade_Reports!$M$3:$M$502,"APPROVED",Trade_Reports!$Q$3:$Q$502,"&lt;="&amp;Settings!$B$5))</f>
        <v>0</v>
      </c>
      <c r="R21" s="2" t="str">
        <f>IF($A21="","",IF($Q21=0,"",IFERROR(_xludf.MINIFS(Trade_Reports!$I$3:$I$502,Trade_Reports!$H$3:$H$502,$A21,Trade_Reports!$M$3:$M$502,"APPROVED",Trade_Reports!$Q$3:$Q$502,"&lt;="&amp;Settings!$B$5,Trade_Reports!$X$3:$X$502,"&gt;="&amp;0.5*$Q21),"")))</f>
        <v/>
      </c>
      <c r="S21" s="20">
        <f>IF($A21="","",COUNTIFS(Trade_Reports!$H$3:$H$502,$A21,Trade_Reports!$M$3:$M$502,"APPROVED",Trade_Reports!$Q$3:$Q$502,"&lt;="&amp;Settings!$B$5))</f>
        <v>0</v>
      </c>
      <c r="T21" s="2"/>
      <c r="U21" s="2"/>
      <c r="V21" s="21" t="str">
        <f>IF(OR($A21="",ISERROR(SEARCH("_",$A21))),"",IFERROR(SUMIFS(Trade_Reports!$Z$3:$Z$502,Trade_Reports!$H$3:$H$502,$A21,Trade_Reports!$M$3:$M$502,"APPROVED")/SUMIFS(Trade_Reports!$U$3:$U$502,Trade_Reports!$H$3:$H$502,$A21,Trade_Reports!$M$3:$M$502,"APPROVED"),""))</f>
        <v/>
      </c>
      <c r="W21" s="17" t="str">
        <f t="shared" si="1"/>
        <v/>
      </c>
      <c r="X21" s="2"/>
      <c r="Y21" s="2"/>
      <c r="Z21" s="2"/>
    </row>
    <row r="22" spans="1:26" ht="15.75" customHeight="1" x14ac:dyDescent="0.3">
      <c r="A22" s="15" t="s">
        <v>107</v>
      </c>
      <c r="B22" s="15"/>
      <c r="C22" s="16"/>
      <c r="D22" s="16"/>
      <c r="E22" s="16"/>
      <c r="F22" s="17" t="str">
        <f>IF($A22="","",IF($K22&lt;Settings!$B$14,"",IF($P22=0,"",IFERROR(_xludf.MINIFS(Trade_Reports!$I$3:$I$502,Trade_Reports!$H$3:$H$502,$A22,Trade_Reports!$M$3:$M$502,"APPROVED",Trade_Reports!$Q$3:$Q$502,"&lt;="&amp;Settings!$B$4,Trade_Reports!$W$3:$W$502,"&gt;="&amp;0.5*$P22),""))))</f>
        <v/>
      </c>
      <c r="G22" s="17" t="str">
        <f>IF($A22="","",IF($K22=0,"",IFERROR(_xludf.MINIFS(Trade_Reports!$I$3:$I$502,Trade_Reports!$H$3:$H$502,$A22,Trade_Reports!$M$3:$M$502,"APPROVED",Trade_Reports!$Q$3:$Q$502,"&lt;="&amp;Settings!$B$4),"")))</f>
        <v/>
      </c>
      <c r="H22" s="17" t="str">
        <f>IF($A22="","",IF($K22=0,"",IFERROR(_xludf.MAXIFS(Trade_Reports!$I$3:$I$502,Trade_Reports!$H$3:$H$502,$A22,Trade_Reports!$M$3:$M$502,"APPROVED",Trade_Reports!$Q$3:$Q$502,"&lt;="&amp;Settings!$B$4),"")))</f>
        <v/>
      </c>
      <c r="I22" s="17" t="str">
        <f>IF($A22="","",IF($F22="","",IF($Q22="","",IF(ABS($F22-$Q22)/$Q22&lt;=Settings!$B$18,"STABLE",IF($F22&gt;$Q22,"UP","DOWN")))))</f>
        <v/>
      </c>
      <c r="J22" s="18" t="str">
        <f>IF($A22="","",IF($K22=0,"",MIN(1,ROUND($K22/Settings!$B$14,2))))</f>
        <v/>
      </c>
      <c r="K22" s="17">
        <f>IF($A22="","",COUNTIFS(Trade_Reports!$H$3:$H$502,$A22,Trade_Reports!$M$3:$M$502,"APPROVED",Trade_Reports!$Q$3:$Q$502,"&lt;="&amp;Settings!$B$4))</f>
        <v>0</v>
      </c>
      <c r="L22" s="19" t="str">
        <f>IF($A22="","",IF($K22=0,"",IFERROR(_xludf.MAXIFS(Trade_Reports!$O$3:$O$502,Trade_Reports!$H$3:$H$502,$A22,Trade_Reports!$M$3:$M$502,"APPROVED"),"")))</f>
        <v/>
      </c>
      <c r="M22" s="16" t="s">
        <v>46</v>
      </c>
      <c r="N22" s="15"/>
      <c r="O22" s="9" t="str">
        <f t="shared" si="0"/>
        <v/>
      </c>
      <c r="P22" s="20">
        <f>IF($A22="","",SUMIFS(Trade_Reports!$U$3:$U$502,Trade_Reports!$H$3:$H$502,$A22,Trade_Reports!$M$3:$M$502,"APPROVED",Trade_Reports!$Q$3:$Q$502,"&lt;="&amp;Settings!$B$4))</f>
        <v>0</v>
      </c>
      <c r="Q22" s="20">
        <f>IF($A22="","",SUMIFS(Trade_Reports!$U$3:$U$502,Trade_Reports!$H$3:$H$502,$A22,Trade_Reports!$M$3:$M$502,"APPROVED",Trade_Reports!$Q$3:$Q$502,"&lt;="&amp;Settings!$B$5))</f>
        <v>0</v>
      </c>
      <c r="R22" s="2" t="str">
        <f>IF($A22="","",IF($Q22=0,"",IFERROR(_xludf.MINIFS(Trade_Reports!$I$3:$I$502,Trade_Reports!$H$3:$H$502,$A22,Trade_Reports!$M$3:$M$502,"APPROVED",Trade_Reports!$Q$3:$Q$502,"&lt;="&amp;Settings!$B$5,Trade_Reports!$X$3:$X$502,"&gt;="&amp;0.5*$Q22),"")))</f>
        <v/>
      </c>
      <c r="S22" s="20">
        <f>IF($A22="","",COUNTIFS(Trade_Reports!$H$3:$H$502,$A22,Trade_Reports!$M$3:$M$502,"APPROVED",Trade_Reports!$Q$3:$Q$502,"&lt;="&amp;Settings!$B$5))</f>
        <v>0</v>
      </c>
      <c r="T22" s="2"/>
      <c r="U22" s="2"/>
      <c r="V22" s="21" t="str">
        <f>IF(OR($A22="",ISERROR(SEARCH("_",$A22))),"",IFERROR(SUMIFS(Trade_Reports!$Z$3:$Z$502,Trade_Reports!$H$3:$H$502,$A22,Trade_Reports!$M$3:$M$502,"APPROVED")/SUMIFS(Trade_Reports!$U$3:$U$502,Trade_Reports!$H$3:$H$502,$A22,Trade_Reports!$M$3:$M$502,"APPROVED"),""))</f>
        <v/>
      </c>
      <c r="W22" s="17" t="str">
        <f t="shared" si="1"/>
        <v/>
      </c>
      <c r="X22" s="2"/>
      <c r="Y22" s="2"/>
      <c r="Z22" s="2"/>
    </row>
    <row r="23" spans="1:26" ht="15.75" customHeight="1" x14ac:dyDescent="0.3">
      <c r="A23" s="15" t="s">
        <v>108</v>
      </c>
      <c r="B23" s="15"/>
      <c r="C23" s="16"/>
      <c r="D23" s="16"/>
      <c r="E23" s="16"/>
      <c r="F23" s="17" t="str">
        <f>IF($A23="","",IF($K23&lt;Settings!$B$14,"",IF($P23=0,"",IFERROR(_xludf.MINIFS(Trade_Reports!$I$3:$I$502,Trade_Reports!$H$3:$H$502,$A23,Trade_Reports!$M$3:$M$502,"APPROVED",Trade_Reports!$Q$3:$Q$502,"&lt;="&amp;Settings!$B$4,Trade_Reports!$W$3:$W$502,"&gt;="&amp;0.5*$P23),""))))</f>
        <v/>
      </c>
      <c r="G23" s="17" t="str">
        <f>IF($A23="","",IF($K23=0,"",IFERROR(_xludf.MINIFS(Trade_Reports!$I$3:$I$502,Trade_Reports!$H$3:$H$502,$A23,Trade_Reports!$M$3:$M$502,"APPROVED",Trade_Reports!$Q$3:$Q$502,"&lt;="&amp;Settings!$B$4),"")))</f>
        <v/>
      </c>
      <c r="H23" s="17" t="str">
        <f>IF($A23="","",IF($K23=0,"",IFERROR(_xludf.MAXIFS(Trade_Reports!$I$3:$I$502,Trade_Reports!$H$3:$H$502,$A23,Trade_Reports!$M$3:$M$502,"APPROVED",Trade_Reports!$Q$3:$Q$502,"&lt;="&amp;Settings!$B$4),"")))</f>
        <v/>
      </c>
      <c r="I23" s="17" t="str">
        <f>IF($A23="","",IF($F23="","",IF($Q23="","",IF(ABS($F23-$Q23)/$Q23&lt;=Settings!$B$18,"STABLE",IF($F23&gt;$Q23,"UP","DOWN")))))</f>
        <v/>
      </c>
      <c r="J23" s="18" t="str">
        <f>IF($A23="","",IF($K23=0,"",MIN(1,ROUND($K23/Settings!$B$14,2))))</f>
        <v/>
      </c>
      <c r="K23" s="17">
        <f>IF($A23="","",COUNTIFS(Trade_Reports!$H$3:$H$502,$A23,Trade_Reports!$M$3:$M$502,"APPROVED",Trade_Reports!$Q$3:$Q$502,"&lt;="&amp;Settings!$B$4))</f>
        <v>0</v>
      </c>
      <c r="L23" s="19" t="str">
        <f>IF($A23="","",IF($K23=0,"",IFERROR(_xludf.MAXIFS(Trade_Reports!$O$3:$O$502,Trade_Reports!$H$3:$H$502,$A23,Trade_Reports!$M$3:$M$502,"APPROVED"),"")))</f>
        <v/>
      </c>
      <c r="M23" s="16" t="s">
        <v>46</v>
      </c>
      <c r="N23" s="15"/>
      <c r="O23" s="9" t="str">
        <f t="shared" si="0"/>
        <v/>
      </c>
      <c r="P23" s="20">
        <f>IF($A23="","",SUMIFS(Trade_Reports!$U$3:$U$502,Trade_Reports!$H$3:$H$502,$A23,Trade_Reports!$M$3:$M$502,"APPROVED",Trade_Reports!$Q$3:$Q$502,"&lt;="&amp;Settings!$B$4))</f>
        <v>0</v>
      </c>
      <c r="Q23" s="20">
        <f>IF($A23="","",SUMIFS(Trade_Reports!$U$3:$U$502,Trade_Reports!$H$3:$H$502,$A23,Trade_Reports!$M$3:$M$502,"APPROVED",Trade_Reports!$Q$3:$Q$502,"&lt;="&amp;Settings!$B$5))</f>
        <v>0</v>
      </c>
      <c r="R23" s="2" t="str">
        <f>IF($A23="","",IF($Q23=0,"",IFERROR(_xludf.MINIFS(Trade_Reports!$I$3:$I$502,Trade_Reports!$H$3:$H$502,$A23,Trade_Reports!$M$3:$M$502,"APPROVED",Trade_Reports!$Q$3:$Q$502,"&lt;="&amp;Settings!$B$5,Trade_Reports!$X$3:$X$502,"&gt;="&amp;0.5*$Q23),"")))</f>
        <v/>
      </c>
      <c r="S23" s="20">
        <f>IF($A23="","",COUNTIFS(Trade_Reports!$H$3:$H$502,$A23,Trade_Reports!$M$3:$M$502,"APPROVED",Trade_Reports!$Q$3:$Q$502,"&lt;="&amp;Settings!$B$5))</f>
        <v>0</v>
      </c>
      <c r="T23" s="2"/>
      <c r="U23" s="2"/>
      <c r="V23" s="21" t="str">
        <f>IF(OR($A23="",ISERROR(SEARCH("_",$A23))),"",IFERROR(SUMIFS(Trade_Reports!$Z$3:$Z$502,Trade_Reports!$H$3:$H$502,$A23,Trade_Reports!$M$3:$M$502,"APPROVED")/SUMIFS(Trade_Reports!$U$3:$U$502,Trade_Reports!$H$3:$H$502,$A23,Trade_Reports!$M$3:$M$502,"APPROVED"),""))</f>
        <v/>
      </c>
      <c r="W23" s="17" t="str">
        <f t="shared" si="1"/>
        <v/>
      </c>
      <c r="X23" s="2"/>
      <c r="Y23" s="2"/>
      <c r="Z23" s="2"/>
    </row>
    <row r="24" spans="1:26" ht="15.75" customHeight="1" x14ac:dyDescent="0.3">
      <c r="A24" s="15" t="s">
        <v>109</v>
      </c>
      <c r="B24" s="15"/>
      <c r="C24" s="16"/>
      <c r="D24" s="16"/>
      <c r="E24" s="16"/>
      <c r="F24" s="17" t="str">
        <f>IF($A24="","",IF($K24&lt;Settings!$B$14,"",IF($P24=0,"",IFERROR(_xludf.MINIFS(Trade_Reports!$I$3:$I$502,Trade_Reports!$H$3:$H$502,$A24,Trade_Reports!$M$3:$M$502,"APPROVED",Trade_Reports!$Q$3:$Q$502,"&lt;="&amp;Settings!$B$4,Trade_Reports!$W$3:$W$502,"&gt;="&amp;0.5*$P24),""))))</f>
        <v/>
      </c>
      <c r="G24" s="17" t="str">
        <f>IF($A24="","",IF($K24=0,"",IFERROR(_xludf.MINIFS(Trade_Reports!$I$3:$I$502,Trade_Reports!$H$3:$H$502,$A24,Trade_Reports!$M$3:$M$502,"APPROVED",Trade_Reports!$Q$3:$Q$502,"&lt;="&amp;Settings!$B$4),"")))</f>
        <v/>
      </c>
      <c r="H24" s="17" t="str">
        <f>IF($A24="","",IF($K24=0,"",IFERROR(_xludf.MAXIFS(Trade_Reports!$I$3:$I$502,Trade_Reports!$H$3:$H$502,$A24,Trade_Reports!$M$3:$M$502,"APPROVED",Trade_Reports!$Q$3:$Q$502,"&lt;="&amp;Settings!$B$4),"")))</f>
        <v/>
      </c>
      <c r="I24" s="17" t="str">
        <f>IF($A24="","",IF($F24="","",IF($Q24="","",IF(ABS($F24-$Q24)/$Q24&lt;=Settings!$B$18,"STABLE",IF($F24&gt;$Q24,"UP","DOWN")))))</f>
        <v/>
      </c>
      <c r="J24" s="18" t="str">
        <f>IF($A24="","",IF($K24=0,"",MIN(1,ROUND($K24/Settings!$B$14,2))))</f>
        <v/>
      </c>
      <c r="K24" s="17">
        <f>IF($A24="","",COUNTIFS(Trade_Reports!$H$3:$H$502,$A24,Trade_Reports!$M$3:$M$502,"APPROVED",Trade_Reports!$Q$3:$Q$502,"&lt;="&amp;Settings!$B$4))</f>
        <v>0</v>
      </c>
      <c r="L24" s="19" t="str">
        <f>IF($A24="","",IF($K24=0,"",IFERROR(_xludf.MAXIFS(Trade_Reports!$O$3:$O$502,Trade_Reports!$H$3:$H$502,$A24,Trade_Reports!$M$3:$M$502,"APPROVED"),"")))</f>
        <v/>
      </c>
      <c r="M24" s="16" t="s">
        <v>46</v>
      </c>
      <c r="N24" s="15"/>
      <c r="O24" s="9" t="str">
        <f t="shared" si="0"/>
        <v/>
      </c>
      <c r="P24" s="20">
        <f>IF($A24="","",SUMIFS(Trade_Reports!$U$3:$U$502,Trade_Reports!$H$3:$H$502,$A24,Trade_Reports!$M$3:$M$502,"APPROVED",Trade_Reports!$Q$3:$Q$502,"&lt;="&amp;Settings!$B$4))</f>
        <v>0</v>
      </c>
      <c r="Q24" s="20">
        <f>IF($A24="","",SUMIFS(Trade_Reports!$U$3:$U$502,Trade_Reports!$H$3:$H$502,$A24,Trade_Reports!$M$3:$M$502,"APPROVED",Trade_Reports!$Q$3:$Q$502,"&lt;="&amp;Settings!$B$5))</f>
        <v>0</v>
      </c>
      <c r="R24" s="2" t="str">
        <f>IF($A24="","",IF($Q24=0,"",IFERROR(_xludf.MINIFS(Trade_Reports!$I$3:$I$502,Trade_Reports!$H$3:$H$502,$A24,Trade_Reports!$M$3:$M$502,"APPROVED",Trade_Reports!$Q$3:$Q$502,"&lt;="&amp;Settings!$B$5,Trade_Reports!$X$3:$X$502,"&gt;="&amp;0.5*$Q24),"")))</f>
        <v/>
      </c>
      <c r="S24" s="20">
        <f>IF($A24="","",COUNTIFS(Trade_Reports!$H$3:$H$502,$A24,Trade_Reports!$M$3:$M$502,"APPROVED",Trade_Reports!$Q$3:$Q$502,"&lt;="&amp;Settings!$B$5))</f>
        <v>0</v>
      </c>
      <c r="T24" s="2"/>
      <c r="U24" s="2"/>
      <c r="V24" s="21" t="str">
        <f>IF(OR($A24="",ISERROR(SEARCH("_",$A24))),"",IFERROR(SUMIFS(Trade_Reports!$Z$3:$Z$502,Trade_Reports!$H$3:$H$502,$A24,Trade_Reports!$M$3:$M$502,"APPROVED")/SUMIFS(Trade_Reports!$U$3:$U$502,Trade_Reports!$H$3:$H$502,$A24,Trade_Reports!$M$3:$M$502,"APPROVED"),""))</f>
        <v/>
      </c>
      <c r="W24" s="17" t="str">
        <f t="shared" si="1"/>
        <v/>
      </c>
      <c r="X24" s="2"/>
      <c r="Y24" s="2"/>
      <c r="Z24" s="2"/>
    </row>
    <row r="25" spans="1:26" ht="15.75" customHeight="1" x14ac:dyDescent="0.3">
      <c r="A25" s="15" t="s">
        <v>110</v>
      </c>
      <c r="B25" s="15"/>
      <c r="C25" s="16"/>
      <c r="D25" s="16"/>
      <c r="E25" s="16"/>
      <c r="F25" s="17" t="str">
        <f>IF($A25="","",IF($K25&lt;Settings!$B$14,"",IF($P25=0,"",IFERROR(_xludf.MINIFS(Trade_Reports!$I$3:$I$502,Trade_Reports!$H$3:$H$502,$A25,Trade_Reports!$M$3:$M$502,"APPROVED",Trade_Reports!$Q$3:$Q$502,"&lt;="&amp;Settings!$B$4,Trade_Reports!$W$3:$W$502,"&gt;="&amp;0.5*$P25),""))))</f>
        <v/>
      </c>
      <c r="G25" s="17" t="str">
        <f>IF($A25="","",IF($K25=0,"",IFERROR(_xludf.MINIFS(Trade_Reports!$I$3:$I$502,Trade_Reports!$H$3:$H$502,$A25,Trade_Reports!$M$3:$M$502,"APPROVED",Trade_Reports!$Q$3:$Q$502,"&lt;="&amp;Settings!$B$4),"")))</f>
        <v/>
      </c>
      <c r="H25" s="17" t="str">
        <f>IF($A25="","",IF($K25=0,"",IFERROR(_xludf.MAXIFS(Trade_Reports!$I$3:$I$502,Trade_Reports!$H$3:$H$502,$A25,Trade_Reports!$M$3:$M$502,"APPROVED",Trade_Reports!$Q$3:$Q$502,"&lt;="&amp;Settings!$B$4),"")))</f>
        <v/>
      </c>
      <c r="I25" s="17" t="str">
        <f>IF($A25="","",IF($F25="","",IF($Q25="","",IF(ABS($F25-$Q25)/$Q25&lt;=Settings!$B$18,"STABLE",IF($F25&gt;$Q25,"UP","DOWN")))))</f>
        <v/>
      </c>
      <c r="J25" s="18" t="str">
        <f>IF($A25="","",IF($K25=0,"",MIN(1,ROUND($K25/Settings!$B$14,2))))</f>
        <v/>
      </c>
      <c r="K25" s="17">
        <f>IF($A25="","",COUNTIFS(Trade_Reports!$H$3:$H$502,$A25,Trade_Reports!$M$3:$M$502,"APPROVED",Trade_Reports!$Q$3:$Q$502,"&lt;="&amp;Settings!$B$4))</f>
        <v>0</v>
      </c>
      <c r="L25" s="19" t="str">
        <f>IF($A25="","",IF($K25=0,"",IFERROR(_xludf.MAXIFS(Trade_Reports!$O$3:$O$502,Trade_Reports!$H$3:$H$502,$A25,Trade_Reports!$M$3:$M$502,"APPROVED"),"")))</f>
        <v/>
      </c>
      <c r="M25" s="16" t="s">
        <v>46</v>
      </c>
      <c r="N25" s="15"/>
      <c r="O25" s="9" t="str">
        <f t="shared" si="0"/>
        <v/>
      </c>
      <c r="P25" s="20">
        <f>IF($A25="","",SUMIFS(Trade_Reports!$U$3:$U$502,Trade_Reports!$H$3:$H$502,$A25,Trade_Reports!$M$3:$M$502,"APPROVED",Trade_Reports!$Q$3:$Q$502,"&lt;="&amp;Settings!$B$4))</f>
        <v>0</v>
      </c>
      <c r="Q25" s="20">
        <f>IF($A25="","",SUMIFS(Trade_Reports!$U$3:$U$502,Trade_Reports!$H$3:$H$502,$A25,Trade_Reports!$M$3:$M$502,"APPROVED",Trade_Reports!$Q$3:$Q$502,"&lt;="&amp;Settings!$B$5))</f>
        <v>0</v>
      </c>
      <c r="R25" s="2" t="str">
        <f>IF($A25="","",IF($Q25=0,"",IFERROR(_xludf.MINIFS(Trade_Reports!$I$3:$I$502,Trade_Reports!$H$3:$H$502,$A25,Trade_Reports!$M$3:$M$502,"APPROVED",Trade_Reports!$Q$3:$Q$502,"&lt;="&amp;Settings!$B$5,Trade_Reports!$X$3:$X$502,"&gt;="&amp;0.5*$Q25),"")))</f>
        <v/>
      </c>
      <c r="S25" s="20">
        <f>IF($A25="","",COUNTIFS(Trade_Reports!$H$3:$H$502,$A25,Trade_Reports!$M$3:$M$502,"APPROVED",Trade_Reports!$Q$3:$Q$502,"&lt;="&amp;Settings!$B$5))</f>
        <v>0</v>
      </c>
      <c r="T25" s="2"/>
      <c r="U25" s="2"/>
      <c r="V25" s="21" t="str">
        <f>IF(OR($A25="",ISERROR(SEARCH("_",$A25))),"",IFERROR(SUMIFS(Trade_Reports!$Z$3:$Z$502,Trade_Reports!$H$3:$H$502,$A25,Trade_Reports!$M$3:$M$502,"APPROVED")/SUMIFS(Trade_Reports!$U$3:$U$502,Trade_Reports!$H$3:$H$502,$A25,Trade_Reports!$M$3:$M$502,"APPROVED"),""))</f>
        <v/>
      </c>
      <c r="W25" s="17" t="str">
        <f t="shared" si="1"/>
        <v/>
      </c>
      <c r="X25" s="2"/>
      <c r="Y25" s="2"/>
      <c r="Z25" s="2"/>
    </row>
    <row r="26" spans="1:26" ht="15.75" customHeight="1" x14ac:dyDescent="0.3">
      <c r="A26" s="15" t="s">
        <v>111</v>
      </c>
      <c r="B26" s="15"/>
      <c r="C26" s="16"/>
      <c r="D26" s="16"/>
      <c r="E26" s="16"/>
      <c r="F26" s="17" t="str">
        <f>IF($A26="","",IF($K26&lt;Settings!$B$14,"",IF($P26=0,"",IFERROR(_xludf.MINIFS(Trade_Reports!$I$3:$I$502,Trade_Reports!$H$3:$H$502,$A26,Trade_Reports!$M$3:$M$502,"APPROVED",Trade_Reports!$Q$3:$Q$502,"&lt;="&amp;Settings!$B$4,Trade_Reports!$W$3:$W$502,"&gt;="&amp;0.5*$P26),""))))</f>
        <v/>
      </c>
      <c r="G26" s="17" t="str">
        <f>IF($A26="","",IF($K26=0,"",IFERROR(_xludf.MINIFS(Trade_Reports!$I$3:$I$502,Trade_Reports!$H$3:$H$502,$A26,Trade_Reports!$M$3:$M$502,"APPROVED",Trade_Reports!$Q$3:$Q$502,"&lt;="&amp;Settings!$B$4),"")))</f>
        <v/>
      </c>
      <c r="H26" s="17" t="str">
        <f>IF($A26="","",IF($K26=0,"",IFERROR(_xludf.MAXIFS(Trade_Reports!$I$3:$I$502,Trade_Reports!$H$3:$H$502,$A26,Trade_Reports!$M$3:$M$502,"APPROVED",Trade_Reports!$Q$3:$Q$502,"&lt;="&amp;Settings!$B$4),"")))</f>
        <v/>
      </c>
      <c r="I26" s="17" t="str">
        <f>IF($A26="","",IF($F26="","",IF($Q26="","",IF(ABS($F26-$Q26)/$Q26&lt;=Settings!$B$18,"STABLE",IF($F26&gt;$Q26,"UP","DOWN")))))</f>
        <v/>
      </c>
      <c r="J26" s="18" t="str">
        <f>IF($A26="","",IF($K26=0,"",MIN(1,ROUND($K26/Settings!$B$14,2))))</f>
        <v/>
      </c>
      <c r="K26" s="17">
        <f>IF($A26="","",COUNTIFS(Trade_Reports!$H$3:$H$502,$A26,Trade_Reports!$M$3:$M$502,"APPROVED",Trade_Reports!$Q$3:$Q$502,"&lt;="&amp;Settings!$B$4))</f>
        <v>0</v>
      </c>
      <c r="L26" s="19" t="str">
        <f>IF($A26="","",IF($K26=0,"",IFERROR(_xludf.MAXIFS(Trade_Reports!$O$3:$O$502,Trade_Reports!$H$3:$H$502,$A26,Trade_Reports!$M$3:$M$502,"APPROVED"),"")))</f>
        <v/>
      </c>
      <c r="M26" s="16" t="s">
        <v>46</v>
      </c>
      <c r="N26" s="15"/>
      <c r="O26" s="9" t="str">
        <f t="shared" si="0"/>
        <v/>
      </c>
      <c r="P26" s="20">
        <f>IF($A26="","",SUMIFS(Trade_Reports!$U$3:$U$502,Trade_Reports!$H$3:$H$502,$A26,Trade_Reports!$M$3:$M$502,"APPROVED",Trade_Reports!$Q$3:$Q$502,"&lt;="&amp;Settings!$B$4))</f>
        <v>0</v>
      </c>
      <c r="Q26" s="20">
        <f>IF($A26="","",SUMIFS(Trade_Reports!$U$3:$U$502,Trade_Reports!$H$3:$H$502,$A26,Trade_Reports!$M$3:$M$502,"APPROVED",Trade_Reports!$Q$3:$Q$502,"&lt;="&amp;Settings!$B$5))</f>
        <v>0</v>
      </c>
      <c r="R26" s="2" t="str">
        <f>IF($A26="","",IF($Q26=0,"",IFERROR(_xludf.MINIFS(Trade_Reports!$I$3:$I$502,Trade_Reports!$H$3:$H$502,$A26,Trade_Reports!$M$3:$M$502,"APPROVED",Trade_Reports!$Q$3:$Q$502,"&lt;="&amp;Settings!$B$5,Trade_Reports!$X$3:$X$502,"&gt;="&amp;0.5*$Q26),"")))</f>
        <v/>
      </c>
      <c r="S26" s="20">
        <f>IF($A26="","",COUNTIFS(Trade_Reports!$H$3:$H$502,$A26,Trade_Reports!$M$3:$M$502,"APPROVED",Trade_Reports!$Q$3:$Q$502,"&lt;="&amp;Settings!$B$5))</f>
        <v>0</v>
      </c>
      <c r="T26" s="2"/>
      <c r="U26" s="2"/>
      <c r="V26" s="21" t="str">
        <f>IF(OR($A26="",ISERROR(SEARCH("_",$A26))),"",IFERROR(SUMIFS(Trade_Reports!$Z$3:$Z$502,Trade_Reports!$H$3:$H$502,$A26,Trade_Reports!$M$3:$M$502,"APPROVED")/SUMIFS(Trade_Reports!$U$3:$U$502,Trade_Reports!$H$3:$H$502,$A26,Trade_Reports!$M$3:$M$502,"APPROVED"),""))</f>
        <v/>
      </c>
      <c r="W26" s="17" t="str">
        <f t="shared" si="1"/>
        <v/>
      </c>
      <c r="X26" s="2"/>
      <c r="Y26" s="2"/>
      <c r="Z26" s="2"/>
    </row>
    <row r="27" spans="1:26" ht="15.75" customHeight="1" x14ac:dyDescent="0.3">
      <c r="A27" s="15" t="s">
        <v>112</v>
      </c>
      <c r="B27" s="15"/>
      <c r="C27" s="16"/>
      <c r="D27" s="16"/>
      <c r="E27" s="16"/>
      <c r="F27" s="17" t="str">
        <f>IF($A27="","",IF($K27&lt;Settings!$B$14,"",IF($P27=0,"",IFERROR(_xludf.MINIFS(Trade_Reports!$I$3:$I$502,Trade_Reports!$H$3:$H$502,$A27,Trade_Reports!$M$3:$M$502,"APPROVED",Trade_Reports!$Q$3:$Q$502,"&lt;="&amp;Settings!$B$4,Trade_Reports!$W$3:$W$502,"&gt;="&amp;0.5*$P27),""))))</f>
        <v/>
      </c>
      <c r="G27" s="17" t="str">
        <f>IF($A27="","",IF($K27=0,"",IFERROR(_xludf.MINIFS(Trade_Reports!$I$3:$I$502,Trade_Reports!$H$3:$H$502,$A27,Trade_Reports!$M$3:$M$502,"APPROVED",Trade_Reports!$Q$3:$Q$502,"&lt;="&amp;Settings!$B$4),"")))</f>
        <v/>
      </c>
      <c r="H27" s="17" t="str">
        <f>IF($A27="","",IF($K27=0,"",IFERROR(_xludf.MAXIFS(Trade_Reports!$I$3:$I$502,Trade_Reports!$H$3:$H$502,$A27,Trade_Reports!$M$3:$M$502,"APPROVED",Trade_Reports!$Q$3:$Q$502,"&lt;="&amp;Settings!$B$4),"")))</f>
        <v/>
      </c>
      <c r="I27" s="17" t="str">
        <f>IF($A27="","",IF($F27="","",IF($Q27="","",IF(ABS($F27-$Q27)/$Q27&lt;=Settings!$B$18,"STABLE",IF($F27&gt;$Q27,"UP","DOWN")))))</f>
        <v/>
      </c>
      <c r="J27" s="18" t="str">
        <f>IF($A27="","",IF($K27=0,"",MIN(1,ROUND($K27/Settings!$B$14,2))))</f>
        <v/>
      </c>
      <c r="K27" s="17">
        <f>IF($A27="","",COUNTIFS(Trade_Reports!$H$3:$H$502,$A27,Trade_Reports!$M$3:$M$502,"APPROVED",Trade_Reports!$Q$3:$Q$502,"&lt;="&amp;Settings!$B$4))</f>
        <v>0</v>
      </c>
      <c r="L27" s="19" t="str">
        <f>IF($A27="","",IF($K27=0,"",IFERROR(_xludf.MAXIFS(Trade_Reports!$O$3:$O$502,Trade_Reports!$H$3:$H$502,$A27,Trade_Reports!$M$3:$M$502,"APPROVED"),"")))</f>
        <v/>
      </c>
      <c r="M27" s="16" t="s">
        <v>46</v>
      </c>
      <c r="N27" s="15"/>
      <c r="O27" s="9" t="str">
        <f t="shared" si="0"/>
        <v/>
      </c>
      <c r="P27" s="20">
        <f>IF($A27="","",SUMIFS(Trade_Reports!$U$3:$U$502,Trade_Reports!$H$3:$H$502,$A27,Trade_Reports!$M$3:$M$502,"APPROVED",Trade_Reports!$Q$3:$Q$502,"&lt;="&amp;Settings!$B$4))</f>
        <v>0</v>
      </c>
      <c r="Q27" s="20">
        <f>IF($A27="","",SUMIFS(Trade_Reports!$U$3:$U$502,Trade_Reports!$H$3:$H$502,$A27,Trade_Reports!$M$3:$M$502,"APPROVED",Trade_Reports!$Q$3:$Q$502,"&lt;="&amp;Settings!$B$5))</f>
        <v>0</v>
      </c>
      <c r="R27" s="2" t="str">
        <f>IF($A27="","",IF($Q27=0,"",IFERROR(_xludf.MINIFS(Trade_Reports!$I$3:$I$502,Trade_Reports!$H$3:$H$502,$A27,Trade_Reports!$M$3:$M$502,"APPROVED",Trade_Reports!$Q$3:$Q$502,"&lt;="&amp;Settings!$B$5,Trade_Reports!$X$3:$X$502,"&gt;="&amp;0.5*$Q27),"")))</f>
        <v/>
      </c>
      <c r="S27" s="20">
        <f>IF($A27="","",COUNTIFS(Trade_Reports!$H$3:$H$502,$A27,Trade_Reports!$M$3:$M$502,"APPROVED",Trade_Reports!$Q$3:$Q$502,"&lt;="&amp;Settings!$B$5))</f>
        <v>0</v>
      </c>
      <c r="T27" s="2"/>
      <c r="U27" s="2"/>
      <c r="V27" s="21" t="str">
        <f>IF(OR($A27="",ISERROR(SEARCH("_",$A27))),"",IFERROR(SUMIFS(Trade_Reports!$Z$3:$Z$502,Trade_Reports!$H$3:$H$502,$A27,Trade_Reports!$M$3:$M$502,"APPROVED")/SUMIFS(Trade_Reports!$U$3:$U$502,Trade_Reports!$H$3:$H$502,$A27,Trade_Reports!$M$3:$M$502,"APPROVED"),""))</f>
        <v/>
      </c>
      <c r="W27" s="17" t="str">
        <f t="shared" si="1"/>
        <v/>
      </c>
      <c r="X27" s="2"/>
      <c r="Y27" s="2"/>
      <c r="Z27" s="2"/>
    </row>
    <row r="28" spans="1:26" ht="15.75" customHeight="1" x14ac:dyDescent="0.3">
      <c r="A28" s="15" t="s">
        <v>113</v>
      </c>
      <c r="B28" s="15"/>
      <c r="C28" s="16"/>
      <c r="D28" s="16"/>
      <c r="E28" s="16"/>
      <c r="F28" s="17" t="str">
        <f>IF($A28="","",IF($K28&lt;Settings!$B$14,"",IF($P28=0,"",IFERROR(_xludf.MINIFS(Trade_Reports!$I$3:$I$502,Trade_Reports!$H$3:$H$502,$A28,Trade_Reports!$M$3:$M$502,"APPROVED",Trade_Reports!$Q$3:$Q$502,"&lt;="&amp;Settings!$B$4,Trade_Reports!$W$3:$W$502,"&gt;="&amp;0.5*$P28),""))))</f>
        <v/>
      </c>
      <c r="G28" s="17" t="str">
        <f>IF($A28="","",IF($K28=0,"",IFERROR(_xludf.MINIFS(Trade_Reports!$I$3:$I$502,Trade_Reports!$H$3:$H$502,$A28,Trade_Reports!$M$3:$M$502,"APPROVED",Trade_Reports!$Q$3:$Q$502,"&lt;="&amp;Settings!$B$4),"")))</f>
        <v/>
      </c>
      <c r="H28" s="17" t="str">
        <f>IF($A28="","",IF($K28=0,"",IFERROR(_xludf.MAXIFS(Trade_Reports!$I$3:$I$502,Trade_Reports!$H$3:$H$502,$A28,Trade_Reports!$M$3:$M$502,"APPROVED",Trade_Reports!$Q$3:$Q$502,"&lt;="&amp;Settings!$B$4),"")))</f>
        <v/>
      </c>
      <c r="I28" s="17" t="str">
        <f>IF($A28="","",IF($F28="","",IF($Q28="","",IF(ABS($F28-$Q28)/$Q28&lt;=Settings!$B$18,"STABLE",IF($F28&gt;$Q28,"UP","DOWN")))))</f>
        <v/>
      </c>
      <c r="J28" s="18" t="str">
        <f>IF($A28="","",IF($K28=0,"",MIN(1,ROUND($K28/Settings!$B$14,2))))</f>
        <v/>
      </c>
      <c r="K28" s="17">
        <f>IF($A28="","",COUNTIFS(Trade_Reports!$H$3:$H$502,$A28,Trade_Reports!$M$3:$M$502,"APPROVED",Trade_Reports!$Q$3:$Q$502,"&lt;="&amp;Settings!$B$4))</f>
        <v>0</v>
      </c>
      <c r="L28" s="19" t="str">
        <f>IF($A28="","",IF($K28=0,"",IFERROR(_xludf.MAXIFS(Trade_Reports!$O$3:$O$502,Trade_Reports!$H$3:$H$502,$A28,Trade_Reports!$M$3:$M$502,"APPROVED"),"")))</f>
        <v/>
      </c>
      <c r="M28" s="16" t="s">
        <v>46</v>
      </c>
      <c r="N28" s="15"/>
      <c r="O28" s="9" t="str">
        <f t="shared" si="0"/>
        <v/>
      </c>
      <c r="P28" s="20">
        <f>IF($A28="","",SUMIFS(Trade_Reports!$U$3:$U$502,Trade_Reports!$H$3:$H$502,$A28,Trade_Reports!$M$3:$M$502,"APPROVED",Trade_Reports!$Q$3:$Q$502,"&lt;="&amp;Settings!$B$4))</f>
        <v>0</v>
      </c>
      <c r="Q28" s="20">
        <f>IF($A28="","",SUMIFS(Trade_Reports!$U$3:$U$502,Trade_Reports!$H$3:$H$502,$A28,Trade_Reports!$M$3:$M$502,"APPROVED",Trade_Reports!$Q$3:$Q$502,"&lt;="&amp;Settings!$B$5))</f>
        <v>0</v>
      </c>
      <c r="R28" s="2" t="str">
        <f>IF($A28="","",IF($Q28=0,"",IFERROR(_xludf.MINIFS(Trade_Reports!$I$3:$I$502,Trade_Reports!$H$3:$H$502,$A28,Trade_Reports!$M$3:$M$502,"APPROVED",Trade_Reports!$Q$3:$Q$502,"&lt;="&amp;Settings!$B$5,Trade_Reports!$X$3:$X$502,"&gt;="&amp;0.5*$Q28),"")))</f>
        <v/>
      </c>
      <c r="S28" s="20">
        <f>IF($A28="","",COUNTIFS(Trade_Reports!$H$3:$H$502,$A28,Trade_Reports!$M$3:$M$502,"APPROVED",Trade_Reports!$Q$3:$Q$502,"&lt;="&amp;Settings!$B$5))</f>
        <v>0</v>
      </c>
      <c r="T28" s="2"/>
      <c r="U28" s="2"/>
      <c r="V28" s="21" t="str">
        <f>IF(OR($A28="",ISERROR(SEARCH("_",$A28))),"",IFERROR(SUMIFS(Trade_Reports!$Z$3:$Z$502,Trade_Reports!$H$3:$H$502,$A28,Trade_Reports!$M$3:$M$502,"APPROVED")/SUMIFS(Trade_Reports!$U$3:$U$502,Trade_Reports!$H$3:$H$502,$A28,Trade_Reports!$M$3:$M$502,"APPROVED"),""))</f>
        <v/>
      </c>
      <c r="W28" s="17" t="str">
        <f t="shared" si="1"/>
        <v/>
      </c>
      <c r="X28" s="2"/>
      <c r="Y28" s="2"/>
      <c r="Z28" s="2"/>
    </row>
    <row r="29" spans="1:26" ht="15.75" customHeight="1" x14ac:dyDescent="0.3">
      <c r="A29" s="15"/>
      <c r="B29" s="15"/>
      <c r="C29" s="16"/>
      <c r="D29" s="16"/>
      <c r="E29" s="16"/>
      <c r="F29" s="17" t="str">
        <f>IF($A29="","",IF($K29&lt;Settings!$B$14,"",IF($P29=0,"",IFERROR(_xludf.MINIFS(Trade_Reports!$I$3:$I$502,Trade_Reports!$H$3:$H$502,$A29,Trade_Reports!$M$3:$M$502,"APPROVED",Trade_Reports!$Q$3:$Q$502,"&lt;="&amp;Settings!$B$4,Trade_Reports!$W$3:$W$502,"&gt;="&amp;0.5*$P29),""))))</f>
        <v/>
      </c>
      <c r="G29" s="17" t="str">
        <f>IF($A29="","",IF($K29=0,"",IFERROR(_xludf.MINIFS(Trade_Reports!$I$3:$I$502,Trade_Reports!$H$3:$H$502,$A29,Trade_Reports!$M$3:$M$502,"APPROVED",Trade_Reports!$Q$3:$Q$502,"&lt;="&amp;Settings!$B$4),"")))</f>
        <v/>
      </c>
      <c r="H29" s="17" t="str">
        <f>IF($A29="","",IF($K29=0,"",IFERROR(_xludf.MAXIFS(Trade_Reports!$I$3:$I$502,Trade_Reports!$H$3:$H$502,$A29,Trade_Reports!$M$3:$M$502,"APPROVED",Trade_Reports!$Q$3:$Q$502,"&lt;="&amp;Settings!$B$4),"")))</f>
        <v/>
      </c>
      <c r="I29" s="17" t="str">
        <f>IF($A29="","",IF($F29="","",IF($Q29="","",IF(ABS($F29-$Q29)/$Q29&lt;=Settings!$B$18,"STABLE",IF($F29&gt;$Q29,"UP","DOWN")))))</f>
        <v/>
      </c>
      <c r="J29" s="18" t="str">
        <f>IF($A29="","",IF($K29=0,"",MIN(1,ROUND($K29/Settings!$B$14,2))))</f>
        <v/>
      </c>
      <c r="K29" s="17" t="str">
        <f>IF($A29="","",COUNTIFS(Trade_Reports!$H$3:$H$502,$A29,Trade_Reports!$M$3:$M$502,"APPROVED",Trade_Reports!$Q$3:$Q$502,"&lt;="&amp;Settings!$B$4))</f>
        <v/>
      </c>
      <c r="L29" s="19" t="str">
        <f>IF($A29="","",IF($K29=0,"",IFERROR(_xludf.MAXIFS(Trade_Reports!$O$3:$O$502,Trade_Reports!$H$3:$H$502,$A29,Trade_Reports!$M$3:$M$502,"APPROVED"),"")))</f>
        <v/>
      </c>
      <c r="M29" s="16" t="s">
        <v>46</v>
      </c>
      <c r="N29" s="15"/>
      <c r="O29" s="9" t="str">
        <f t="shared" si="0"/>
        <v/>
      </c>
      <c r="P29" s="2" t="str">
        <f>IF($A29="","",SUMIFS(Trade_Reports!$U$3:$U$502,Trade_Reports!$H$3:$H$502,$A29,Trade_Reports!$M$3:$M$502,"APPROVED",Trade_Reports!$Q$3:$Q$502,"&lt;="&amp;Settings!$B$4))</f>
        <v/>
      </c>
      <c r="Q29" s="2" t="str">
        <f>IF($A29="","",SUMIFS(Trade_Reports!$U$3:$U$502,Trade_Reports!$H$3:$H$502,$A29,Trade_Reports!$M$3:$M$502,"APPROVED",Trade_Reports!$Q$3:$Q$502,"&lt;="&amp;Settings!$B$5))</f>
        <v/>
      </c>
      <c r="R29" s="2" t="str">
        <f>IF($A29="","",IF($Q29=0,"",IFERROR(_xludf.MINIFS(Trade_Reports!$I$3:$I$502,Trade_Reports!$H$3:$H$502,$A29,Trade_Reports!$M$3:$M$502,"APPROVED",Trade_Reports!$Q$3:$Q$502,"&lt;="&amp;Settings!$B$5,Trade_Reports!$X$3:$X$502,"&gt;="&amp;0.5*$Q29),"")))</f>
        <v/>
      </c>
      <c r="S29" s="2" t="str">
        <f>IF($A29="","",COUNTIFS(Trade_Reports!$H$3:$H$502,$A29,Trade_Reports!$M$3:$M$502,"APPROVED",Trade_Reports!$Q$3:$Q$502,"&lt;="&amp;Settings!$B$5))</f>
        <v/>
      </c>
      <c r="T29" s="2"/>
      <c r="U29" s="2"/>
      <c r="V29" s="21" t="str">
        <f>IF(OR($A29="",ISERROR(SEARCH("_",$A29))),"",IFERROR(SUMIFS(Trade_Reports!$Z$3:$Z$502,Trade_Reports!$H$3:$H$502,$A29,Trade_Reports!$M$3:$M$502,"APPROVED")/SUMIFS(Trade_Reports!$U$3:$U$502,Trade_Reports!$H$3:$H$502,$A29,Trade_Reports!$M$3:$M$502,"APPROVED"),""))</f>
        <v/>
      </c>
      <c r="W29" s="17" t="str">
        <f t="shared" si="1"/>
        <v/>
      </c>
      <c r="X29" s="2"/>
      <c r="Y29" s="2"/>
      <c r="Z29" s="2"/>
    </row>
    <row r="30" spans="1:26" ht="15.75" customHeight="1" x14ac:dyDescent="0.3">
      <c r="A30" s="15"/>
      <c r="B30" s="15"/>
      <c r="C30" s="16"/>
      <c r="D30" s="16"/>
      <c r="E30" s="16"/>
      <c r="F30" s="17" t="str">
        <f>IF($A30="","",IF($K30&lt;Settings!$B$14,"",IF($P30=0,"",IFERROR(_xludf.MINIFS(Trade_Reports!$I$3:$I$502,Trade_Reports!$H$3:$H$502,$A30,Trade_Reports!$M$3:$M$502,"APPROVED",Trade_Reports!$Q$3:$Q$502,"&lt;="&amp;Settings!$B$4,Trade_Reports!$W$3:$W$502,"&gt;="&amp;0.5*$P30),""))))</f>
        <v/>
      </c>
      <c r="G30" s="17" t="str">
        <f>IF($A30="","",IF($K30=0,"",IFERROR(_xludf.MINIFS(Trade_Reports!$I$3:$I$502,Trade_Reports!$H$3:$H$502,$A30,Trade_Reports!$M$3:$M$502,"APPROVED",Trade_Reports!$Q$3:$Q$502,"&lt;="&amp;Settings!$B$4),"")))</f>
        <v/>
      </c>
      <c r="H30" s="17" t="str">
        <f>IF($A30="","",IF($K30=0,"",IFERROR(_xludf.MAXIFS(Trade_Reports!$I$3:$I$502,Trade_Reports!$H$3:$H$502,$A30,Trade_Reports!$M$3:$M$502,"APPROVED",Trade_Reports!$Q$3:$Q$502,"&lt;="&amp;Settings!$B$4),"")))</f>
        <v/>
      </c>
      <c r="I30" s="17" t="str">
        <f>IF($A30="","",IF($F30="","",IF($Q30="","",IF(ABS($F30-$Q30)/$Q30&lt;=Settings!$B$18,"STABLE",IF($F30&gt;$Q30,"UP","DOWN")))))</f>
        <v/>
      </c>
      <c r="J30" s="18" t="str">
        <f>IF($A30="","",IF($K30=0,"",MIN(1,ROUND($K30/Settings!$B$14,2))))</f>
        <v/>
      </c>
      <c r="K30" s="17" t="str">
        <f>IF($A30="","",COUNTIFS(Trade_Reports!$H$3:$H$502,$A30,Trade_Reports!$M$3:$M$502,"APPROVED",Trade_Reports!$Q$3:$Q$502,"&lt;="&amp;Settings!$B$4))</f>
        <v/>
      </c>
      <c r="L30" s="19" t="str">
        <f>IF($A30="","",IF($K30=0,"",IFERROR(_xludf.MAXIFS(Trade_Reports!$O$3:$O$502,Trade_Reports!$H$3:$H$502,$A30,Trade_Reports!$M$3:$M$502,"APPROVED"),"")))</f>
        <v/>
      </c>
      <c r="M30" s="16" t="s">
        <v>46</v>
      </c>
      <c r="N30" s="15"/>
      <c r="O30" s="9" t="str">
        <f t="shared" si="0"/>
        <v/>
      </c>
      <c r="P30" s="2" t="str">
        <f>IF($A30="","",SUMIFS(Trade_Reports!$U$3:$U$502,Trade_Reports!$H$3:$H$502,$A30,Trade_Reports!$M$3:$M$502,"APPROVED",Trade_Reports!$Q$3:$Q$502,"&lt;="&amp;Settings!$B$4))</f>
        <v/>
      </c>
      <c r="Q30" s="2" t="str">
        <f>IF($A30="","",SUMIFS(Trade_Reports!$U$3:$U$502,Trade_Reports!$H$3:$H$502,$A30,Trade_Reports!$M$3:$M$502,"APPROVED",Trade_Reports!$Q$3:$Q$502,"&lt;="&amp;Settings!$B$5))</f>
        <v/>
      </c>
      <c r="R30" s="2" t="str">
        <f>IF($A30="","",IF($Q30=0,"",IFERROR(_xludf.MINIFS(Trade_Reports!$I$3:$I$502,Trade_Reports!$H$3:$H$502,$A30,Trade_Reports!$M$3:$M$502,"APPROVED",Trade_Reports!$Q$3:$Q$502,"&lt;="&amp;Settings!$B$5,Trade_Reports!$X$3:$X$502,"&gt;="&amp;0.5*$Q30),"")))</f>
        <v/>
      </c>
      <c r="S30" s="2" t="str">
        <f>IF($A30="","",COUNTIFS(Trade_Reports!$H$3:$H$502,$A30,Trade_Reports!$M$3:$M$502,"APPROVED",Trade_Reports!$Q$3:$Q$502,"&lt;="&amp;Settings!$B$5))</f>
        <v/>
      </c>
      <c r="T30" s="2"/>
      <c r="U30" s="2"/>
      <c r="V30" s="21" t="str">
        <f>IF(OR($A30="",ISERROR(SEARCH("_",$A30))),"",IFERROR(SUMIFS(Trade_Reports!$Z$3:$Z$502,Trade_Reports!$H$3:$H$502,$A30,Trade_Reports!$M$3:$M$502,"APPROVED")/SUMIFS(Trade_Reports!$U$3:$U$502,Trade_Reports!$H$3:$H$502,$A30,Trade_Reports!$M$3:$M$502,"APPROVED"),""))</f>
        <v/>
      </c>
      <c r="W30" s="17" t="str">
        <f t="shared" si="1"/>
        <v/>
      </c>
      <c r="X30" s="2"/>
      <c r="Y30" s="2"/>
      <c r="Z30" s="2"/>
    </row>
    <row r="31" spans="1:26" ht="15.75" customHeight="1" x14ac:dyDescent="0.3">
      <c r="A31" s="15"/>
      <c r="B31" s="15"/>
      <c r="C31" s="16"/>
      <c r="D31" s="16"/>
      <c r="E31" s="16"/>
      <c r="F31" s="17" t="str">
        <f>IF($A31="","",IF($K31&lt;Settings!$B$14,"",IF($P31=0,"",IFERROR(_xludf.MINIFS(Trade_Reports!$I$3:$I$502,Trade_Reports!$H$3:$H$502,$A31,Trade_Reports!$M$3:$M$502,"APPROVED",Trade_Reports!$Q$3:$Q$502,"&lt;="&amp;Settings!$B$4,Trade_Reports!$W$3:$W$502,"&gt;="&amp;0.5*$P31),""))))</f>
        <v/>
      </c>
      <c r="G31" s="17" t="str">
        <f>IF($A31="","",IF($K31=0,"",IFERROR(_xludf.MINIFS(Trade_Reports!$I$3:$I$502,Trade_Reports!$H$3:$H$502,$A31,Trade_Reports!$M$3:$M$502,"APPROVED",Trade_Reports!$Q$3:$Q$502,"&lt;="&amp;Settings!$B$4),"")))</f>
        <v/>
      </c>
      <c r="H31" s="17" t="str">
        <f>IF($A31="","",IF($K31=0,"",IFERROR(_xludf.MAXIFS(Trade_Reports!$I$3:$I$502,Trade_Reports!$H$3:$H$502,$A31,Trade_Reports!$M$3:$M$502,"APPROVED",Trade_Reports!$Q$3:$Q$502,"&lt;="&amp;Settings!$B$4),"")))</f>
        <v/>
      </c>
      <c r="I31" s="17" t="str">
        <f>IF($A31="","",IF($F31="","",IF($Q31="","",IF(ABS($F31-$Q31)/$Q31&lt;=Settings!$B$18,"STABLE",IF($F31&gt;$Q31,"UP","DOWN")))))</f>
        <v/>
      </c>
      <c r="J31" s="18" t="str">
        <f>IF($A31="","",IF($K31=0,"",MIN(1,ROUND($K31/Settings!$B$14,2))))</f>
        <v/>
      </c>
      <c r="K31" s="17" t="str">
        <f>IF($A31="","",COUNTIFS(Trade_Reports!$H$3:$H$502,$A31,Trade_Reports!$M$3:$M$502,"APPROVED",Trade_Reports!$Q$3:$Q$502,"&lt;="&amp;Settings!$B$4))</f>
        <v/>
      </c>
      <c r="L31" s="19" t="str">
        <f>IF($A31="","",IF($K31=0,"",IFERROR(_xludf.MAXIFS(Trade_Reports!$O$3:$O$502,Trade_Reports!$H$3:$H$502,$A31,Trade_Reports!$M$3:$M$502,"APPROVED"),"")))</f>
        <v/>
      </c>
      <c r="M31" s="16" t="s">
        <v>46</v>
      </c>
      <c r="N31" s="15"/>
      <c r="O31" s="9" t="str">
        <f t="shared" si="0"/>
        <v/>
      </c>
      <c r="P31" s="2" t="str">
        <f>IF($A31="","",SUMIFS(Trade_Reports!$U$3:$U$502,Trade_Reports!$H$3:$H$502,$A31,Trade_Reports!$M$3:$M$502,"APPROVED",Trade_Reports!$Q$3:$Q$502,"&lt;="&amp;Settings!$B$4))</f>
        <v/>
      </c>
      <c r="Q31" s="2" t="str">
        <f>IF($A31="","",SUMIFS(Trade_Reports!$U$3:$U$502,Trade_Reports!$H$3:$H$502,$A31,Trade_Reports!$M$3:$M$502,"APPROVED",Trade_Reports!$Q$3:$Q$502,"&lt;="&amp;Settings!$B$5))</f>
        <v/>
      </c>
      <c r="R31" s="2" t="str">
        <f>IF($A31="","",IF($Q31=0,"",IFERROR(_xludf.MINIFS(Trade_Reports!$I$3:$I$502,Trade_Reports!$H$3:$H$502,$A31,Trade_Reports!$M$3:$M$502,"APPROVED",Trade_Reports!$Q$3:$Q$502,"&lt;="&amp;Settings!$B$5,Trade_Reports!$X$3:$X$502,"&gt;="&amp;0.5*$Q31),"")))</f>
        <v/>
      </c>
      <c r="S31" s="2" t="str">
        <f>IF($A31="","",COUNTIFS(Trade_Reports!$H$3:$H$502,$A31,Trade_Reports!$M$3:$M$502,"APPROVED",Trade_Reports!$Q$3:$Q$502,"&lt;="&amp;Settings!$B$5))</f>
        <v/>
      </c>
      <c r="T31" s="2"/>
      <c r="U31" s="2"/>
      <c r="V31" s="21" t="str">
        <f>IF(OR($A31="",ISERROR(SEARCH("_",$A31))),"",IFERROR(SUMIFS(Trade_Reports!$Z$3:$Z$502,Trade_Reports!$H$3:$H$502,$A31,Trade_Reports!$M$3:$M$502,"APPROVED")/SUMIFS(Trade_Reports!$U$3:$U$502,Trade_Reports!$H$3:$H$502,$A31,Trade_Reports!$M$3:$M$502,"APPROVED"),""))</f>
        <v/>
      </c>
      <c r="W31" s="17" t="str">
        <f t="shared" si="1"/>
        <v/>
      </c>
      <c r="X31" s="2"/>
      <c r="Y31" s="2"/>
      <c r="Z31" s="2"/>
    </row>
    <row r="32" spans="1:26" ht="15.75" customHeight="1" x14ac:dyDescent="0.3">
      <c r="A32" s="15"/>
      <c r="B32" s="15"/>
      <c r="C32" s="16"/>
      <c r="D32" s="16"/>
      <c r="E32" s="16"/>
      <c r="F32" s="17" t="str">
        <f>IF($A32="","",IF($K32&lt;Settings!$B$14,"",IF($P32=0,"",IFERROR(_xludf.MINIFS(Trade_Reports!$I$3:$I$502,Trade_Reports!$H$3:$H$502,$A32,Trade_Reports!$M$3:$M$502,"APPROVED",Trade_Reports!$Q$3:$Q$502,"&lt;="&amp;Settings!$B$4,Trade_Reports!$W$3:$W$502,"&gt;="&amp;0.5*$P32),""))))</f>
        <v/>
      </c>
      <c r="G32" s="17" t="str">
        <f>IF($A32="","",IF($K32=0,"",IFERROR(_xludf.MINIFS(Trade_Reports!$I$3:$I$502,Trade_Reports!$H$3:$H$502,$A32,Trade_Reports!$M$3:$M$502,"APPROVED",Trade_Reports!$Q$3:$Q$502,"&lt;="&amp;Settings!$B$4),"")))</f>
        <v/>
      </c>
      <c r="H32" s="17" t="str">
        <f>IF($A32="","",IF($K32=0,"",IFERROR(_xludf.MAXIFS(Trade_Reports!$I$3:$I$502,Trade_Reports!$H$3:$H$502,$A32,Trade_Reports!$M$3:$M$502,"APPROVED",Trade_Reports!$Q$3:$Q$502,"&lt;="&amp;Settings!$B$4),"")))</f>
        <v/>
      </c>
      <c r="I32" s="17" t="str">
        <f>IF($A32="","",IF($F32="","",IF($Q32="","",IF(ABS($F32-$Q32)/$Q32&lt;=Settings!$B$18,"STABLE",IF($F32&gt;$Q32,"UP","DOWN")))))</f>
        <v/>
      </c>
      <c r="J32" s="18" t="str">
        <f>IF($A32="","",IF($K32=0,"",MIN(1,ROUND($K32/Settings!$B$14,2))))</f>
        <v/>
      </c>
      <c r="K32" s="17" t="str">
        <f>IF($A32="","",COUNTIFS(Trade_Reports!$H$3:$H$502,$A32,Trade_Reports!$M$3:$M$502,"APPROVED",Trade_Reports!$Q$3:$Q$502,"&lt;="&amp;Settings!$B$4))</f>
        <v/>
      </c>
      <c r="L32" s="19" t="str">
        <f>IF($A32="","",IF($K32=0,"",IFERROR(_xludf.MAXIFS(Trade_Reports!$O$3:$O$502,Trade_Reports!$H$3:$H$502,$A32,Trade_Reports!$M$3:$M$502,"APPROVED"),"")))</f>
        <v/>
      </c>
      <c r="M32" s="16" t="s">
        <v>46</v>
      </c>
      <c r="N32" s="15"/>
      <c r="O32" s="9" t="str">
        <f t="shared" si="0"/>
        <v/>
      </c>
      <c r="P32" s="2" t="str">
        <f>IF($A32="","",SUMIFS(Trade_Reports!$U$3:$U$502,Trade_Reports!$H$3:$H$502,$A32,Trade_Reports!$M$3:$M$502,"APPROVED",Trade_Reports!$Q$3:$Q$502,"&lt;="&amp;Settings!$B$4))</f>
        <v/>
      </c>
      <c r="Q32" s="2" t="str">
        <f>IF($A32="","",SUMIFS(Trade_Reports!$U$3:$U$502,Trade_Reports!$H$3:$H$502,$A32,Trade_Reports!$M$3:$M$502,"APPROVED",Trade_Reports!$Q$3:$Q$502,"&lt;="&amp;Settings!$B$5))</f>
        <v/>
      </c>
      <c r="R32" s="2" t="str">
        <f>IF($A32="","",IF($Q32=0,"",IFERROR(_xludf.MINIFS(Trade_Reports!$I$3:$I$502,Trade_Reports!$H$3:$H$502,$A32,Trade_Reports!$M$3:$M$502,"APPROVED",Trade_Reports!$Q$3:$Q$502,"&lt;="&amp;Settings!$B$5,Trade_Reports!$X$3:$X$502,"&gt;="&amp;0.5*$Q32),"")))</f>
        <v/>
      </c>
      <c r="S32" s="2" t="str">
        <f>IF($A32="","",COUNTIFS(Trade_Reports!$H$3:$H$502,$A32,Trade_Reports!$M$3:$M$502,"APPROVED",Trade_Reports!$Q$3:$Q$502,"&lt;="&amp;Settings!$B$5))</f>
        <v/>
      </c>
      <c r="T32" s="2"/>
      <c r="U32" s="2"/>
      <c r="V32" s="21" t="str">
        <f>IF(OR($A32="",ISERROR(SEARCH("_",$A32))),"",IFERROR(SUMIFS(Trade_Reports!$Z$3:$Z$502,Trade_Reports!$H$3:$H$502,$A32,Trade_Reports!$M$3:$M$502,"APPROVED")/SUMIFS(Trade_Reports!$U$3:$U$502,Trade_Reports!$H$3:$H$502,$A32,Trade_Reports!$M$3:$M$502,"APPROVED"),""))</f>
        <v/>
      </c>
      <c r="W32" s="17" t="str">
        <f t="shared" si="1"/>
        <v/>
      </c>
      <c r="X32" s="2"/>
      <c r="Y32" s="2"/>
      <c r="Z32" s="2"/>
    </row>
    <row r="33" spans="1:26" ht="15.75" customHeight="1" x14ac:dyDescent="0.3">
      <c r="A33" s="15"/>
      <c r="B33" s="15"/>
      <c r="C33" s="16"/>
      <c r="D33" s="16"/>
      <c r="E33" s="16"/>
      <c r="F33" s="17" t="str">
        <f>IF($A33="","",IF($K33&lt;Settings!$B$14,"",IF($P33=0,"",IFERROR(_xludf.MINIFS(Trade_Reports!$I$3:$I$502,Trade_Reports!$H$3:$H$502,$A33,Trade_Reports!$M$3:$M$502,"APPROVED",Trade_Reports!$Q$3:$Q$502,"&lt;="&amp;Settings!$B$4,Trade_Reports!$W$3:$W$502,"&gt;="&amp;0.5*$P33),""))))</f>
        <v/>
      </c>
      <c r="G33" s="17" t="str">
        <f>IF($A33="","",IF($K33=0,"",IFERROR(_xludf.MINIFS(Trade_Reports!$I$3:$I$502,Trade_Reports!$H$3:$H$502,$A33,Trade_Reports!$M$3:$M$502,"APPROVED",Trade_Reports!$Q$3:$Q$502,"&lt;="&amp;Settings!$B$4),"")))</f>
        <v/>
      </c>
      <c r="H33" s="17" t="str">
        <f>IF($A33="","",IF($K33=0,"",IFERROR(_xludf.MAXIFS(Trade_Reports!$I$3:$I$502,Trade_Reports!$H$3:$H$502,$A33,Trade_Reports!$M$3:$M$502,"APPROVED",Trade_Reports!$Q$3:$Q$502,"&lt;="&amp;Settings!$B$4),"")))</f>
        <v/>
      </c>
      <c r="I33" s="17" t="str">
        <f>IF($A33="","",IF($F33="","",IF($Q33="","",IF(ABS($F33-$Q33)/$Q33&lt;=Settings!$B$18,"STABLE",IF($F33&gt;$Q33,"UP","DOWN")))))</f>
        <v/>
      </c>
      <c r="J33" s="18" t="str">
        <f>IF($A33="","",IF($K33=0,"",MIN(1,ROUND($K33/Settings!$B$14,2))))</f>
        <v/>
      </c>
      <c r="K33" s="17" t="str">
        <f>IF($A33="","",COUNTIFS(Trade_Reports!$H$3:$H$502,$A33,Trade_Reports!$M$3:$M$502,"APPROVED",Trade_Reports!$Q$3:$Q$502,"&lt;="&amp;Settings!$B$4))</f>
        <v/>
      </c>
      <c r="L33" s="19" t="str">
        <f>IF($A33="","",IF($K33=0,"",IFERROR(_xludf.MAXIFS(Trade_Reports!$O$3:$O$502,Trade_Reports!$H$3:$H$502,$A33,Trade_Reports!$M$3:$M$502,"APPROVED"),"")))</f>
        <v/>
      </c>
      <c r="M33" s="16" t="s">
        <v>46</v>
      </c>
      <c r="N33" s="15"/>
      <c r="O33" s="9" t="str">
        <f t="shared" si="0"/>
        <v/>
      </c>
      <c r="P33" s="2" t="str">
        <f>IF($A33="","",SUMIFS(Trade_Reports!$U$3:$U$502,Trade_Reports!$H$3:$H$502,$A33,Trade_Reports!$M$3:$M$502,"APPROVED",Trade_Reports!$Q$3:$Q$502,"&lt;="&amp;Settings!$B$4))</f>
        <v/>
      </c>
      <c r="Q33" s="2" t="str">
        <f>IF($A33="","",SUMIFS(Trade_Reports!$U$3:$U$502,Trade_Reports!$H$3:$H$502,$A33,Trade_Reports!$M$3:$M$502,"APPROVED",Trade_Reports!$Q$3:$Q$502,"&lt;="&amp;Settings!$B$5))</f>
        <v/>
      </c>
      <c r="R33" s="2" t="str">
        <f>IF($A33="","",IF($Q33=0,"",IFERROR(_xludf.MINIFS(Trade_Reports!$I$3:$I$502,Trade_Reports!$H$3:$H$502,$A33,Trade_Reports!$M$3:$M$502,"APPROVED",Trade_Reports!$Q$3:$Q$502,"&lt;="&amp;Settings!$B$5,Trade_Reports!$X$3:$X$502,"&gt;="&amp;0.5*$Q33),"")))</f>
        <v/>
      </c>
      <c r="S33" s="2" t="str">
        <f>IF($A33="","",COUNTIFS(Trade_Reports!$H$3:$H$502,$A33,Trade_Reports!$M$3:$M$502,"APPROVED",Trade_Reports!$Q$3:$Q$502,"&lt;="&amp;Settings!$B$5))</f>
        <v/>
      </c>
      <c r="T33" s="2"/>
      <c r="U33" s="2"/>
      <c r="V33" s="21" t="str">
        <f>IF(OR($A33="",ISERROR(SEARCH("_",$A33))),"",IFERROR(SUMIFS(Trade_Reports!$Z$3:$Z$502,Trade_Reports!$H$3:$H$502,$A33,Trade_Reports!$M$3:$M$502,"APPROVED")/SUMIFS(Trade_Reports!$U$3:$U$502,Trade_Reports!$H$3:$H$502,$A33,Trade_Reports!$M$3:$M$502,"APPROVED"),""))</f>
        <v/>
      </c>
      <c r="W33" s="17" t="str">
        <f t="shared" si="1"/>
        <v/>
      </c>
      <c r="X33" s="2"/>
      <c r="Y33" s="2"/>
      <c r="Z33" s="2"/>
    </row>
    <row r="34" spans="1:26" ht="15.75" customHeight="1" x14ac:dyDescent="0.3">
      <c r="A34" s="15"/>
      <c r="B34" s="15"/>
      <c r="C34" s="16"/>
      <c r="D34" s="16"/>
      <c r="E34" s="16"/>
      <c r="F34" s="17" t="str">
        <f>IF($A34="","",IF($K34&lt;Settings!$B$14,"",IF($P34=0,"",IFERROR(_xludf.MINIFS(Trade_Reports!$I$3:$I$502,Trade_Reports!$H$3:$H$502,$A34,Trade_Reports!$M$3:$M$502,"APPROVED",Trade_Reports!$Q$3:$Q$502,"&lt;="&amp;Settings!$B$4,Trade_Reports!$W$3:$W$502,"&gt;="&amp;0.5*$P34),""))))</f>
        <v/>
      </c>
      <c r="G34" s="17" t="str">
        <f>IF($A34="","",IF($K34=0,"",IFERROR(_xludf.MINIFS(Trade_Reports!$I$3:$I$502,Trade_Reports!$H$3:$H$502,$A34,Trade_Reports!$M$3:$M$502,"APPROVED",Trade_Reports!$Q$3:$Q$502,"&lt;="&amp;Settings!$B$4),"")))</f>
        <v/>
      </c>
      <c r="H34" s="17" t="str">
        <f>IF($A34="","",IF($K34=0,"",IFERROR(_xludf.MAXIFS(Trade_Reports!$I$3:$I$502,Trade_Reports!$H$3:$H$502,$A34,Trade_Reports!$M$3:$M$502,"APPROVED",Trade_Reports!$Q$3:$Q$502,"&lt;="&amp;Settings!$B$4),"")))</f>
        <v/>
      </c>
      <c r="I34" s="17" t="str">
        <f>IF($A34="","",IF($F34="","",IF($Q34="","",IF(ABS($F34-$Q34)/$Q34&lt;=Settings!$B$18,"STABLE",IF($F34&gt;$Q34,"UP","DOWN")))))</f>
        <v/>
      </c>
      <c r="J34" s="18" t="str">
        <f>IF($A34="","",IF($K34=0,"",MIN(1,ROUND($K34/Settings!$B$14,2))))</f>
        <v/>
      </c>
      <c r="K34" s="17" t="str">
        <f>IF($A34="","",COUNTIFS(Trade_Reports!$H$3:$H$502,$A34,Trade_Reports!$M$3:$M$502,"APPROVED",Trade_Reports!$Q$3:$Q$502,"&lt;="&amp;Settings!$B$4))</f>
        <v/>
      </c>
      <c r="L34" s="19" t="str">
        <f>IF($A34="","",IF($K34=0,"",IFERROR(_xludf.MAXIFS(Trade_Reports!$O$3:$O$502,Trade_Reports!$H$3:$H$502,$A34,Trade_Reports!$M$3:$M$502,"APPROVED"),"")))</f>
        <v/>
      </c>
      <c r="M34" s="16" t="s">
        <v>46</v>
      </c>
      <c r="N34" s="15"/>
      <c r="O34" s="9" t="str">
        <f t="shared" si="0"/>
        <v/>
      </c>
      <c r="P34" s="2" t="str">
        <f>IF($A34="","",SUMIFS(Trade_Reports!$U$3:$U$502,Trade_Reports!$H$3:$H$502,$A34,Trade_Reports!$M$3:$M$502,"APPROVED",Trade_Reports!$Q$3:$Q$502,"&lt;="&amp;Settings!$B$4))</f>
        <v/>
      </c>
      <c r="Q34" s="2" t="str">
        <f>IF($A34="","",SUMIFS(Trade_Reports!$U$3:$U$502,Trade_Reports!$H$3:$H$502,$A34,Trade_Reports!$M$3:$M$502,"APPROVED",Trade_Reports!$Q$3:$Q$502,"&lt;="&amp;Settings!$B$5))</f>
        <v/>
      </c>
      <c r="R34" s="2" t="str">
        <f>IF($A34="","",IF($Q34=0,"",IFERROR(_xludf.MINIFS(Trade_Reports!$I$3:$I$502,Trade_Reports!$H$3:$H$502,$A34,Trade_Reports!$M$3:$M$502,"APPROVED",Trade_Reports!$Q$3:$Q$502,"&lt;="&amp;Settings!$B$5,Trade_Reports!$X$3:$X$502,"&gt;="&amp;0.5*$Q34),"")))</f>
        <v/>
      </c>
      <c r="S34" s="2" t="str">
        <f>IF($A34="","",COUNTIFS(Trade_Reports!$H$3:$H$502,$A34,Trade_Reports!$M$3:$M$502,"APPROVED",Trade_Reports!$Q$3:$Q$502,"&lt;="&amp;Settings!$B$5))</f>
        <v/>
      </c>
      <c r="T34" s="2"/>
      <c r="U34" s="2"/>
      <c r="V34" s="21" t="str">
        <f>IF(OR($A34="",ISERROR(SEARCH("_",$A34))),"",IFERROR(SUMIFS(Trade_Reports!$Z$3:$Z$502,Trade_Reports!$H$3:$H$502,$A34,Trade_Reports!$M$3:$M$502,"APPROVED")/SUMIFS(Trade_Reports!$U$3:$U$502,Trade_Reports!$H$3:$H$502,$A34,Trade_Reports!$M$3:$M$502,"APPROVED"),""))</f>
        <v/>
      </c>
      <c r="W34" s="17" t="str">
        <f t="shared" si="1"/>
        <v/>
      </c>
      <c r="X34" s="2"/>
      <c r="Y34" s="2"/>
      <c r="Z34" s="2"/>
    </row>
    <row r="35" spans="1:26" ht="15.75" customHeight="1" x14ac:dyDescent="0.3">
      <c r="A35" s="15"/>
      <c r="B35" s="15"/>
      <c r="C35" s="16"/>
      <c r="D35" s="16"/>
      <c r="E35" s="16"/>
      <c r="F35" s="17" t="str">
        <f>IF($A35="","",IF($K35&lt;Settings!$B$14,"",IF($P35=0,"",IFERROR(_xludf.MINIFS(Trade_Reports!$I$3:$I$502,Trade_Reports!$H$3:$H$502,$A35,Trade_Reports!$M$3:$M$502,"APPROVED",Trade_Reports!$Q$3:$Q$502,"&lt;="&amp;Settings!$B$4,Trade_Reports!$W$3:$W$502,"&gt;="&amp;0.5*$P35),""))))</f>
        <v/>
      </c>
      <c r="G35" s="17" t="str">
        <f>IF($A35="","",IF($K35=0,"",IFERROR(_xludf.MINIFS(Trade_Reports!$I$3:$I$502,Trade_Reports!$H$3:$H$502,$A35,Trade_Reports!$M$3:$M$502,"APPROVED",Trade_Reports!$Q$3:$Q$502,"&lt;="&amp;Settings!$B$4),"")))</f>
        <v/>
      </c>
      <c r="H35" s="17" t="str">
        <f>IF($A35="","",IF($K35=0,"",IFERROR(_xludf.MAXIFS(Trade_Reports!$I$3:$I$502,Trade_Reports!$H$3:$H$502,$A35,Trade_Reports!$M$3:$M$502,"APPROVED",Trade_Reports!$Q$3:$Q$502,"&lt;="&amp;Settings!$B$4),"")))</f>
        <v/>
      </c>
      <c r="I35" s="17" t="str">
        <f>IF($A35="","",IF($F35="","",IF($Q35="","",IF(ABS($F35-$Q35)/$Q35&lt;=Settings!$B$18,"STABLE",IF($F35&gt;$Q35,"UP","DOWN")))))</f>
        <v/>
      </c>
      <c r="J35" s="18" t="str">
        <f>IF($A35="","",IF($K35=0,"",MIN(1,ROUND($K35/Settings!$B$14,2))))</f>
        <v/>
      </c>
      <c r="K35" s="17" t="str">
        <f>IF($A35="","",COUNTIFS(Trade_Reports!$H$3:$H$502,$A35,Trade_Reports!$M$3:$M$502,"APPROVED",Trade_Reports!$Q$3:$Q$502,"&lt;="&amp;Settings!$B$4))</f>
        <v/>
      </c>
      <c r="L35" s="19" t="str">
        <f>IF($A35="","",IF($K35=0,"",IFERROR(_xludf.MAXIFS(Trade_Reports!$O$3:$O$502,Trade_Reports!$H$3:$H$502,$A35,Trade_Reports!$M$3:$M$502,"APPROVED"),"")))</f>
        <v/>
      </c>
      <c r="M35" s="16" t="s">
        <v>46</v>
      </c>
      <c r="N35" s="15"/>
      <c r="O35" s="9" t="str">
        <f t="shared" si="0"/>
        <v/>
      </c>
      <c r="P35" s="2" t="str">
        <f>IF($A35="","",SUMIFS(Trade_Reports!$U$3:$U$502,Trade_Reports!$H$3:$H$502,$A35,Trade_Reports!$M$3:$M$502,"APPROVED",Trade_Reports!$Q$3:$Q$502,"&lt;="&amp;Settings!$B$4))</f>
        <v/>
      </c>
      <c r="Q35" s="2" t="str">
        <f>IF($A35="","",SUMIFS(Trade_Reports!$U$3:$U$502,Trade_Reports!$H$3:$H$502,$A35,Trade_Reports!$M$3:$M$502,"APPROVED",Trade_Reports!$Q$3:$Q$502,"&lt;="&amp;Settings!$B$5))</f>
        <v/>
      </c>
      <c r="R35" s="2" t="str">
        <f>IF($A35="","",IF($Q35=0,"",IFERROR(_xludf.MINIFS(Trade_Reports!$I$3:$I$502,Trade_Reports!$H$3:$H$502,$A35,Trade_Reports!$M$3:$M$502,"APPROVED",Trade_Reports!$Q$3:$Q$502,"&lt;="&amp;Settings!$B$5,Trade_Reports!$X$3:$X$502,"&gt;="&amp;0.5*$Q35),"")))</f>
        <v/>
      </c>
      <c r="S35" s="2" t="str">
        <f>IF($A35="","",COUNTIFS(Trade_Reports!$H$3:$H$502,$A35,Trade_Reports!$M$3:$M$502,"APPROVED",Trade_Reports!$Q$3:$Q$502,"&lt;="&amp;Settings!$B$5))</f>
        <v/>
      </c>
      <c r="T35" s="2"/>
      <c r="U35" s="2"/>
      <c r="V35" s="21" t="str">
        <f>IF(OR($A35="",ISERROR(SEARCH("_",$A35))),"",IFERROR(SUMIFS(Trade_Reports!$Z$3:$Z$502,Trade_Reports!$H$3:$H$502,$A35,Trade_Reports!$M$3:$M$502,"APPROVED")/SUMIFS(Trade_Reports!$U$3:$U$502,Trade_Reports!$H$3:$H$502,$A35,Trade_Reports!$M$3:$M$502,"APPROVED"),""))</f>
        <v/>
      </c>
      <c r="W35" s="17" t="str">
        <f t="shared" si="1"/>
        <v/>
      </c>
      <c r="X35" s="2"/>
      <c r="Y35" s="2"/>
      <c r="Z35" s="2"/>
    </row>
    <row r="36" spans="1:26" ht="15.75" customHeight="1" x14ac:dyDescent="0.3">
      <c r="A36" s="15"/>
      <c r="B36" s="15"/>
      <c r="C36" s="16"/>
      <c r="D36" s="16"/>
      <c r="E36" s="16"/>
      <c r="F36" s="17" t="str">
        <f>IF($A36="","",IF($K36&lt;Settings!$B$14,"",IF($P36=0,"",IFERROR(_xludf.MINIFS(Trade_Reports!$I$3:$I$502,Trade_Reports!$H$3:$H$502,$A36,Trade_Reports!$M$3:$M$502,"APPROVED",Trade_Reports!$Q$3:$Q$502,"&lt;="&amp;Settings!$B$4,Trade_Reports!$W$3:$W$502,"&gt;="&amp;0.5*$P36),""))))</f>
        <v/>
      </c>
      <c r="G36" s="17" t="str">
        <f>IF($A36="","",IF($K36=0,"",IFERROR(_xludf.MINIFS(Trade_Reports!$I$3:$I$502,Trade_Reports!$H$3:$H$502,$A36,Trade_Reports!$M$3:$M$502,"APPROVED",Trade_Reports!$Q$3:$Q$502,"&lt;="&amp;Settings!$B$4),"")))</f>
        <v/>
      </c>
      <c r="H36" s="17" t="str">
        <f>IF($A36="","",IF($K36=0,"",IFERROR(_xludf.MAXIFS(Trade_Reports!$I$3:$I$502,Trade_Reports!$H$3:$H$502,$A36,Trade_Reports!$M$3:$M$502,"APPROVED",Trade_Reports!$Q$3:$Q$502,"&lt;="&amp;Settings!$B$4),"")))</f>
        <v/>
      </c>
      <c r="I36" s="17" t="str">
        <f>IF($A36="","",IF($F36="","",IF($Q36="","",IF(ABS($F36-$Q36)/$Q36&lt;=Settings!$B$18,"STABLE",IF($F36&gt;$Q36,"UP","DOWN")))))</f>
        <v/>
      </c>
      <c r="J36" s="18" t="str">
        <f>IF($A36="","",IF($K36=0,"",MIN(1,ROUND($K36/Settings!$B$14,2))))</f>
        <v/>
      </c>
      <c r="K36" s="17" t="str">
        <f>IF($A36="","",COUNTIFS(Trade_Reports!$H$3:$H$502,$A36,Trade_Reports!$M$3:$M$502,"APPROVED",Trade_Reports!$Q$3:$Q$502,"&lt;="&amp;Settings!$B$4))</f>
        <v/>
      </c>
      <c r="L36" s="19" t="str">
        <f>IF($A36="","",IF($K36=0,"",IFERROR(_xludf.MAXIFS(Trade_Reports!$O$3:$O$502,Trade_Reports!$H$3:$H$502,$A36,Trade_Reports!$M$3:$M$502,"APPROVED"),"")))</f>
        <v/>
      </c>
      <c r="M36" s="16" t="s">
        <v>46</v>
      </c>
      <c r="N36" s="15"/>
      <c r="O36" s="9" t="str">
        <f t="shared" si="0"/>
        <v/>
      </c>
      <c r="P36" s="2" t="str">
        <f>IF($A36="","",SUMIFS(Trade_Reports!$U$3:$U$502,Trade_Reports!$H$3:$H$502,$A36,Trade_Reports!$M$3:$M$502,"APPROVED",Trade_Reports!$Q$3:$Q$502,"&lt;="&amp;Settings!$B$4))</f>
        <v/>
      </c>
      <c r="Q36" s="2" t="str">
        <f>IF($A36="","",SUMIFS(Trade_Reports!$U$3:$U$502,Trade_Reports!$H$3:$H$502,$A36,Trade_Reports!$M$3:$M$502,"APPROVED",Trade_Reports!$Q$3:$Q$502,"&lt;="&amp;Settings!$B$5))</f>
        <v/>
      </c>
      <c r="R36" s="2" t="str">
        <f>IF($A36="","",IF($Q36=0,"",IFERROR(_xludf.MINIFS(Trade_Reports!$I$3:$I$502,Trade_Reports!$H$3:$H$502,$A36,Trade_Reports!$M$3:$M$502,"APPROVED",Trade_Reports!$Q$3:$Q$502,"&lt;="&amp;Settings!$B$5,Trade_Reports!$X$3:$X$502,"&gt;="&amp;0.5*$Q36),"")))</f>
        <v/>
      </c>
      <c r="S36" s="2" t="str">
        <f>IF($A36="","",COUNTIFS(Trade_Reports!$H$3:$H$502,$A36,Trade_Reports!$M$3:$M$502,"APPROVED",Trade_Reports!$Q$3:$Q$502,"&lt;="&amp;Settings!$B$5))</f>
        <v/>
      </c>
      <c r="T36" s="2"/>
      <c r="U36" s="2"/>
      <c r="V36" s="21" t="str">
        <f>IF(OR($A36="",ISERROR(SEARCH("_",$A36))),"",IFERROR(SUMIFS(Trade_Reports!$Z$3:$Z$502,Trade_Reports!$H$3:$H$502,$A36,Trade_Reports!$M$3:$M$502,"APPROVED")/SUMIFS(Trade_Reports!$U$3:$U$502,Trade_Reports!$H$3:$H$502,$A36,Trade_Reports!$M$3:$M$502,"APPROVED"),""))</f>
        <v/>
      </c>
      <c r="W36" s="17" t="str">
        <f t="shared" si="1"/>
        <v/>
      </c>
      <c r="X36" s="2"/>
      <c r="Y36" s="2"/>
      <c r="Z36" s="2"/>
    </row>
    <row r="37" spans="1:26" ht="15.75" customHeight="1" x14ac:dyDescent="0.3">
      <c r="A37" s="15"/>
      <c r="B37" s="15"/>
      <c r="C37" s="16"/>
      <c r="D37" s="16"/>
      <c r="E37" s="16"/>
      <c r="F37" s="17" t="str">
        <f>IF($A37="","",IF($K37&lt;Settings!$B$14,"",IF($P37=0,"",IFERROR(_xludf.MINIFS(Trade_Reports!$I$3:$I$502,Trade_Reports!$H$3:$H$502,$A37,Trade_Reports!$M$3:$M$502,"APPROVED",Trade_Reports!$Q$3:$Q$502,"&lt;="&amp;Settings!$B$4,Trade_Reports!$W$3:$W$502,"&gt;="&amp;0.5*$P37),""))))</f>
        <v/>
      </c>
      <c r="G37" s="17" t="str">
        <f>IF($A37="","",IF($K37=0,"",IFERROR(_xludf.MINIFS(Trade_Reports!$I$3:$I$502,Trade_Reports!$H$3:$H$502,$A37,Trade_Reports!$M$3:$M$502,"APPROVED",Trade_Reports!$Q$3:$Q$502,"&lt;="&amp;Settings!$B$4),"")))</f>
        <v/>
      </c>
      <c r="H37" s="17" t="str">
        <f>IF($A37="","",IF($K37=0,"",IFERROR(_xludf.MAXIFS(Trade_Reports!$I$3:$I$502,Trade_Reports!$H$3:$H$502,$A37,Trade_Reports!$M$3:$M$502,"APPROVED",Trade_Reports!$Q$3:$Q$502,"&lt;="&amp;Settings!$B$4),"")))</f>
        <v/>
      </c>
      <c r="I37" s="17" t="str">
        <f>IF($A37="","",IF($F37="","",IF($Q37="","",IF(ABS($F37-$Q37)/$Q37&lt;=Settings!$B$18,"STABLE",IF($F37&gt;$Q37,"UP","DOWN")))))</f>
        <v/>
      </c>
      <c r="J37" s="18" t="str">
        <f>IF($A37="","",IF($K37=0,"",MIN(1,ROUND($K37/Settings!$B$14,2))))</f>
        <v/>
      </c>
      <c r="K37" s="17" t="str">
        <f>IF($A37="","",COUNTIFS(Trade_Reports!$H$3:$H$502,$A37,Trade_Reports!$M$3:$M$502,"APPROVED",Trade_Reports!$Q$3:$Q$502,"&lt;="&amp;Settings!$B$4))</f>
        <v/>
      </c>
      <c r="L37" s="19" t="str">
        <f>IF($A37="","",IF($K37=0,"",IFERROR(_xludf.MAXIFS(Trade_Reports!$O$3:$O$502,Trade_Reports!$H$3:$H$502,$A37,Trade_Reports!$M$3:$M$502,"APPROVED"),"")))</f>
        <v/>
      </c>
      <c r="M37" s="16" t="s">
        <v>46</v>
      </c>
      <c r="N37" s="15"/>
      <c r="O37" s="9" t="str">
        <f t="shared" si="0"/>
        <v/>
      </c>
      <c r="P37" s="2" t="str">
        <f>IF($A37="","",SUMIFS(Trade_Reports!$U$3:$U$502,Trade_Reports!$H$3:$H$502,$A37,Trade_Reports!$M$3:$M$502,"APPROVED",Trade_Reports!$Q$3:$Q$502,"&lt;="&amp;Settings!$B$4))</f>
        <v/>
      </c>
      <c r="Q37" s="2" t="str">
        <f>IF($A37="","",SUMIFS(Trade_Reports!$U$3:$U$502,Trade_Reports!$H$3:$H$502,$A37,Trade_Reports!$M$3:$M$502,"APPROVED",Trade_Reports!$Q$3:$Q$502,"&lt;="&amp;Settings!$B$5))</f>
        <v/>
      </c>
      <c r="R37" s="2" t="str">
        <f>IF($A37="","",IF($Q37=0,"",IFERROR(_xludf.MINIFS(Trade_Reports!$I$3:$I$502,Trade_Reports!$H$3:$H$502,$A37,Trade_Reports!$M$3:$M$502,"APPROVED",Trade_Reports!$Q$3:$Q$502,"&lt;="&amp;Settings!$B$5,Trade_Reports!$X$3:$X$502,"&gt;="&amp;0.5*$Q37),"")))</f>
        <v/>
      </c>
      <c r="S37" s="2" t="str">
        <f>IF($A37="","",COUNTIFS(Trade_Reports!$H$3:$H$502,$A37,Trade_Reports!$M$3:$M$502,"APPROVED",Trade_Reports!$Q$3:$Q$502,"&lt;="&amp;Settings!$B$5))</f>
        <v/>
      </c>
      <c r="T37" s="2"/>
      <c r="U37" s="2"/>
      <c r="V37" s="21" t="str">
        <f>IF(OR($A37="",ISERROR(SEARCH("_",$A37))),"",IFERROR(SUMIFS(Trade_Reports!$Z$3:$Z$502,Trade_Reports!$H$3:$H$502,$A37,Trade_Reports!$M$3:$M$502,"APPROVED")/SUMIFS(Trade_Reports!$U$3:$U$502,Trade_Reports!$H$3:$H$502,$A37,Trade_Reports!$M$3:$M$502,"APPROVED"),""))</f>
        <v/>
      </c>
      <c r="W37" s="17" t="str">
        <f t="shared" si="1"/>
        <v/>
      </c>
      <c r="X37" s="2"/>
      <c r="Y37" s="2"/>
      <c r="Z37" s="2"/>
    </row>
    <row r="38" spans="1:26" ht="15.75" customHeight="1" x14ac:dyDescent="0.3">
      <c r="A38" s="15"/>
      <c r="B38" s="15"/>
      <c r="C38" s="16"/>
      <c r="D38" s="16"/>
      <c r="E38" s="16"/>
      <c r="F38" s="17" t="str">
        <f>IF($A38="","",IF($K38&lt;Settings!$B$14,"",IF($P38=0,"",IFERROR(_xludf.MINIFS(Trade_Reports!$I$3:$I$502,Trade_Reports!$H$3:$H$502,$A38,Trade_Reports!$M$3:$M$502,"APPROVED",Trade_Reports!$Q$3:$Q$502,"&lt;="&amp;Settings!$B$4,Trade_Reports!$W$3:$W$502,"&gt;="&amp;0.5*$P38),""))))</f>
        <v/>
      </c>
      <c r="G38" s="17" t="str">
        <f>IF($A38="","",IF($K38=0,"",IFERROR(_xludf.MINIFS(Trade_Reports!$I$3:$I$502,Trade_Reports!$H$3:$H$502,$A38,Trade_Reports!$M$3:$M$502,"APPROVED",Trade_Reports!$Q$3:$Q$502,"&lt;="&amp;Settings!$B$4),"")))</f>
        <v/>
      </c>
      <c r="H38" s="17" t="str">
        <f>IF($A38="","",IF($K38=0,"",IFERROR(_xludf.MAXIFS(Trade_Reports!$I$3:$I$502,Trade_Reports!$H$3:$H$502,$A38,Trade_Reports!$M$3:$M$502,"APPROVED",Trade_Reports!$Q$3:$Q$502,"&lt;="&amp;Settings!$B$4),"")))</f>
        <v/>
      </c>
      <c r="I38" s="17" t="str">
        <f>IF($A38="","",IF($F38="","",IF($Q38="","",IF(ABS($F38-$Q38)/$Q38&lt;=Settings!$B$18,"STABLE",IF($F38&gt;$Q38,"UP","DOWN")))))</f>
        <v/>
      </c>
      <c r="J38" s="18" t="str">
        <f>IF($A38="","",IF($K38=0,"",MIN(1,ROUND($K38/Settings!$B$14,2))))</f>
        <v/>
      </c>
      <c r="K38" s="17" t="str">
        <f>IF($A38="","",COUNTIFS(Trade_Reports!$H$3:$H$502,$A38,Trade_Reports!$M$3:$M$502,"APPROVED",Trade_Reports!$Q$3:$Q$502,"&lt;="&amp;Settings!$B$4))</f>
        <v/>
      </c>
      <c r="L38" s="19" t="str">
        <f>IF($A38="","",IF($K38=0,"",IFERROR(_xludf.MAXIFS(Trade_Reports!$O$3:$O$502,Trade_Reports!$H$3:$H$502,$A38,Trade_Reports!$M$3:$M$502,"APPROVED"),"")))</f>
        <v/>
      </c>
      <c r="M38" s="16" t="s">
        <v>46</v>
      </c>
      <c r="N38" s="15"/>
      <c r="O38" s="9" t="str">
        <f t="shared" si="0"/>
        <v/>
      </c>
      <c r="P38" s="2" t="str">
        <f>IF($A38="","",SUMIFS(Trade_Reports!$U$3:$U$502,Trade_Reports!$H$3:$H$502,$A38,Trade_Reports!$M$3:$M$502,"APPROVED",Trade_Reports!$Q$3:$Q$502,"&lt;="&amp;Settings!$B$4))</f>
        <v/>
      </c>
      <c r="Q38" s="2" t="str">
        <f>IF($A38="","",SUMIFS(Trade_Reports!$U$3:$U$502,Trade_Reports!$H$3:$H$502,$A38,Trade_Reports!$M$3:$M$502,"APPROVED",Trade_Reports!$Q$3:$Q$502,"&lt;="&amp;Settings!$B$5))</f>
        <v/>
      </c>
      <c r="R38" s="2" t="str">
        <f>IF($A38="","",IF($Q38=0,"",IFERROR(_xludf.MINIFS(Trade_Reports!$I$3:$I$502,Trade_Reports!$H$3:$H$502,$A38,Trade_Reports!$M$3:$M$502,"APPROVED",Trade_Reports!$Q$3:$Q$502,"&lt;="&amp;Settings!$B$5,Trade_Reports!$X$3:$X$502,"&gt;="&amp;0.5*$Q38),"")))</f>
        <v/>
      </c>
      <c r="S38" s="2" t="str">
        <f>IF($A38="","",COUNTIFS(Trade_Reports!$H$3:$H$502,$A38,Trade_Reports!$M$3:$M$502,"APPROVED",Trade_Reports!$Q$3:$Q$502,"&lt;="&amp;Settings!$B$5))</f>
        <v/>
      </c>
      <c r="T38" s="2"/>
      <c r="U38" s="2"/>
      <c r="V38" s="21" t="str">
        <f>IF(OR($A38="",ISERROR(SEARCH("_",$A38))),"",IFERROR(SUMIFS(Trade_Reports!$Z$3:$Z$502,Trade_Reports!$H$3:$H$502,$A38,Trade_Reports!$M$3:$M$502,"APPROVED")/SUMIFS(Trade_Reports!$U$3:$U$502,Trade_Reports!$H$3:$H$502,$A38,Trade_Reports!$M$3:$M$502,"APPROVED"),""))</f>
        <v/>
      </c>
      <c r="W38" s="17" t="str">
        <f t="shared" si="1"/>
        <v/>
      </c>
      <c r="X38" s="2"/>
      <c r="Y38" s="2"/>
      <c r="Z38" s="2"/>
    </row>
    <row r="39" spans="1:26" ht="15.75" customHeight="1" x14ac:dyDescent="0.3">
      <c r="A39" s="15"/>
      <c r="B39" s="15"/>
      <c r="C39" s="16"/>
      <c r="D39" s="16"/>
      <c r="E39" s="16"/>
      <c r="F39" s="17" t="str">
        <f>IF($A39="","",IF($K39&lt;Settings!$B$14,"",IF($P39=0,"",IFERROR(_xludf.MINIFS(Trade_Reports!$I$3:$I$502,Trade_Reports!$H$3:$H$502,$A39,Trade_Reports!$M$3:$M$502,"APPROVED",Trade_Reports!$Q$3:$Q$502,"&lt;="&amp;Settings!$B$4,Trade_Reports!$W$3:$W$502,"&gt;="&amp;0.5*$P39),""))))</f>
        <v/>
      </c>
      <c r="G39" s="17" t="str">
        <f>IF($A39="","",IF($K39=0,"",IFERROR(_xludf.MINIFS(Trade_Reports!$I$3:$I$502,Trade_Reports!$H$3:$H$502,$A39,Trade_Reports!$M$3:$M$502,"APPROVED",Trade_Reports!$Q$3:$Q$502,"&lt;="&amp;Settings!$B$4),"")))</f>
        <v/>
      </c>
      <c r="H39" s="17" t="str">
        <f>IF($A39="","",IF($K39=0,"",IFERROR(_xludf.MAXIFS(Trade_Reports!$I$3:$I$502,Trade_Reports!$H$3:$H$502,$A39,Trade_Reports!$M$3:$M$502,"APPROVED",Trade_Reports!$Q$3:$Q$502,"&lt;="&amp;Settings!$B$4),"")))</f>
        <v/>
      </c>
      <c r="I39" s="17" t="str">
        <f>IF($A39="","",IF($F39="","",IF($Q39="","",IF(ABS($F39-$Q39)/$Q39&lt;=Settings!$B$18,"STABLE",IF($F39&gt;$Q39,"UP","DOWN")))))</f>
        <v/>
      </c>
      <c r="J39" s="18" t="str">
        <f>IF($A39="","",IF($K39=0,"",MIN(1,ROUND($K39/Settings!$B$14,2))))</f>
        <v/>
      </c>
      <c r="K39" s="17" t="str">
        <f>IF($A39="","",COUNTIFS(Trade_Reports!$H$3:$H$502,$A39,Trade_Reports!$M$3:$M$502,"APPROVED",Trade_Reports!$Q$3:$Q$502,"&lt;="&amp;Settings!$B$4))</f>
        <v/>
      </c>
      <c r="L39" s="19" t="str">
        <f>IF($A39="","",IF($K39=0,"",IFERROR(_xludf.MAXIFS(Trade_Reports!$O$3:$O$502,Trade_Reports!$H$3:$H$502,$A39,Trade_Reports!$M$3:$M$502,"APPROVED"),"")))</f>
        <v/>
      </c>
      <c r="M39" s="16" t="s">
        <v>46</v>
      </c>
      <c r="N39" s="15"/>
      <c r="O39" s="9" t="str">
        <f t="shared" si="0"/>
        <v/>
      </c>
      <c r="P39" s="2" t="str">
        <f>IF($A39="","",SUMIFS(Trade_Reports!$U$3:$U$502,Trade_Reports!$H$3:$H$502,$A39,Trade_Reports!$M$3:$M$502,"APPROVED",Trade_Reports!$Q$3:$Q$502,"&lt;="&amp;Settings!$B$4))</f>
        <v/>
      </c>
      <c r="Q39" s="2" t="str">
        <f>IF($A39="","",SUMIFS(Trade_Reports!$U$3:$U$502,Trade_Reports!$H$3:$H$502,$A39,Trade_Reports!$M$3:$M$502,"APPROVED",Trade_Reports!$Q$3:$Q$502,"&lt;="&amp;Settings!$B$5))</f>
        <v/>
      </c>
      <c r="R39" s="2" t="str">
        <f>IF($A39="","",IF($Q39=0,"",IFERROR(_xludf.MINIFS(Trade_Reports!$I$3:$I$502,Trade_Reports!$H$3:$H$502,$A39,Trade_Reports!$M$3:$M$502,"APPROVED",Trade_Reports!$Q$3:$Q$502,"&lt;="&amp;Settings!$B$5,Trade_Reports!$X$3:$X$502,"&gt;="&amp;0.5*$Q39),"")))</f>
        <v/>
      </c>
      <c r="S39" s="2" t="str">
        <f>IF($A39="","",COUNTIFS(Trade_Reports!$H$3:$H$502,$A39,Trade_Reports!$M$3:$M$502,"APPROVED",Trade_Reports!$Q$3:$Q$502,"&lt;="&amp;Settings!$B$5))</f>
        <v/>
      </c>
      <c r="T39" s="2"/>
      <c r="U39" s="2"/>
      <c r="V39" s="21" t="str">
        <f>IF(OR($A39="",ISERROR(SEARCH("_",$A39))),"",IFERROR(SUMIFS(Trade_Reports!$Z$3:$Z$502,Trade_Reports!$H$3:$H$502,$A39,Trade_Reports!$M$3:$M$502,"APPROVED")/SUMIFS(Trade_Reports!$U$3:$U$502,Trade_Reports!$H$3:$H$502,$A39,Trade_Reports!$M$3:$M$502,"APPROVED"),""))</f>
        <v/>
      </c>
      <c r="W39" s="17" t="str">
        <f t="shared" si="1"/>
        <v/>
      </c>
      <c r="X39" s="2"/>
      <c r="Y39" s="2"/>
      <c r="Z39" s="2"/>
    </row>
    <row r="40" spans="1:26" ht="15.75" customHeight="1" x14ac:dyDescent="0.3">
      <c r="A40" s="15"/>
      <c r="B40" s="15"/>
      <c r="C40" s="16"/>
      <c r="D40" s="16"/>
      <c r="E40" s="16"/>
      <c r="F40" s="17" t="str">
        <f>IF($A40="","",IF($K40&lt;Settings!$B$14,"",IF($P40=0,"",IFERROR(_xludf.MINIFS(Trade_Reports!$I$3:$I$502,Trade_Reports!$H$3:$H$502,$A40,Trade_Reports!$M$3:$M$502,"APPROVED",Trade_Reports!$Q$3:$Q$502,"&lt;="&amp;Settings!$B$4,Trade_Reports!$W$3:$W$502,"&gt;="&amp;0.5*$P40),""))))</f>
        <v/>
      </c>
      <c r="G40" s="17" t="str">
        <f>IF($A40="","",IF($K40=0,"",IFERROR(_xludf.MINIFS(Trade_Reports!$I$3:$I$502,Trade_Reports!$H$3:$H$502,$A40,Trade_Reports!$M$3:$M$502,"APPROVED",Trade_Reports!$Q$3:$Q$502,"&lt;="&amp;Settings!$B$4),"")))</f>
        <v/>
      </c>
      <c r="H40" s="17" t="str">
        <f>IF($A40="","",IF($K40=0,"",IFERROR(_xludf.MAXIFS(Trade_Reports!$I$3:$I$502,Trade_Reports!$H$3:$H$502,$A40,Trade_Reports!$M$3:$M$502,"APPROVED",Trade_Reports!$Q$3:$Q$502,"&lt;="&amp;Settings!$B$4),"")))</f>
        <v/>
      </c>
      <c r="I40" s="17" t="str">
        <f>IF($A40="","",IF($F40="","",IF($Q40="","",IF(ABS($F40-$Q40)/$Q40&lt;=Settings!$B$18,"STABLE",IF($F40&gt;$Q40,"UP","DOWN")))))</f>
        <v/>
      </c>
      <c r="J40" s="18" t="str">
        <f>IF($A40="","",IF($K40=0,"",MIN(1,ROUND($K40/Settings!$B$14,2))))</f>
        <v/>
      </c>
      <c r="K40" s="17" t="str">
        <f>IF($A40="","",COUNTIFS(Trade_Reports!$H$3:$H$502,$A40,Trade_Reports!$M$3:$M$502,"APPROVED",Trade_Reports!$Q$3:$Q$502,"&lt;="&amp;Settings!$B$4))</f>
        <v/>
      </c>
      <c r="L40" s="19" t="str">
        <f>IF($A40="","",IF($K40=0,"",IFERROR(_xludf.MAXIFS(Trade_Reports!$O$3:$O$502,Trade_Reports!$H$3:$H$502,$A40,Trade_Reports!$M$3:$M$502,"APPROVED"),"")))</f>
        <v/>
      </c>
      <c r="M40" s="16" t="s">
        <v>46</v>
      </c>
      <c r="N40" s="15"/>
      <c r="O40" s="9" t="str">
        <f t="shared" si="0"/>
        <v/>
      </c>
      <c r="P40" s="2" t="str">
        <f>IF($A40="","",SUMIFS(Trade_Reports!$U$3:$U$502,Trade_Reports!$H$3:$H$502,$A40,Trade_Reports!$M$3:$M$502,"APPROVED",Trade_Reports!$Q$3:$Q$502,"&lt;="&amp;Settings!$B$4))</f>
        <v/>
      </c>
      <c r="Q40" s="2" t="str">
        <f>IF($A40="","",SUMIFS(Trade_Reports!$U$3:$U$502,Trade_Reports!$H$3:$H$502,$A40,Trade_Reports!$M$3:$M$502,"APPROVED",Trade_Reports!$Q$3:$Q$502,"&lt;="&amp;Settings!$B$5))</f>
        <v/>
      </c>
      <c r="R40" s="2" t="str">
        <f>IF($A40="","",IF($Q40=0,"",IFERROR(_xludf.MINIFS(Trade_Reports!$I$3:$I$502,Trade_Reports!$H$3:$H$502,$A40,Trade_Reports!$M$3:$M$502,"APPROVED",Trade_Reports!$Q$3:$Q$502,"&lt;="&amp;Settings!$B$5,Trade_Reports!$X$3:$X$502,"&gt;="&amp;0.5*$Q40),"")))</f>
        <v/>
      </c>
      <c r="S40" s="2" t="str">
        <f>IF($A40="","",COUNTIFS(Trade_Reports!$H$3:$H$502,$A40,Trade_Reports!$M$3:$M$502,"APPROVED",Trade_Reports!$Q$3:$Q$502,"&lt;="&amp;Settings!$B$5))</f>
        <v/>
      </c>
      <c r="T40" s="2"/>
      <c r="U40" s="2"/>
      <c r="V40" s="21" t="str">
        <f>IF(OR($A40="",ISERROR(SEARCH("_",$A40))),"",IFERROR(SUMIFS(Trade_Reports!$Z$3:$Z$502,Trade_Reports!$H$3:$H$502,$A40,Trade_Reports!$M$3:$M$502,"APPROVED")/SUMIFS(Trade_Reports!$U$3:$U$502,Trade_Reports!$H$3:$H$502,$A40,Trade_Reports!$M$3:$M$502,"APPROVED"),""))</f>
        <v/>
      </c>
      <c r="W40" s="17" t="str">
        <f t="shared" si="1"/>
        <v/>
      </c>
      <c r="X40" s="2"/>
      <c r="Y40" s="2"/>
      <c r="Z40" s="2"/>
    </row>
    <row r="41" spans="1:26" ht="15.75" customHeight="1" x14ac:dyDescent="0.3">
      <c r="A41" s="15"/>
      <c r="B41" s="15"/>
      <c r="C41" s="16"/>
      <c r="D41" s="16"/>
      <c r="E41" s="16"/>
      <c r="F41" s="17" t="str">
        <f>IF($A41="","",IF($K41&lt;Settings!$B$14,"",IF($P41=0,"",IFERROR(_xludf.MINIFS(Trade_Reports!$I$3:$I$502,Trade_Reports!$H$3:$H$502,$A41,Trade_Reports!$M$3:$M$502,"APPROVED",Trade_Reports!$Q$3:$Q$502,"&lt;="&amp;Settings!$B$4,Trade_Reports!$W$3:$W$502,"&gt;="&amp;0.5*$P41),""))))</f>
        <v/>
      </c>
      <c r="G41" s="17" t="str">
        <f>IF($A41="","",IF($K41=0,"",IFERROR(_xludf.MINIFS(Trade_Reports!$I$3:$I$502,Trade_Reports!$H$3:$H$502,$A41,Trade_Reports!$M$3:$M$502,"APPROVED",Trade_Reports!$Q$3:$Q$502,"&lt;="&amp;Settings!$B$4),"")))</f>
        <v/>
      </c>
      <c r="H41" s="17" t="str">
        <f>IF($A41="","",IF($K41=0,"",IFERROR(_xludf.MAXIFS(Trade_Reports!$I$3:$I$502,Trade_Reports!$H$3:$H$502,$A41,Trade_Reports!$M$3:$M$502,"APPROVED",Trade_Reports!$Q$3:$Q$502,"&lt;="&amp;Settings!$B$4),"")))</f>
        <v/>
      </c>
      <c r="I41" s="17" t="str">
        <f>IF($A41="","",IF($F41="","",IF($Q41="","",IF(ABS($F41-$Q41)/$Q41&lt;=Settings!$B$18,"STABLE",IF($F41&gt;$Q41,"UP","DOWN")))))</f>
        <v/>
      </c>
      <c r="J41" s="18" t="str">
        <f>IF($A41="","",IF($K41=0,"",MIN(1,ROUND($K41/Settings!$B$14,2))))</f>
        <v/>
      </c>
      <c r="K41" s="17" t="str">
        <f>IF($A41="","",COUNTIFS(Trade_Reports!$H$3:$H$502,$A41,Trade_Reports!$M$3:$M$502,"APPROVED",Trade_Reports!$Q$3:$Q$502,"&lt;="&amp;Settings!$B$4))</f>
        <v/>
      </c>
      <c r="L41" s="19" t="str">
        <f>IF($A41="","",IF($K41=0,"",IFERROR(_xludf.MAXIFS(Trade_Reports!$O$3:$O$502,Trade_Reports!$H$3:$H$502,$A41,Trade_Reports!$M$3:$M$502,"APPROVED"),"")))</f>
        <v/>
      </c>
      <c r="M41" s="16" t="s">
        <v>46</v>
      </c>
      <c r="N41" s="15"/>
      <c r="O41" s="9" t="str">
        <f t="shared" si="0"/>
        <v/>
      </c>
      <c r="P41" s="2" t="str">
        <f>IF($A41="","",SUMIFS(Trade_Reports!$U$3:$U$502,Trade_Reports!$H$3:$H$502,$A41,Trade_Reports!$M$3:$M$502,"APPROVED",Trade_Reports!$Q$3:$Q$502,"&lt;="&amp;Settings!$B$4))</f>
        <v/>
      </c>
      <c r="Q41" s="2" t="str">
        <f>IF($A41="","",SUMIFS(Trade_Reports!$U$3:$U$502,Trade_Reports!$H$3:$H$502,$A41,Trade_Reports!$M$3:$M$502,"APPROVED",Trade_Reports!$Q$3:$Q$502,"&lt;="&amp;Settings!$B$5))</f>
        <v/>
      </c>
      <c r="R41" s="2" t="str">
        <f>IF($A41="","",IF($Q41=0,"",IFERROR(_xludf.MINIFS(Trade_Reports!$I$3:$I$502,Trade_Reports!$H$3:$H$502,$A41,Trade_Reports!$M$3:$M$502,"APPROVED",Trade_Reports!$Q$3:$Q$502,"&lt;="&amp;Settings!$B$5,Trade_Reports!$X$3:$X$502,"&gt;="&amp;0.5*$Q41),"")))</f>
        <v/>
      </c>
      <c r="S41" s="2" t="str">
        <f>IF($A41="","",COUNTIFS(Trade_Reports!$H$3:$H$502,$A41,Trade_Reports!$M$3:$M$502,"APPROVED",Trade_Reports!$Q$3:$Q$502,"&lt;="&amp;Settings!$B$5))</f>
        <v/>
      </c>
      <c r="T41" s="2"/>
      <c r="U41" s="2"/>
      <c r="V41" s="21" t="str">
        <f>IF(OR($A41="",ISERROR(SEARCH("_",$A41))),"",IFERROR(SUMIFS(Trade_Reports!$Z$3:$Z$502,Trade_Reports!$H$3:$H$502,$A41,Trade_Reports!$M$3:$M$502,"APPROVED")/SUMIFS(Trade_Reports!$U$3:$U$502,Trade_Reports!$H$3:$H$502,$A41,Trade_Reports!$M$3:$M$502,"APPROVED"),""))</f>
        <v/>
      </c>
      <c r="W41" s="17" t="str">
        <f t="shared" si="1"/>
        <v/>
      </c>
      <c r="X41" s="2"/>
      <c r="Y41" s="2"/>
      <c r="Z41" s="2"/>
    </row>
    <row r="42" spans="1:26" ht="15.75" customHeight="1" x14ac:dyDescent="0.3">
      <c r="A42" s="15"/>
      <c r="B42" s="15"/>
      <c r="C42" s="16"/>
      <c r="D42" s="16"/>
      <c r="E42" s="16"/>
      <c r="F42" s="17" t="str">
        <f>IF($A42="","",IF($K42&lt;Settings!$B$14,"",IF($P42=0,"",IFERROR(_xludf.MINIFS(Trade_Reports!$I$3:$I$502,Trade_Reports!$H$3:$H$502,$A42,Trade_Reports!$M$3:$M$502,"APPROVED",Trade_Reports!$Q$3:$Q$502,"&lt;="&amp;Settings!$B$4,Trade_Reports!$W$3:$W$502,"&gt;="&amp;0.5*$P42),""))))</f>
        <v/>
      </c>
      <c r="G42" s="17" t="str">
        <f>IF($A42="","",IF($K42=0,"",IFERROR(_xludf.MINIFS(Trade_Reports!$I$3:$I$502,Trade_Reports!$H$3:$H$502,$A42,Trade_Reports!$M$3:$M$502,"APPROVED",Trade_Reports!$Q$3:$Q$502,"&lt;="&amp;Settings!$B$4),"")))</f>
        <v/>
      </c>
      <c r="H42" s="17" t="str">
        <f>IF($A42="","",IF($K42=0,"",IFERROR(_xludf.MAXIFS(Trade_Reports!$I$3:$I$502,Trade_Reports!$H$3:$H$502,$A42,Trade_Reports!$M$3:$M$502,"APPROVED",Trade_Reports!$Q$3:$Q$502,"&lt;="&amp;Settings!$B$4),"")))</f>
        <v/>
      </c>
      <c r="I42" s="17" t="str">
        <f>IF($A42="","",IF($F42="","",IF($Q42="","",IF(ABS($F42-$Q42)/$Q42&lt;=Settings!$B$18,"STABLE",IF($F42&gt;$Q42,"UP","DOWN")))))</f>
        <v/>
      </c>
      <c r="J42" s="18" t="str">
        <f>IF($A42="","",IF($K42=0,"",MIN(1,ROUND($K42/Settings!$B$14,2))))</f>
        <v/>
      </c>
      <c r="K42" s="17" t="str">
        <f>IF($A42="","",COUNTIFS(Trade_Reports!$H$3:$H$502,$A42,Trade_Reports!$M$3:$M$502,"APPROVED",Trade_Reports!$Q$3:$Q$502,"&lt;="&amp;Settings!$B$4))</f>
        <v/>
      </c>
      <c r="L42" s="19" t="str">
        <f>IF($A42="","",IF($K42=0,"",IFERROR(_xludf.MAXIFS(Trade_Reports!$O$3:$O$502,Trade_Reports!$H$3:$H$502,$A42,Trade_Reports!$M$3:$M$502,"APPROVED"),"")))</f>
        <v/>
      </c>
      <c r="M42" s="16" t="s">
        <v>46</v>
      </c>
      <c r="N42" s="15"/>
      <c r="O42" s="9" t="str">
        <f t="shared" si="0"/>
        <v/>
      </c>
      <c r="P42" s="2" t="str">
        <f>IF($A42="","",SUMIFS(Trade_Reports!$U$3:$U$502,Trade_Reports!$H$3:$H$502,$A42,Trade_Reports!$M$3:$M$502,"APPROVED",Trade_Reports!$Q$3:$Q$502,"&lt;="&amp;Settings!$B$4))</f>
        <v/>
      </c>
      <c r="Q42" s="2" t="str">
        <f>IF($A42="","",SUMIFS(Trade_Reports!$U$3:$U$502,Trade_Reports!$H$3:$H$502,$A42,Trade_Reports!$M$3:$M$502,"APPROVED",Trade_Reports!$Q$3:$Q$502,"&lt;="&amp;Settings!$B$5))</f>
        <v/>
      </c>
      <c r="R42" s="2" t="str">
        <f>IF($A42="","",IF($Q42=0,"",IFERROR(_xludf.MINIFS(Trade_Reports!$I$3:$I$502,Trade_Reports!$H$3:$H$502,$A42,Trade_Reports!$M$3:$M$502,"APPROVED",Trade_Reports!$Q$3:$Q$502,"&lt;="&amp;Settings!$B$5,Trade_Reports!$X$3:$X$502,"&gt;="&amp;0.5*$Q42),"")))</f>
        <v/>
      </c>
      <c r="S42" s="2" t="str">
        <f>IF($A42="","",COUNTIFS(Trade_Reports!$H$3:$H$502,$A42,Trade_Reports!$M$3:$M$502,"APPROVED",Trade_Reports!$Q$3:$Q$502,"&lt;="&amp;Settings!$B$5))</f>
        <v/>
      </c>
      <c r="T42" s="2"/>
      <c r="U42" s="2"/>
      <c r="V42" s="21" t="str">
        <f>IF(OR($A42="",ISERROR(SEARCH("_",$A42))),"",IFERROR(SUMIFS(Trade_Reports!$Z$3:$Z$502,Trade_Reports!$H$3:$H$502,$A42,Trade_Reports!$M$3:$M$502,"APPROVED")/SUMIFS(Trade_Reports!$U$3:$U$502,Trade_Reports!$H$3:$H$502,$A42,Trade_Reports!$M$3:$M$502,"APPROVED"),""))</f>
        <v/>
      </c>
      <c r="W42" s="17" t="str">
        <f t="shared" si="1"/>
        <v/>
      </c>
      <c r="X42" s="2"/>
      <c r="Y42" s="2"/>
      <c r="Z42" s="2"/>
    </row>
    <row r="43" spans="1:26" ht="15.75" customHeight="1" x14ac:dyDescent="0.3">
      <c r="A43" s="15"/>
      <c r="B43" s="15"/>
      <c r="C43" s="16"/>
      <c r="D43" s="16"/>
      <c r="E43" s="16"/>
      <c r="F43" s="17" t="str">
        <f>IF($A43="","",IF($K43&lt;Settings!$B$14,"",IF($P43=0,"",IFERROR(_xludf.MINIFS(Trade_Reports!$I$3:$I$502,Trade_Reports!$H$3:$H$502,$A43,Trade_Reports!$M$3:$M$502,"APPROVED",Trade_Reports!$Q$3:$Q$502,"&lt;="&amp;Settings!$B$4,Trade_Reports!$W$3:$W$502,"&gt;="&amp;0.5*$P43),""))))</f>
        <v/>
      </c>
      <c r="G43" s="17" t="str">
        <f>IF($A43="","",IF($K43=0,"",IFERROR(_xludf.MINIFS(Trade_Reports!$I$3:$I$502,Trade_Reports!$H$3:$H$502,$A43,Trade_Reports!$M$3:$M$502,"APPROVED",Trade_Reports!$Q$3:$Q$502,"&lt;="&amp;Settings!$B$4),"")))</f>
        <v/>
      </c>
      <c r="H43" s="17" t="str">
        <f>IF($A43="","",IF($K43=0,"",IFERROR(_xludf.MAXIFS(Trade_Reports!$I$3:$I$502,Trade_Reports!$H$3:$H$502,$A43,Trade_Reports!$M$3:$M$502,"APPROVED",Trade_Reports!$Q$3:$Q$502,"&lt;="&amp;Settings!$B$4),"")))</f>
        <v/>
      </c>
      <c r="I43" s="17" t="str">
        <f>IF($A43="","",IF($F43="","",IF($Q43="","",IF(ABS($F43-$Q43)/$Q43&lt;=Settings!$B$18,"STABLE",IF($F43&gt;$Q43,"UP","DOWN")))))</f>
        <v/>
      </c>
      <c r="J43" s="18" t="str">
        <f>IF($A43="","",IF($K43=0,"",MIN(1,ROUND($K43/Settings!$B$14,2))))</f>
        <v/>
      </c>
      <c r="K43" s="17" t="str">
        <f>IF($A43="","",COUNTIFS(Trade_Reports!$H$3:$H$502,$A43,Trade_Reports!$M$3:$M$502,"APPROVED",Trade_Reports!$Q$3:$Q$502,"&lt;="&amp;Settings!$B$4))</f>
        <v/>
      </c>
      <c r="L43" s="19" t="str">
        <f>IF($A43="","",IF($K43=0,"",IFERROR(_xludf.MAXIFS(Trade_Reports!$O$3:$O$502,Trade_Reports!$H$3:$H$502,$A43,Trade_Reports!$M$3:$M$502,"APPROVED"),"")))</f>
        <v/>
      </c>
      <c r="M43" s="16" t="s">
        <v>46</v>
      </c>
      <c r="N43" s="15"/>
      <c r="O43" s="9" t="str">
        <f t="shared" si="0"/>
        <v/>
      </c>
      <c r="P43" s="2" t="str">
        <f>IF($A43="","",SUMIFS(Trade_Reports!$U$3:$U$502,Trade_Reports!$H$3:$H$502,$A43,Trade_Reports!$M$3:$M$502,"APPROVED",Trade_Reports!$Q$3:$Q$502,"&lt;="&amp;Settings!$B$4))</f>
        <v/>
      </c>
      <c r="Q43" s="2" t="str">
        <f>IF($A43="","",SUMIFS(Trade_Reports!$U$3:$U$502,Trade_Reports!$H$3:$H$502,$A43,Trade_Reports!$M$3:$M$502,"APPROVED",Trade_Reports!$Q$3:$Q$502,"&lt;="&amp;Settings!$B$5))</f>
        <v/>
      </c>
      <c r="R43" s="2" t="str">
        <f>IF($A43="","",IF($Q43=0,"",IFERROR(_xludf.MINIFS(Trade_Reports!$I$3:$I$502,Trade_Reports!$H$3:$H$502,$A43,Trade_Reports!$M$3:$M$502,"APPROVED",Trade_Reports!$Q$3:$Q$502,"&lt;="&amp;Settings!$B$5,Trade_Reports!$X$3:$X$502,"&gt;="&amp;0.5*$Q43),"")))</f>
        <v/>
      </c>
      <c r="S43" s="2" t="str">
        <f>IF($A43="","",COUNTIFS(Trade_Reports!$H$3:$H$502,$A43,Trade_Reports!$M$3:$M$502,"APPROVED",Trade_Reports!$Q$3:$Q$502,"&lt;="&amp;Settings!$B$5))</f>
        <v/>
      </c>
      <c r="T43" s="2"/>
      <c r="U43" s="2"/>
      <c r="V43" s="21" t="str">
        <f>IF(OR($A43="",ISERROR(SEARCH("_",$A43))),"",IFERROR(SUMIFS(Trade_Reports!$Z$3:$Z$502,Trade_Reports!$H$3:$H$502,$A43,Trade_Reports!$M$3:$M$502,"APPROVED")/SUMIFS(Trade_Reports!$U$3:$U$502,Trade_Reports!$H$3:$H$502,$A43,Trade_Reports!$M$3:$M$502,"APPROVED"),""))</f>
        <v/>
      </c>
      <c r="W43" s="17" t="str">
        <f t="shared" si="1"/>
        <v/>
      </c>
      <c r="X43" s="2"/>
      <c r="Y43" s="2"/>
      <c r="Z43" s="2"/>
    </row>
    <row r="44" spans="1:26" ht="15.75" customHeight="1" x14ac:dyDescent="0.3">
      <c r="A44" s="15"/>
      <c r="B44" s="15"/>
      <c r="C44" s="16"/>
      <c r="D44" s="16"/>
      <c r="E44" s="16"/>
      <c r="F44" s="17" t="str">
        <f>IF($A44="","",IF($K44&lt;Settings!$B$14,"",IF($P44=0,"",IFERROR(_xludf.MINIFS(Trade_Reports!$I$3:$I$502,Trade_Reports!$H$3:$H$502,$A44,Trade_Reports!$M$3:$M$502,"APPROVED",Trade_Reports!$Q$3:$Q$502,"&lt;="&amp;Settings!$B$4,Trade_Reports!$W$3:$W$502,"&gt;="&amp;0.5*$P44),""))))</f>
        <v/>
      </c>
      <c r="G44" s="17" t="str">
        <f>IF($A44="","",IF($K44=0,"",IFERROR(_xludf.MINIFS(Trade_Reports!$I$3:$I$502,Trade_Reports!$H$3:$H$502,$A44,Trade_Reports!$M$3:$M$502,"APPROVED",Trade_Reports!$Q$3:$Q$502,"&lt;="&amp;Settings!$B$4),"")))</f>
        <v/>
      </c>
      <c r="H44" s="17" t="str">
        <f>IF($A44="","",IF($K44=0,"",IFERROR(_xludf.MAXIFS(Trade_Reports!$I$3:$I$502,Trade_Reports!$H$3:$H$502,$A44,Trade_Reports!$M$3:$M$502,"APPROVED",Trade_Reports!$Q$3:$Q$502,"&lt;="&amp;Settings!$B$4),"")))</f>
        <v/>
      </c>
      <c r="I44" s="17" t="str">
        <f>IF($A44="","",IF($F44="","",IF($Q44="","",IF(ABS($F44-$Q44)/$Q44&lt;=Settings!$B$18,"STABLE",IF($F44&gt;$Q44,"UP","DOWN")))))</f>
        <v/>
      </c>
      <c r="J44" s="18" t="str">
        <f>IF($A44="","",IF($K44=0,"",MIN(1,ROUND($K44/Settings!$B$14,2))))</f>
        <v/>
      </c>
      <c r="K44" s="17" t="str">
        <f>IF($A44="","",COUNTIFS(Trade_Reports!$H$3:$H$502,$A44,Trade_Reports!$M$3:$M$502,"APPROVED",Trade_Reports!$Q$3:$Q$502,"&lt;="&amp;Settings!$B$4))</f>
        <v/>
      </c>
      <c r="L44" s="19" t="str">
        <f>IF($A44="","",IF($K44=0,"",IFERROR(_xludf.MAXIFS(Trade_Reports!$O$3:$O$502,Trade_Reports!$H$3:$H$502,$A44,Trade_Reports!$M$3:$M$502,"APPROVED"),"")))</f>
        <v/>
      </c>
      <c r="M44" s="16" t="s">
        <v>46</v>
      </c>
      <c r="N44" s="15"/>
      <c r="O44" s="9" t="str">
        <f t="shared" si="0"/>
        <v/>
      </c>
      <c r="P44" s="2" t="str">
        <f>IF($A44="","",SUMIFS(Trade_Reports!$U$3:$U$502,Trade_Reports!$H$3:$H$502,$A44,Trade_Reports!$M$3:$M$502,"APPROVED",Trade_Reports!$Q$3:$Q$502,"&lt;="&amp;Settings!$B$4))</f>
        <v/>
      </c>
      <c r="Q44" s="2" t="str">
        <f>IF($A44="","",SUMIFS(Trade_Reports!$U$3:$U$502,Trade_Reports!$H$3:$H$502,$A44,Trade_Reports!$M$3:$M$502,"APPROVED",Trade_Reports!$Q$3:$Q$502,"&lt;="&amp;Settings!$B$5))</f>
        <v/>
      </c>
      <c r="R44" s="2" t="str">
        <f>IF($A44="","",IF($Q44=0,"",IFERROR(_xludf.MINIFS(Trade_Reports!$I$3:$I$502,Trade_Reports!$H$3:$H$502,$A44,Trade_Reports!$M$3:$M$502,"APPROVED",Trade_Reports!$Q$3:$Q$502,"&lt;="&amp;Settings!$B$5,Trade_Reports!$X$3:$X$502,"&gt;="&amp;0.5*$Q44),"")))</f>
        <v/>
      </c>
      <c r="S44" s="2" t="str">
        <f>IF($A44="","",COUNTIFS(Trade_Reports!$H$3:$H$502,$A44,Trade_Reports!$M$3:$M$502,"APPROVED",Trade_Reports!$Q$3:$Q$502,"&lt;="&amp;Settings!$B$5))</f>
        <v/>
      </c>
      <c r="T44" s="2"/>
      <c r="U44" s="2"/>
      <c r="V44" s="21" t="str">
        <f>IF(OR($A44="",ISERROR(SEARCH("_",$A44))),"",IFERROR(SUMIFS(Trade_Reports!$Z$3:$Z$502,Trade_Reports!$H$3:$H$502,$A44,Trade_Reports!$M$3:$M$502,"APPROVED")/SUMIFS(Trade_Reports!$U$3:$U$502,Trade_Reports!$H$3:$H$502,$A44,Trade_Reports!$M$3:$M$502,"APPROVED"),""))</f>
        <v/>
      </c>
      <c r="W44" s="17" t="str">
        <f t="shared" si="1"/>
        <v/>
      </c>
      <c r="X44" s="2"/>
      <c r="Y44" s="2"/>
      <c r="Z44" s="2"/>
    </row>
    <row r="45" spans="1:26" ht="15.75" customHeight="1" x14ac:dyDescent="0.3">
      <c r="A45" s="23"/>
      <c r="B45" s="15"/>
      <c r="C45" s="16"/>
      <c r="D45" s="16"/>
      <c r="E45" s="16"/>
      <c r="F45" s="17" t="str">
        <f>IF($A45="","",IF($K45&lt;Settings!$B$14,"",IF($P45=0,"",IFERROR(_xludf.MINIFS(Trade_Reports!$I$3:$I$502,Trade_Reports!$H$3:$H$502,$A45,Trade_Reports!$M$3:$M$502,"APPROVED",Trade_Reports!$Q$3:$Q$502,"&lt;="&amp;Settings!$B$4,Trade_Reports!$W$3:$W$502,"&gt;="&amp;0.5*$P45),""))))</f>
        <v/>
      </c>
      <c r="G45" s="17" t="str">
        <f>IF($A45="","",IF($K45=0,"",IFERROR(_xludf.MINIFS(Trade_Reports!$I$3:$I$502,Trade_Reports!$H$3:$H$502,$A45,Trade_Reports!$M$3:$M$502,"APPROVED",Trade_Reports!$Q$3:$Q$502,"&lt;="&amp;Settings!$B$4),"")))</f>
        <v/>
      </c>
      <c r="H45" s="17" t="str">
        <f>IF($A45="","",IF($K45=0,"",IFERROR(_xludf.MAXIFS(Trade_Reports!$I$3:$I$502,Trade_Reports!$H$3:$H$502,$A45,Trade_Reports!$M$3:$M$502,"APPROVED",Trade_Reports!$Q$3:$Q$502,"&lt;="&amp;Settings!$B$4),"")))</f>
        <v/>
      </c>
      <c r="I45" s="17" t="str">
        <f>IF($A45="","",IF($F45="","",IF($Q45="","",IF(ABS($F45-$Q45)/$Q45&lt;=Settings!$B$18,"STABLE",IF($F45&gt;$Q45,"UP","DOWN")))))</f>
        <v/>
      </c>
      <c r="J45" s="18" t="str">
        <f>IF($A45="","",IF($K45=0,"",MIN(1,ROUND($K45/Settings!$B$14,2))))</f>
        <v/>
      </c>
      <c r="K45" s="17" t="str">
        <f>IF($A45="","",COUNTIFS(Trade_Reports!$H$3:$H$502,$A45,Trade_Reports!$M$3:$M$502,"APPROVED",Trade_Reports!$Q$3:$Q$502,"&lt;="&amp;Settings!$B$4))</f>
        <v/>
      </c>
      <c r="L45" s="19" t="str">
        <f>IF($A45="","",IF($K45=0,"",IFERROR(_xludf.MAXIFS(Trade_Reports!$O$3:$O$502,Trade_Reports!$H$3:$H$502,$A45,Trade_Reports!$M$3:$M$502,"APPROVED"),"")))</f>
        <v/>
      </c>
      <c r="M45" s="16" t="s">
        <v>46</v>
      </c>
      <c r="N45" s="15"/>
      <c r="O45" s="9" t="str">
        <f t="shared" si="0"/>
        <v/>
      </c>
      <c r="P45" s="2" t="str">
        <f>IF($A45="","",SUMIFS(Trade_Reports!$U$3:$U$502,Trade_Reports!$H$3:$H$502,$A45,Trade_Reports!$M$3:$M$502,"APPROVED",Trade_Reports!$Q$3:$Q$502,"&lt;="&amp;Settings!$B$4))</f>
        <v/>
      </c>
      <c r="Q45" s="2" t="str">
        <f>IF($A45="","",SUMIFS(Trade_Reports!$U$3:$U$502,Trade_Reports!$H$3:$H$502,$A45,Trade_Reports!$M$3:$M$502,"APPROVED",Trade_Reports!$Q$3:$Q$502,"&lt;="&amp;Settings!$B$5))</f>
        <v/>
      </c>
      <c r="R45" s="2" t="str">
        <f>IF($A45="","",IF($Q45=0,"",IFERROR(_xludf.MINIFS(Trade_Reports!$I$3:$I$502,Trade_Reports!$H$3:$H$502,$A45,Trade_Reports!$M$3:$M$502,"APPROVED",Trade_Reports!$Q$3:$Q$502,"&lt;="&amp;Settings!$B$5,Trade_Reports!$X$3:$X$502,"&gt;="&amp;0.5*$Q45),"")))</f>
        <v/>
      </c>
      <c r="S45" s="2" t="str">
        <f>IF($A45="","",COUNTIFS(Trade_Reports!$H$3:$H$502,$A45,Trade_Reports!$M$3:$M$502,"APPROVED",Trade_Reports!$Q$3:$Q$502,"&lt;="&amp;Settings!$B$5))</f>
        <v/>
      </c>
      <c r="T45" s="2"/>
      <c r="U45" s="2"/>
      <c r="V45" s="21" t="str">
        <f>IF(OR($A45="",ISERROR(SEARCH("_",$A45))),"",IFERROR(SUMIFS(Trade_Reports!$Z$3:$Z$502,Trade_Reports!$H$3:$H$502,$A45,Trade_Reports!$M$3:$M$502,"APPROVED")/SUMIFS(Trade_Reports!$U$3:$U$502,Trade_Reports!$H$3:$H$502,$A45,Trade_Reports!$M$3:$M$502,"APPROVED"),""))</f>
        <v/>
      </c>
      <c r="W45" s="17" t="str">
        <f t="shared" si="1"/>
        <v/>
      </c>
      <c r="X45" s="2"/>
      <c r="Y45" s="2"/>
      <c r="Z45" s="2"/>
    </row>
    <row r="46" spans="1:26" ht="15.75" customHeight="1" x14ac:dyDescent="0.3">
      <c r="A46" s="24" t="s">
        <v>56</v>
      </c>
      <c r="B46" s="15"/>
      <c r="C46" s="16"/>
      <c r="D46" s="16"/>
      <c r="E46" s="16"/>
      <c r="F46" s="17" t="str">
        <f>IF($A46="","",IF($K46&lt;Settings!$B$14,"",IF($P46=0,"",IFERROR(_xludf.MINIFS(Trade_Reports!$I$3:$I$502,Trade_Reports!$H$3:$H$502,$A46,Trade_Reports!$M$3:$M$502,"APPROVED",Trade_Reports!$Q$3:$Q$502,"&lt;="&amp;Settings!$B$4,Trade_Reports!$W$3:$W$502,"&gt;="&amp;0.5*$P46),""))))</f>
        <v/>
      </c>
      <c r="G46" s="17" t="str">
        <f>IF($A46="","",IF($K46=0,"",IFERROR(_xludf.MINIFS(Trade_Reports!$I$3:$I$502,Trade_Reports!$H$3:$H$502,$A46,Trade_Reports!$M$3:$M$502,"APPROVED",Trade_Reports!$Q$3:$Q$502,"&lt;="&amp;Settings!$B$4),"")))</f>
        <v/>
      </c>
      <c r="H46" s="17" t="str">
        <f>IF($A46="","",IF($K46=0,"",IFERROR(_xludf.MAXIFS(Trade_Reports!$I$3:$I$502,Trade_Reports!$H$3:$H$502,$A46,Trade_Reports!$M$3:$M$502,"APPROVED",Trade_Reports!$Q$3:$Q$502,"&lt;="&amp;Settings!$B$4),"")))</f>
        <v/>
      </c>
      <c r="I46" s="17" t="str">
        <f>IF($A46="","",IF($F46="","",IF($Q46="","",IF(ABS($F46-$Q46)/$Q46&lt;=Settings!$B$18,"STABLE",IF($F46&gt;$Q46,"UP","DOWN")))))</f>
        <v/>
      </c>
      <c r="J46" s="18" t="str">
        <f>IF($A46="","",IF($K46=0,"",MIN(1,ROUND($K46/Settings!$B$14,2))))</f>
        <v/>
      </c>
      <c r="K46" s="17">
        <f>IF($A46="","",COUNTIFS(Trade_Reports!$H$3:$H$502,$A46,Trade_Reports!$M$3:$M$502,"APPROVED",Trade_Reports!$Q$3:$Q$502,"&lt;="&amp;Settings!$B$4))</f>
        <v>0</v>
      </c>
      <c r="L46" s="19" t="str">
        <f>IF($A46="","",IF($K46=0,"",IFERROR(_xludf.MAXIFS(Trade_Reports!$O$3:$O$502,Trade_Reports!$H$3:$H$502,$A46,Trade_Reports!$M$3:$M$502,"APPROVED"),"")))</f>
        <v/>
      </c>
      <c r="M46" s="16" t="s">
        <v>46</v>
      </c>
      <c r="N46" s="15"/>
      <c r="O46" s="9" t="str">
        <f t="shared" si="0"/>
        <v/>
      </c>
      <c r="P46" s="20">
        <f>IF($A46="","",SUMIFS(Trade_Reports!$U$3:$U$502,Trade_Reports!$H$3:$H$502,$A46,Trade_Reports!$M$3:$M$502,"APPROVED",Trade_Reports!$Q$3:$Q$502,"&lt;="&amp;Settings!$B$4))</f>
        <v>0</v>
      </c>
      <c r="Q46" s="20">
        <f>IF($A46="","",SUMIFS(Trade_Reports!$U$3:$U$502,Trade_Reports!$H$3:$H$502,$A46,Trade_Reports!$M$3:$M$502,"APPROVED",Trade_Reports!$Q$3:$Q$502,"&lt;="&amp;Settings!$B$5))</f>
        <v>0</v>
      </c>
      <c r="R46" s="2" t="str">
        <f>IF($A46="","",IF($Q46=0,"",IFERROR(_xludf.MINIFS(Trade_Reports!$I$3:$I$502,Trade_Reports!$H$3:$H$502,$A46,Trade_Reports!$M$3:$M$502,"APPROVED",Trade_Reports!$Q$3:$Q$502,"&lt;="&amp;Settings!$B$5,Trade_Reports!$X$3:$X$502,"&gt;="&amp;0.5*$Q46),"")))</f>
        <v/>
      </c>
      <c r="S46" s="20">
        <f>IF($A46="","",COUNTIFS(Trade_Reports!$H$3:$H$502,$A46,Trade_Reports!$M$3:$M$502,"APPROVED",Trade_Reports!$Q$3:$Q$502,"&lt;="&amp;Settings!$B$5))</f>
        <v>0</v>
      </c>
      <c r="T46" s="2"/>
      <c r="U46" s="2"/>
      <c r="V46" s="21" t="str">
        <f>IF(OR($A46="",ISERROR(SEARCH("_",$A46))),"",IFERROR(SUMIFS(Trade_Reports!$Z$3:$Z$502,Trade_Reports!$H$3:$H$502,$A46,Trade_Reports!$M$3:$M$502,"APPROVED")/SUMIFS(Trade_Reports!$U$3:$U$502,Trade_Reports!$H$3:$H$502,$A46,Trade_Reports!$M$3:$M$502,"APPROVED"),""))</f>
        <v/>
      </c>
      <c r="W46" s="17" t="str">
        <f t="shared" si="1"/>
        <v/>
      </c>
      <c r="X46" s="2"/>
      <c r="Y46" s="2"/>
      <c r="Z46" s="2"/>
    </row>
    <row r="47" spans="1:26" ht="15.75" customHeight="1" x14ac:dyDescent="0.3">
      <c r="A47" s="23" t="s">
        <v>114</v>
      </c>
      <c r="B47" s="15"/>
      <c r="C47" s="16"/>
      <c r="D47" s="16"/>
      <c r="E47" s="16"/>
      <c r="F47" s="17" t="str">
        <f>IF($A47="","",IF($K47&lt;Settings!$B$14,"",IF($P47=0,"",IFERROR(_xludf.MINIFS(Trade_Reports!$I$3:$I$502,Trade_Reports!$H$3:$H$502,$A47,Trade_Reports!$M$3:$M$502,"APPROVED",Trade_Reports!$Q$3:$Q$502,"&lt;="&amp;Settings!$B$4,Trade_Reports!$W$3:$W$502,"&gt;="&amp;0.5*$P47),""))))</f>
        <v/>
      </c>
      <c r="G47" s="17" t="str">
        <f>IF($A47="","",IF($K47=0,"",IFERROR(_xludf.MINIFS(Trade_Reports!$I$3:$I$502,Trade_Reports!$H$3:$H$502,$A47,Trade_Reports!$M$3:$M$502,"APPROVED",Trade_Reports!$Q$3:$Q$502,"&lt;="&amp;Settings!$B$4),"")))</f>
        <v/>
      </c>
      <c r="H47" s="17" t="str">
        <f>IF($A47="","",IF($K47=0,"",IFERROR(_xludf.MAXIFS(Trade_Reports!$I$3:$I$502,Trade_Reports!$H$3:$H$502,$A47,Trade_Reports!$M$3:$M$502,"APPROVED",Trade_Reports!$Q$3:$Q$502,"&lt;="&amp;Settings!$B$4),"")))</f>
        <v/>
      </c>
      <c r="I47" s="17" t="str">
        <f>IF($A47="","",IF($F47="","",IF($Q47="","",IF(ABS($F47-$Q47)/$Q47&lt;=Settings!$B$18,"STABLE",IF($F47&gt;$Q47,"UP","DOWN")))))</f>
        <v/>
      </c>
      <c r="J47" s="18" t="str">
        <f>IF($A47="","",IF($K47=0,"",MIN(1,ROUND($K47/Settings!$B$14,2))))</f>
        <v/>
      </c>
      <c r="K47" s="17">
        <f>IF($A47="","",COUNTIFS(Trade_Reports!$H$3:$H$502,$A47,Trade_Reports!$M$3:$M$502,"APPROVED",Trade_Reports!$Q$3:$Q$502,"&lt;="&amp;Settings!$B$4))</f>
        <v>0</v>
      </c>
      <c r="L47" s="19" t="str">
        <f>IF($A47="","",IF($K47=0,"",IFERROR(_xludf.MAXIFS(Trade_Reports!$O$3:$O$502,Trade_Reports!$H$3:$H$502,$A47,Trade_Reports!$M$3:$M$502,"APPROVED"),"")))</f>
        <v/>
      </c>
      <c r="M47" s="16" t="s">
        <v>46</v>
      </c>
      <c r="N47" s="15"/>
      <c r="O47" s="9" t="str">
        <f t="shared" si="0"/>
        <v/>
      </c>
      <c r="P47" s="20">
        <f>IF($A47="","",SUMIFS(Trade_Reports!$U$3:$U$502,Trade_Reports!$H$3:$H$502,$A47,Trade_Reports!$M$3:$M$502,"APPROVED",Trade_Reports!$Q$3:$Q$502,"&lt;="&amp;Settings!$B$4))</f>
        <v>0</v>
      </c>
      <c r="Q47" s="20">
        <f>IF($A47="","",SUMIFS(Trade_Reports!$U$3:$U$502,Trade_Reports!$H$3:$H$502,$A47,Trade_Reports!$M$3:$M$502,"APPROVED",Trade_Reports!$Q$3:$Q$502,"&lt;="&amp;Settings!$B$5))</f>
        <v>0</v>
      </c>
      <c r="R47" s="2" t="str">
        <f>IF($A47="","",IF($Q47=0,"",IFERROR(_xludf.MINIFS(Trade_Reports!$I$3:$I$502,Trade_Reports!$H$3:$H$502,$A47,Trade_Reports!$M$3:$M$502,"APPROVED",Trade_Reports!$Q$3:$Q$502,"&lt;="&amp;Settings!$B$5,Trade_Reports!$X$3:$X$502,"&gt;="&amp;0.5*$Q47),"")))</f>
        <v/>
      </c>
      <c r="S47" s="20">
        <f>IF($A47="","",COUNTIFS(Trade_Reports!$H$3:$H$502,$A47,Trade_Reports!$M$3:$M$502,"APPROVED",Trade_Reports!$Q$3:$Q$502,"&lt;="&amp;Settings!$B$5))</f>
        <v>0</v>
      </c>
      <c r="T47" s="2"/>
      <c r="U47" s="2"/>
      <c r="V47" s="21" t="str">
        <f>IF(OR($A47="",ISERROR(SEARCH("_",$A47))),"",IFERROR(SUMIFS(Trade_Reports!$Z$3:$Z$502,Trade_Reports!$H$3:$H$502,$A47,Trade_Reports!$M$3:$M$502,"APPROVED")/SUMIFS(Trade_Reports!$U$3:$U$502,Trade_Reports!$H$3:$H$502,$A47,Trade_Reports!$M$3:$M$502,"APPROVED"),""))</f>
        <v/>
      </c>
      <c r="W47" s="17" t="str">
        <f t="shared" si="1"/>
        <v/>
      </c>
      <c r="X47" s="2"/>
      <c r="Y47" s="2"/>
      <c r="Z47" s="2"/>
    </row>
    <row r="48" spans="1:26" ht="15.75" customHeight="1" x14ac:dyDescent="0.3">
      <c r="A48" s="15"/>
      <c r="B48" s="15"/>
      <c r="C48" s="16"/>
      <c r="D48" s="16"/>
      <c r="E48" s="16"/>
      <c r="F48" s="17" t="str">
        <f>IF($A48="","",IF($K48&lt;Settings!$B$14,"",IF($P48=0,"",IFERROR(_xludf.MINIFS(Trade_Reports!$I$3:$I$502,Trade_Reports!$H$3:$H$502,$A48,Trade_Reports!$M$3:$M$502,"APPROVED",Trade_Reports!$Q$3:$Q$502,"&lt;="&amp;Settings!$B$4,Trade_Reports!$W$3:$W$502,"&gt;="&amp;0.5*$P48),""))))</f>
        <v/>
      </c>
      <c r="G48" s="17" t="str">
        <f>IF($A48="","",IF($K48=0,"",IFERROR(_xludf.MINIFS(Trade_Reports!$I$3:$I$502,Trade_Reports!$H$3:$H$502,$A48,Trade_Reports!$M$3:$M$502,"APPROVED",Trade_Reports!$Q$3:$Q$502,"&lt;="&amp;Settings!$B$4),"")))</f>
        <v/>
      </c>
      <c r="H48" s="17" t="str">
        <f>IF($A48="","",IF($K48=0,"",IFERROR(_xludf.MAXIFS(Trade_Reports!$I$3:$I$502,Trade_Reports!$H$3:$H$502,$A48,Trade_Reports!$M$3:$M$502,"APPROVED",Trade_Reports!$Q$3:$Q$502,"&lt;="&amp;Settings!$B$4),"")))</f>
        <v/>
      </c>
      <c r="I48" s="17" t="str">
        <f>IF($A48="","",IF($F48="","",IF($Q48="","",IF(ABS($F48-$Q48)/$Q48&lt;=Settings!$B$18,"STABLE",IF($F48&gt;$Q48,"UP","DOWN")))))</f>
        <v/>
      </c>
      <c r="J48" s="18" t="str">
        <f>IF($A48="","",IF($K48=0,"",MIN(1,ROUND($K48/Settings!$B$14,2))))</f>
        <v/>
      </c>
      <c r="K48" s="17" t="str">
        <f>IF($A48="","",COUNTIFS(Trade_Reports!$H$3:$H$502,$A48,Trade_Reports!$M$3:$M$502,"APPROVED",Trade_Reports!$Q$3:$Q$502,"&lt;="&amp;Settings!$B$4))</f>
        <v/>
      </c>
      <c r="L48" s="19" t="str">
        <f>IF($A48="","",IF($K48=0,"",IFERROR(_xludf.MAXIFS(Trade_Reports!$O$3:$O$502,Trade_Reports!$H$3:$H$502,$A48,Trade_Reports!$M$3:$M$502,"APPROVED"),"")))</f>
        <v/>
      </c>
      <c r="M48" s="16" t="s">
        <v>46</v>
      </c>
      <c r="N48" s="15"/>
      <c r="O48" s="9" t="str">
        <f t="shared" si="0"/>
        <v/>
      </c>
      <c r="P48" s="2" t="str">
        <f>IF($A48="","",SUMIFS(Trade_Reports!$U$3:$U$502,Trade_Reports!$H$3:$H$502,$A48,Trade_Reports!$M$3:$M$502,"APPROVED",Trade_Reports!$Q$3:$Q$502,"&lt;="&amp;Settings!$B$4))</f>
        <v/>
      </c>
      <c r="Q48" s="2" t="str">
        <f>IF($A48="","",SUMIFS(Trade_Reports!$U$3:$U$502,Trade_Reports!$H$3:$H$502,$A48,Trade_Reports!$M$3:$M$502,"APPROVED",Trade_Reports!$Q$3:$Q$502,"&lt;="&amp;Settings!$B$5))</f>
        <v/>
      </c>
      <c r="R48" s="2" t="str">
        <f>IF($A48="","",IF($Q48=0,"",IFERROR(_xludf.MINIFS(Trade_Reports!$I$3:$I$502,Trade_Reports!$H$3:$H$502,$A48,Trade_Reports!$M$3:$M$502,"APPROVED",Trade_Reports!$Q$3:$Q$502,"&lt;="&amp;Settings!$B$5,Trade_Reports!$X$3:$X$502,"&gt;="&amp;0.5*$Q48),"")))</f>
        <v/>
      </c>
      <c r="S48" s="2" t="str">
        <f>IF($A48="","",COUNTIFS(Trade_Reports!$H$3:$H$502,$A48,Trade_Reports!$M$3:$M$502,"APPROVED",Trade_Reports!$Q$3:$Q$502,"&lt;="&amp;Settings!$B$5))</f>
        <v/>
      </c>
      <c r="T48" s="2"/>
      <c r="U48" s="2"/>
      <c r="V48" s="21" t="str">
        <f>IF(OR($A48="",ISERROR(SEARCH("_",$A48))),"",IFERROR(SUMIFS(Trade_Reports!$Z$3:$Z$502,Trade_Reports!$H$3:$H$502,$A48,Trade_Reports!$M$3:$M$502,"APPROVED")/SUMIFS(Trade_Reports!$U$3:$U$502,Trade_Reports!$H$3:$H$502,$A48,Trade_Reports!$M$3:$M$502,"APPROVED"),""))</f>
        <v/>
      </c>
      <c r="W48" s="17" t="str">
        <f t="shared" si="1"/>
        <v/>
      </c>
      <c r="X48" s="2"/>
      <c r="Y48" s="2"/>
      <c r="Z48" s="2"/>
    </row>
    <row r="49" spans="1:26" ht="15.75" customHeight="1" x14ac:dyDescent="0.3">
      <c r="A49" s="15"/>
      <c r="B49" s="15"/>
      <c r="C49" s="16"/>
      <c r="D49" s="16"/>
      <c r="E49" s="16"/>
      <c r="F49" s="17" t="str">
        <f>IF($A49="","",IF($K49&lt;Settings!$B$14,"",IF($P49=0,"",IFERROR(_xludf.MINIFS(Trade_Reports!$I$3:$I$502,Trade_Reports!$H$3:$H$502,$A49,Trade_Reports!$M$3:$M$502,"APPROVED",Trade_Reports!$Q$3:$Q$502,"&lt;="&amp;Settings!$B$4,Trade_Reports!$W$3:$W$502,"&gt;="&amp;0.5*$P49),""))))</f>
        <v/>
      </c>
      <c r="G49" s="17" t="str">
        <f>IF($A49="","",IF($K49=0,"",IFERROR(_xludf.MINIFS(Trade_Reports!$I$3:$I$502,Trade_Reports!$H$3:$H$502,$A49,Trade_Reports!$M$3:$M$502,"APPROVED",Trade_Reports!$Q$3:$Q$502,"&lt;="&amp;Settings!$B$4),"")))</f>
        <v/>
      </c>
      <c r="H49" s="17" t="str">
        <f>IF($A49="","",IF($K49=0,"",IFERROR(_xludf.MAXIFS(Trade_Reports!$I$3:$I$502,Trade_Reports!$H$3:$H$502,$A49,Trade_Reports!$M$3:$M$502,"APPROVED",Trade_Reports!$Q$3:$Q$502,"&lt;="&amp;Settings!$B$4),"")))</f>
        <v/>
      </c>
      <c r="I49" s="17" t="str">
        <f>IF($A49="","",IF($F49="","",IF($Q49="","",IF(ABS($F49-$Q49)/$Q49&lt;=Settings!$B$18,"STABLE",IF($F49&gt;$Q49,"UP","DOWN")))))</f>
        <v/>
      </c>
      <c r="J49" s="18" t="str">
        <f>IF($A49="","",IF($K49=0,"",MIN(1,ROUND($K49/Settings!$B$14,2))))</f>
        <v/>
      </c>
      <c r="K49" s="17" t="str">
        <f>IF($A49="","",COUNTIFS(Trade_Reports!$H$3:$H$502,$A49,Trade_Reports!$M$3:$M$502,"APPROVED",Trade_Reports!$Q$3:$Q$502,"&lt;="&amp;Settings!$B$4))</f>
        <v/>
      </c>
      <c r="L49" s="19" t="str">
        <f>IF($A49="","",IF($K49=0,"",IFERROR(_xludf.MAXIFS(Trade_Reports!$O$3:$O$502,Trade_Reports!$H$3:$H$502,$A49,Trade_Reports!$M$3:$M$502,"APPROVED"),"")))</f>
        <v/>
      </c>
      <c r="M49" s="16" t="s">
        <v>46</v>
      </c>
      <c r="N49" s="15"/>
      <c r="O49" s="9" t="str">
        <f t="shared" si="0"/>
        <v/>
      </c>
      <c r="P49" s="2" t="str">
        <f>IF($A49="","",SUMIFS(Trade_Reports!$U$3:$U$502,Trade_Reports!$H$3:$H$502,$A49,Trade_Reports!$M$3:$M$502,"APPROVED",Trade_Reports!$Q$3:$Q$502,"&lt;="&amp;Settings!$B$4))</f>
        <v/>
      </c>
      <c r="Q49" s="2" t="str">
        <f>IF($A49="","",SUMIFS(Trade_Reports!$U$3:$U$502,Trade_Reports!$H$3:$H$502,$A49,Trade_Reports!$M$3:$M$502,"APPROVED",Trade_Reports!$Q$3:$Q$502,"&lt;="&amp;Settings!$B$5))</f>
        <v/>
      </c>
      <c r="R49" s="2" t="str">
        <f>IF($A49="","",IF($Q49=0,"",IFERROR(_xludf.MINIFS(Trade_Reports!$I$3:$I$502,Trade_Reports!$H$3:$H$502,$A49,Trade_Reports!$M$3:$M$502,"APPROVED",Trade_Reports!$Q$3:$Q$502,"&lt;="&amp;Settings!$B$5,Trade_Reports!$X$3:$X$502,"&gt;="&amp;0.5*$Q49),"")))</f>
        <v/>
      </c>
      <c r="S49" s="2" t="str">
        <f>IF($A49="","",COUNTIFS(Trade_Reports!$H$3:$H$502,$A49,Trade_Reports!$M$3:$M$502,"APPROVED",Trade_Reports!$Q$3:$Q$502,"&lt;="&amp;Settings!$B$5))</f>
        <v/>
      </c>
      <c r="T49" s="2"/>
      <c r="U49" s="2"/>
      <c r="V49" s="21" t="str">
        <f>IF(OR($A49="",ISERROR(SEARCH("_",$A49))),"",IFERROR(SUMIFS(Trade_Reports!$Z$3:$Z$502,Trade_Reports!$H$3:$H$502,$A49,Trade_Reports!$M$3:$M$502,"APPROVED")/SUMIFS(Trade_Reports!$U$3:$U$502,Trade_Reports!$H$3:$H$502,$A49,Trade_Reports!$M$3:$M$502,"APPROVED"),""))</f>
        <v/>
      </c>
      <c r="W49" s="17" t="str">
        <f t="shared" si="1"/>
        <v/>
      </c>
      <c r="X49" s="2"/>
      <c r="Y49" s="2"/>
      <c r="Z49" s="2"/>
    </row>
    <row r="50" spans="1:26" ht="15.75" customHeight="1" x14ac:dyDescent="0.3">
      <c r="A50" s="15"/>
      <c r="B50" s="15"/>
      <c r="C50" s="16"/>
      <c r="D50" s="16"/>
      <c r="E50" s="16"/>
      <c r="F50" s="17" t="str">
        <f>IF($A50="","",IF($K50&lt;Settings!$B$14,"",IF($P50=0,"",IFERROR(_xludf.MINIFS(Trade_Reports!$I$3:$I$502,Trade_Reports!$H$3:$H$502,$A50,Trade_Reports!$M$3:$M$502,"APPROVED",Trade_Reports!$Q$3:$Q$502,"&lt;="&amp;Settings!$B$4,Trade_Reports!$W$3:$W$502,"&gt;="&amp;0.5*$P50),""))))</f>
        <v/>
      </c>
      <c r="G50" s="17" t="str">
        <f>IF($A50="","",IF($K50=0,"",IFERROR(_xludf.MINIFS(Trade_Reports!$I$3:$I$502,Trade_Reports!$H$3:$H$502,$A50,Trade_Reports!$M$3:$M$502,"APPROVED",Trade_Reports!$Q$3:$Q$502,"&lt;="&amp;Settings!$B$4),"")))</f>
        <v/>
      </c>
      <c r="H50" s="17" t="str">
        <f>IF($A50="","",IF($K50=0,"",IFERROR(_xludf.MAXIFS(Trade_Reports!$I$3:$I$502,Trade_Reports!$H$3:$H$502,$A50,Trade_Reports!$M$3:$M$502,"APPROVED",Trade_Reports!$Q$3:$Q$502,"&lt;="&amp;Settings!$B$4),"")))</f>
        <v/>
      </c>
      <c r="I50" s="17" t="str">
        <f>IF($A50="","",IF($F50="","",IF($Q50="","",IF(ABS($F50-$Q50)/$Q50&lt;=Settings!$B$18,"STABLE",IF($F50&gt;$Q50,"UP","DOWN")))))</f>
        <v/>
      </c>
      <c r="J50" s="18" t="str">
        <f>IF($A50="","",IF($K50=0,"",MIN(1,ROUND($K50/Settings!$B$14,2))))</f>
        <v/>
      </c>
      <c r="K50" s="17" t="str">
        <f>IF($A50="","",COUNTIFS(Trade_Reports!$H$3:$H$502,$A50,Trade_Reports!$M$3:$M$502,"APPROVED",Trade_Reports!$Q$3:$Q$502,"&lt;="&amp;Settings!$B$4))</f>
        <v/>
      </c>
      <c r="L50" s="19" t="str">
        <f>IF($A50="","",IF($K50=0,"",IFERROR(_xludf.MAXIFS(Trade_Reports!$O$3:$O$502,Trade_Reports!$H$3:$H$502,$A50,Trade_Reports!$M$3:$M$502,"APPROVED"),"")))</f>
        <v/>
      </c>
      <c r="M50" s="16" t="s">
        <v>46</v>
      </c>
      <c r="N50" s="15"/>
      <c r="O50" s="9" t="str">
        <f t="shared" si="0"/>
        <v/>
      </c>
      <c r="P50" s="2" t="str">
        <f>IF($A50="","",SUMIFS(Trade_Reports!$U$3:$U$502,Trade_Reports!$H$3:$H$502,$A50,Trade_Reports!$M$3:$M$502,"APPROVED",Trade_Reports!$Q$3:$Q$502,"&lt;="&amp;Settings!$B$4))</f>
        <v/>
      </c>
      <c r="Q50" s="2" t="str">
        <f>IF($A50="","",SUMIFS(Trade_Reports!$U$3:$U$502,Trade_Reports!$H$3:$H$502,$A50,Trade_Reports!$M$3:$M$502,"APPROVED",Trade_Reports!$Q$3:$Q$502,"&lt;="&amp;Settings!$B$5))</f>
        <v/>
      </c>
      <c r="R50" s="2" t="str">
        <f>IF($A50="","",IF($Q50=0,"",IFERROR(_xludf.MINIFS(Trade_Reports!$I$3:$I$502,Trade_Reports!$H$3:$H$502,$A50,Trade_Reports!$M$3:$M$502,"APPROVED",Trade_Reports!$Q$3:$Q$502,"&lt;="&amp;Settings!$B$5,Trade_Reports!$X$3:$X$502,"&gt;="&amp;0.5*$Q50),"")))</f>
        <v/>
      </c>
      <c r="S50" s="2" t="str">
        <f>IF($A50="","",COUNTIFS(Trade_Reports!$H$3:$H$502,$A50,Trade_Reports!$M$3:$M$502,"APPROVED",Trade_Reports!$Q$3:$Q$502,"&lt;="&amp;Settings!$B$5))</f>
        <v/>
      </c>
      <c r="T50" s="2"/>
      <c r="U50" s="2"/>
      <c r="V50" s="21" t="str">
        <f>IF(OR($A50="",ISERROR(SEARCH("_",$A50))),"",IFERROR(SUMIFS(Trade_Reports!$Z$3:$Z$502,Trade_Reports!$H$3:$H$502,$A50,Trade_Reports!$M$3:$M$502,"APPROVED")/SUMIFS(Trade_Reports!$U$3:$U$502,Trade_Reports!$H$3:$H$502,$A50,Trade_Reports!$M$3:$M$502,"APPROVED"),""))</f>
        <v/>
      </c>
      <c r="W50" s="17" t="str">
        <f t="shared" si="1"/>
        <v/>
      </c>
      <c r="X50" s="2"/>
      <c r="Y50" s="2"/>
      <c r="Z50" s="2"/>
    </row>
    <row r="51" spans="1:26" ht="15.75" customHeight="1" x14ac:dyDescent="0.3">
      <c r="A51" s="15"/>
      <c r="B51" s="15"/>
      <c r="C51" s="16"/>
      <c r="D51" s="16"/>
      <c r="E51" s="16"/>
      <c r="F51" s="17" t="str">
        <f>IF($A51="","",IF($K51&lt;Settings!$B$14,"",IF($P51=0,"",IFERROR(_xludf.MINIFS(Trade_Reports!$I$3:$I$502,Trade_Reports!$H$3:$H$502,$A51,Trade_Reports!$M$3:$M$502,"APPROVED",Trade_Reports!$Q$3:$Q$502,"&lt;="&amp;Settings!$B$4,Trade_Reports!$W$3:$W$502,"&gt;="&amp;0.5*$P51),""))))</f>
        <v/>
      </c>
      <c r="G51" s="17" t="str">
        <f>IF($A51="","",IF($K51=0,"",IFERROR(_xludf.MINIFS(Trade_Reports!$I$3:$I$502,Trade_Reports!$H$3:$H$502,$A51,Trade_Reports!$M$3:$M$502,"APPROVED",Trade_Reports!$Q$3:$Q$502,"&lt;="&amp;Settings!$B$4),"")))</f>
        <v/>
      </c>
      <c r="H51" s="17" t="str">
        <f>IF($A51="","",IF($K51=0,"",IFERROR(_xludf.MAXIFS(Trade_Reports!$I$3:$I$502,Trade_Reports!$H$3:$H$502,$A51,Trade_Reports!$M$3:$M$502,"APPROVED",Trade_Reports!$Q$3:$Q$502,"&lt;="&amp;Settings!$B$4),"")))</f>
        <v/>
      </c>
      <c r="I51" s="17" t="str">
        <f>IF($A51="","",IF($F51="","",IF($Q51="","",IF(ABS($F51-$Q51)/$Q51&lt;=Settings!$B$18,"STABLE",IF($F51&gt;$Q51,"UP","DOWN")))))</f>
        <v/>
      </c>
      <c r="J51" s="18" t="str">
        <f>IF($A51="","",IF($K51=0,"",MIN(1,ROUND($K51/Settings!$B$14,2))))</f>
        <v/>
      </c>
      <c r="K51" s="17" t="str">
        <f>IF($A51="","",COUNTIFS(Trade_Reports!$H$3:$H$502,$A51,Trade_Reports!$M$3:$M$502,"APPROVED",Trade_Reports!$Q$3:$Q$502,"&lt;="&amp;Settings!$B$4))</f>
        <v/>
      </c>
      <c r="L51" s="19" t="str">
        <f>IF($A51="","",IF($K51=0,"",IFERROR(_xludf.MAXIFS(Trade_Reports!$O$3:$O$502,Trade_Reports!$H$3:$H$502,$A51,Trade_Reports!$M$3:$M$502,"APPROVED"),"")))</f>
        <v/>
      </c>
      <c r="M51" s="16" t="s">
        <v>46</v>
      </c>
      <c r="N51" s="15"/>
      <c r="O51" s="9" t="str">
        <f t="shared" si="0"/>
        <v/>
      </c>
      <c r="P51" s="2" t="str">
        <f>IF($A51="","",SUMIFS(Trade_Reports!$U$3:$U$502,Trade_Reports!$H$3:$H$502,$A51,Trade_Reports!$M$3:$M$502,"APPROVED",Trade_Reports!$Q$3:$Q$502,"&lt;="&amp;Settings!$B$4))</f>
        <v/>
      </c>
      <c r="Q51" s="2" t="str">
        <f>IF($A51="","",SUMIFS(Trade_Reports!$U$3:$U$502,Trade_Reports!$H$3:$H$502,$A51,Trade_Reports!$M$3:$M$502,"APPROVED",Trade_Reports!$Q$3:$Q$502,"&lt;="&amp;Settings!$B$5))</f>
        <v/>
      </c>
      <c r="R51" s="2" t="str">
        <f>IF($A51="","",IF($Q51=0,"",IFERROR(_xludf.MINIFS(Trade_Reports!$I$3:$I$502,Trade_Reports!$H$3:$H$502,$A51,Trade_Reports!$M$3:$M$502,"APPROVED",Trade_Reports!$Q$3:$Q$502,"&lt;="&amp;Settings!$B$5,Trade_Reports!$X$3:$X$502,"&gt;="&amp;0.5*$Q51),"")))</f>
        <v/>
      </c>
      <c r="S51" s="2" t="str">
        <f>IF($A51="","",COUNTIFS(Trade_Reports!$H$3:$H$502,$A51,Trade_Reports!$M$3:$M$502,"APPROVED",Trade_Reports!$Q$3:$Q$502,"&lt;="&amp;Settings!$B$5))</f>
        <v/>
      </c>
      <c r="T51" s="2"/>
      <c r="U51" s="2"/>
      <c r="V51" s="21" t="str">
        <f>IF(OR($A51="",ISERROR(SEARCH("_",$A51))),"",IFERROR(SUMIFS(Trade_Reports!$Z$3:$Z$502,Trade_Reports!$H$3:$H$502,$A51,Trade_Reports!$M$3:$M$502,"APPROVED")/SUMIFS(Trade_Reports!$U$3:$U$502,Trade_Reports!$H$3:$H$502,$A51,Trade_Reports!$M$3:$M$502,"APPROVED"),""))</f>
        <v/>
      </c>
      <c r="W51" s="17" t="str">
        <f t="shared" si="1"/>
        <v/>
      </c>
      <c r="X51" s="2"/>
      <c r="Y51" s="2"/>
      <c r="Z51" s="2"/>
    </row>
    <row r="52" spans="1:26" ht="15.75" customHeight="1" x14ac:dyDescent="0.3">
      <c r="A52" s="15"/>
      <c r="B52" s="15"/>
      <c r="C52" s="16"/>
      <c r="D52" s="16"/>
      <c r="E52" s="16"/>
      <c r="F52" s="17" t="str">
        <f>IF($A52="","",IF($K52&lt;Settings!$B$14,"",IF($P52=0,"",IFERROR(_xludf.MINIFS(Trade_Reports!$I$3:$I$502,Trade_Reports!$H$3:$H$502,$A52,Trade_Reports!$M$3:$M$502,"APPROVED",Trade_Reports!$Q$3:$Q$502,"&lt;="&amp;Settings!$B$4,Trade_Reports!$W$3:$W$502,"&gt;="&amp;0.5*$P52),""))))</f>
        <v/>
      </c>
      <c r="G52" s="17" t="str">
        <f>IF($A52="","",IF($K52=0,"",IFERROR(_xludf.MINIFS(Trade_Reports!$I$3:$I$502,Trade_Reports!$H$3:$H$502,$A52,Trade_Reports!$M$3:$M$502,"APPROVED",Trade_Reports!$Q$3:$Q$502,"&lt;="&amp;Settings!$B$4),"")))</f>
        <v/>
      </c>
      <c r="H52" s="17" t="str">
        <f>IF($A52="","",IF($K52=0,"",IFERROR(_xludf.MAXIFS(Trade_Reports!$I$3:$I$502,Trade_Reports!$H$3:$H$502,$A52,Trade_Reports!$M$3:$M$502,"APPROVED",Trade_Reports!$Q$3:$Q$502,"&lt;="&amp;Settings!$B$4),"")))</f>
        <v/>
      </c>
      <c r="I52" s="17" t="str">
        <f>IF($A52="","",IF($F52="","",IF($Q52="","",IF(ABS($F52-$Q52)/$Q52&lt;=Settings!$B$18,"STABLE",IF($F52&gt;$Q52,"UP","DOWN")))))</f>
        <v/>
      </c>
      <c r="J52" s="18" t="str">
        <f>IF($A52="","",IF($K52=0,"",MIN(1,ROUND($K52/Settings!$B$14,2))))</f>
        <v/>
      </c>
      <c r="K52" s="17" t="str">
        <f>IF($A52="","",COUNTIFS(Trade_Reports!$H$3:$H$502,$A52,Trade_Reports!$M$3:$M$502,"APPROVED",Trade_Reports!$Q$3:$Q$502,"&lt;="&amp;Settings!$B$4))</f>
        <v/>
      </c>
      <c r="L52" s="19" t="str">
        <f>IF($A52="","",IF($K52=0,"",IFERROR(_xludf.MAXIFS(Trade_Reports!$O$3:$O$502,Trade_Reports!$H$3:$H$502,$A52,Trade_Reports!$M$3:$M$502,"APPROVED"),"")))</f>
        <v/>
      </c>
      <c r="M52" s="16" t="s">
        <v>46</v>
      </c>
      <c r="N52" s="15"/>
      <c r="O52" s="9" t="str">
        <f t="shared" si="0"/>
        <v/>
      </c>
      <c r="P52" s="2" t="str">
        <f>IF($A52="","",SUMIFS(Trade_Reports!$U$3:$U$502,Trade_Reports!$H$3:$H$502,$A52,Trade_Reports!$M$3:$M$502,"APPROVED",Trade_Reports!$Q$3:$Q$502,"&lt;="&amp;Settings!$B$4))</f>
        <v/>
      </c>
      <c r="Q52" s="2" t="str">
        <f>IF($A52="","",SUMIFS(Trade_Reports!$U$3:$U$502,Trade_Reports!$H$3:$H$502,$A52,Trade_Reports!$M$3:$M$502,"APPROVED",Trade_Reports!$Q$3:$Q$502,"&lt;="&amp;Settings!$B$5))</f>
        <v/>
      </c>
      <c r="R52" s="2" t="str">
        <f>IF($A52="","",IF($Q52=0,"",IFERROR(_xludf.MINIFS(Trade_Reports!$I$3:$I$502,Trade_Reports!$H$3:$H$502,$A52,Trade_Reports!$M$3:$M$502,"APPROVED",Trade_Reports!$Q$3:$Q$502,"&lt;="&amp;Settings!$B$5,Trade_Reports!$X$3:$X$502,"&gt;="&amp;0.5*$Q52),"")))</f>
        <v/>
      </c>
      <c r="S52" s="2" t="str">
        <f>IF($A52="","",COUNTIFS(Trade_Reports!$H$3:$H$502,$A52,Trade_Reports!$M$3:$M$502,"APPROVED",Trade_Reports!$Q$3:$Q$502,"&lt;="&amp;Settings!$B$5))</f>
        <v/>
      </c>
      <c r="T52" s="2"/>
      <c r="U52" s="2"/>
      <c r="V52" s="21" t="str">
        <f>IF(OR($A52="",ISERROR(SEARCH("_",$A52))),"",IFERROR(SUMIFS(Trade_Reports!$Z$3:$Z$502,Trade_Reports!$H$3:$H$502,$A52,Trade_Reports!$M$3:$M$502,"APPROVED")/SUMIFS(Trade_Reports!$U$3:$U$502,Trade_Reports!$H$3:$H$502,$A52,Trade_Reports!$M$3:$M$502,"APPROVED"),""))</f>
        <v/>
      </c>
      <c r="W52" s="17" t="str">
        <f t="shared" si="1"/>
        <v/>
      </c>
      <c r="X52" s="2"/>
      <c r="Y52" s="2"/>
      <c r="Z52" s="2"/>
    </row>
    <row r="53" spans="1:26" ht="15.75" customHeight="1" x14ac:dyDescent="0.3">
      <c r="A53" s="15"/>
      <c r="B53" s="15"/>
      <c r="C53" s="16"/>
      <c r="D53" s="16"/>
      <c r="E53" s="16"/>
      <c r="F53" s="17" t="str">
        <f>IF($A53="","",IF($K53&lt;Settings!$B$14,"",IF($P53=0,"",IFERROR(_xludf.MINIFS(Trade_Reports!$I$3:$I$502,Trade_Reports!$H$3:$H$502,$A53,Trade_Reports!$M$3:$M$502,"APPROVED",Trade_Reports!$Q$3:$Q$502,"&lt;="&amp;Settings!$B$4,Trade_Reports!$W$3:$W$502,"&gt;="&amp;0.5*$P53),""))))</f>
        <v/>
      </c>
      <c r="G53" s="17" t="str">
        <f>IF($A53="","",IF($K53=0,"",IFERROR(_xludf.MINIFS(Trade_Reports!$I$3:$I$502,Trade_Reports!$H$3:$H$502,$A53,Trade_Reports!$M$3:$M$502,"APPROVED",Trade_Reports!$Q$3:$Q$502,"&lt;="&amp;Settings!$B$4),"")))</f>
        <v/>
      </c>
      <c r="H53" s="17" t="str">
        <f>IF($A53="","",IF($K53=0,"",IFERROR(_xludf.MAXIFS(Trade_Reports!$I$3:$I$502,Trade_Reports!$H$3:$H$502,$A53,Trade_Reports!$M$3:$M$502,"APPROVED",Trade_Reports!$Q$3:$Q$502,"&lt;="&amp;Settings!$B$4),"")))</f>
        <v/>
      </c>
      <c r="I53" s="17" t="str">
        <f>IF($A53="","",IF($F53="","",IF($Q53="","",IF(ABS($F53-$Q53)/$Q53&lt;=Settings!$B$18,"STABLE",IF($F53&gt;$Q53,"UP","DOWN")))))</f>
        <v/>
      </c>
      <c r="J53" s="18" t="str">
        <f>IF($A53="","",IF($K53=0,"",MIN(1,ROUND($K53/Settings!$B$14,2))))</f>
        <v/>
      </c>
      <c r="K53" s="17" t="str">
        <f>IF($A53="","",COUNTIFS(Trade_Reports!$H$3:$H$502,$A53,Trade_Reports!$M$3:$M$502,"APPROVED",Trade_Reports!$Q$3:$Q$502,"&lt;="&amp;Settings!$B$4))</f>
        <v/>
      </c>
      <c r="L53" s="19" t="str">
        <f>IF($A53="","",IF($K53=0,"",IFERROR(_xludf.MAXIFS(Trade_Reports!$O$3:$O$502,Trade_Reports!$H$3:$H$502,$A53,Trade_Reports!$M$3:$M$502,"APPROVED"),"")))</f>
        <v/>
      </c>
      <c r="M53" s="16" t="s">
        <v>46</v>
      </c>
      <c r="N53" s="15"/>
      <c r="O53" s="9" t="str">
        <f t="shared" si="0"/>
        <v/>
      </c>
      <c r="P53" s="2" t="str">
        <f>IF($A53="","",SUMIFS(Trade_Reports!$U$3:$U$502,Trade_Reports!$H$3:$H$502,$A53,Trade_Reports!$M$3:$M$502,"APPROVED",Trade_Reports!$Q$3:$Q$502,"&lt;="&amp;Settings!$B$4))</f>
        <v/>
      </c>
      <c r="Q53" s="2" t="str">
        <f>IF($A53="","",SUMIFS(Trade_Reports!$U$3:$U$502,Trade_Reports!$H$3:$H$502,$A53,Trade_Reports!$M$3:$M$502,"APPROVED",Trade_Reports!$Q$3:$Q$502,"&lt;="&amp;Settings!$B$5))</f>
        <v/>
      </c>
      <c r="R53" s="2" t="str">
        <f>IF($A53="","",IF($Q53=0,"",IFERROR(_xludf.MINIFS(Trade_Reports!$I$3:$I$502,Trade_Reports!$H$3:$H$502,$A53,Trade_Reports!$M$3:$M$502,"APPROVED",Trade_Reports!$Q$3:$Q$502,"&lt;="&amp;Settings!$B$5,Trade_Reports!$X$3:$X$502,"&gt;="&amp;0.5*$Q53),"")))</f>
        <v/>
      </c>
      <c r="S53" s="2" t="str">
        <f>IF($A53="","",COUNTIFS(Trade_Reports!$H$3:$H$502,$A53,Trade_Reports!$M$3:$M$502,"APPROVED",Trade_Reports!$Q$3:$Q$502,"&lt;="&amp;Settings!$B$5))</f>
        <v/>
      </c>
      <c r="T53" s="2"/>
      <c r="U53" s="2"/>
      <c r="V53" s="21" t="str">
        <f>IF(OR($A53="",ISERROR(SEARCH("_",$A53))),"",IFERROR(SUMIFS(Trade_Reports!$Z$3:$Z$502,Trade_Reports!$H$3:$H$502,$A53,Trade_Reports!$M$3:$M$502,"APPROVED")/SUMIFS(Trade_Reports!$U$3:$U$502,Trade_Reports!$H$3:$H$502,$A53,Trade_Reports!$M$3:$M$502,"APPROVED"),""))</f>
        <v/>
      </c>
      <c r="W53" s="17" t="str">
        <f t="shared" si="1"/>
        <v/>
      </c>
      <c r="X53" s="2"/>
      <c r="Y53" s="2"/>
      <c r="Z53" s="2"/>
    </row>
    <row r="54" spans="1:26" ht="15.75" customHeight="1" x14ac:dyDescent="0.3">
      <c r="A54" s="15"/>
      <c r="B54" s="15"/>
      <c r="C54" s="16"/>
      <c r="D54" s="16"/>
      <c r="E54" s="16"/>
      <c r="F54" s="17" t="str">
        <f>IF($A54="","",IF($K54&lt;Settings!$B$14,"",IF($P54=0,"",IFERROR(_xludf.MINIFS(Trade_Reports!$I$3:$I$502,Trade_Reports!$H$3:$H$502,$A54,Trade_Reports!$M$3:$M$502,"APPROVED",Trade_Reports!$Q$3:$Q$502,"&lt;="&amp;Settings!$B$4,Trade_Reports!$W$3:$W$502,"&gt;="&amp;0.5*$P54),""))))</f>
        <v/>
      </c>
      <c r="G54" s="17" t="str">
        <f>IF($A54="","",IF($K54=0,"",IFERROR(_xludf.MINIFS(Trade_Reports!$I$3:$I$502,Trade_Reports!$H$3:$H$502,$A54,Trade_Reports!$M$3:$M$502,"APPROVED",Trade_Reports!$Q$3:$Q$502,"&lt;="&amp;Settings!$B$4),"")))</f>
        <v/>
      </c>
      <c r="H54" s="17" t="str">
        <f>IF($A54="","",IF($K54=0,"",IFERROR(_xludf.MAXIFS(Trade_Reports!$I$3:$I$502,Trade_Reports!$H$3:$H$502,$A54,Trade_Reports!$M$3:$M$502,"APPROVED",Trade_Reports!$Q$3:$Q$502,"&lt;="&amp;Settings!$B$4),"")))</f>
        <v/>
      </c>
      <c r="I54" s="17" t="str">
        <f>IF($A54="","",IF($F54="","",IF($Q54="","",IF(ABS($F54-$Q54)/$Q54&lt;=Settings!$B$18,"STABLE",IF($F54&gt;$Q54,"UP","DOWN")))))</f>
        <v/>
      </c>
      <c r="J54" s="18" t="str">
        <f>IF($A54="","",IF($K54=0,"",MIN(1,ROUND($K54/Settings!$B$14,2))))</f>
        <v/>
      </c>
      <c r="K54" s="17" t="str">
        <f>IF($A54="","",COUNTIFS(Trade_Reports!$H$3:$H$502,$A54,Trade_Reports!$M$3:$M$502,"APPROVED",Trade_Reports!$Q$3:$Q$502,"&lt;="&amp;Settings!$B$4))</f>
        <v/>
      </c>
      <c r="L54" s="19" t="str">
        <f>IF($A54="","",IF($K54=0,"",IFERROR(_xludf.MAXIFS(Trade_Reports!$O$3:$O$502,Trade_Reports!$H$3:$H$502,$A54,Trade_Reports!$M$3:$M$502,"APPROVED"),"")))</f>
        <v/>
      </c>
      <c r="M54" s="16" t="s">
        <v>46</v>
      </c>
      <c r="N54" s="15"/>
      <c r="O54" s="9" t="str">
        <f t="shared" si="0"/>
        <v/>
      </c>
      <c r="P54" s="2" t="str">
        <f>IF($A54="","",SUMIFS(Trade_Reports!$U$3:$U$502,Trade_Reports!$H$3:$H$502,$A54,Trade_Reports!$M$3:$M$502,"APPROVED",Trade_Reports!$Q$3:$Q$502,"&lt;="&amp;Settings!$B$4))</f>
        <v/>
      </c>
      <c r="Q54" s="2" t="str">
        <f>IF($A54="","",SUMIFS(Trade_Reports!$U$3:$U$502,Trade_Reports!$H$3:$H$502,$A54,Trade_Reports!$M$3:$M$502,"APPROVED",Trade_Reports!$Q$3:$Q$502,"&lt;="&amp;Settings!$B$5))</f>
        <v/>
      </c>
      <c r="R54" s="2" t="str">
        <f>IF($A54="","",IF($Q54=0,"",IFERROR(_xludf.MINIFS(Trade_Reports!$I$3:$I$502,Trade_Reports!$H$3:$H$502,$A54,Trade_Reports!$M$3:$M$502,"APPROVED",Trade_Reports!$Q$3:$Q$502,"&lt;="&amp;Settings!$B$5,Trade_Reports!$X$3:$X$502,"&gt;="&amp;0.5*$Q54),"")))</f>
        <v/>
      </c>
      <c r="S54" s="2" t="str">
        <f>IF($A54="","",COUNTIFS(Trade_Reports!$H$3:$H$502,$A54,Trade_Reports!$M$3:$M$502,"APPROVED",Trade_Reports!$Q$3:$Q$502,"&lt;="&amp;Settings!$B$5))</f>
        <v/>
      </c>
      <c r="T54" s="2"/>
      <c r="U54" s="2"/>
      <c r="V54" s="21" t="str">
        <f>IF(OR($A54="",ISERROR(SEARCH("_",$A54))),"",IFERROR(SUMIFS(Trade_Reports!$Z$3:$Z$502,Trade_Reports!$H$3:$H$502,$A54,Trade_Reports!$M$3:$M$502,"APPROVED")/SUMIFS(Trade_Reports!$U$3:$U$502,Trade_Reports!$H$3:$H$502,$A54,Trade_Reports!$M$3:$M$502,"APPROVED"),""))</f>
        <v/>
      </c>
      <c r="W54" s="17" t="str">
        <f t="shared" si="1"/>
        <v/>
      </c>
      <c r="X54" s="2"/>
      <c r="Y54" s="2"/>
      <c r="Z54" s="2"/>
    </row>
    <row r="55" spans="1:26" ht="15.75" customHeight="1" x14ac:dyDescent="0.3">
      <c r="A55" s="15"/>
      <c r="B55" s="15"/>
      <c r="C55" s="16"/>
      <c r="D55" s="16"/>
      <c r="E55" s="16"/>
      <c r="F55" s="17" t="str">
        <f>IF($A55="","",IF($K55&lt;Settings!$B$14,"",IF($P55=0,"",IFERROR(_xludf.MINIFS(Trade_Reports!$I$3:$I$502,Trade_Reports!$H$3:$H$502,$A55,Trade_Reports!$M$3:$M$502,"APPROVED",Trade_Reports!$Q$3:$Q$502,"&lt;="&amp;Settings!$B$4,Trade_Reports!$W$3:$W$502,"&gt;="&amp;0.5*$P55),""))))</f>
        <v/>
      </c>
      <c r="G55" s="17" t="str">
        <f>IF($A55="","",IF($K55=0,"",IFERROR(_xludf.MINIFS(Trade_Reports!$I$3:$I$502,Trade_Reports!$H$3:$H$502,$A55,Trade_Reports!$M$3:$M$502,"APPROVED",Trade_Reports!$Q$3:$Q$502,"&lt;="&amp;Settings!$B$4),"")))</f>
        <v/>
      </c>
      <c r="H55" s="17" t="str">
        <f>IF($A55="","",IF($K55=0,"",IFERROR(_xludf.MAXIFS(Trade_Reports!$I$3:$I$502,Trade_Reports!$H$3:$H$502,$A55,Trade_Reports!$M$3:$M$502,"APPROVED",Trade_Reports!$Q$3:$Q$502,"&lt;="&amp;Settings!$B$4),"")))</f>
        <v/>
      </c>
      <c r="I55" s="17" t="str">
        <f>IF($A55="","",IF($F55="","",IF($Q55="","",IF(ABS($F55-$Q55)/$Q55&lt;=Settings!$B$18,"STABLE",IF($F55&gt;$Q55,"UP","DOWN")))))</f>
        <v/>
      </c>
      <c r="J55" s="18" t="str">
        <f>IF($A55="","",IF($K55=0,"",MIN(1,ROUND($K55/Settings!$B$14,2))))</f>
        <v/>
      </c>
      <c r="K55" s="17" t="str">
        <f>IF($A55="","",COUNTIFS(Trade_Reports!$H$3:$H$502,$A55,Trade_Reports!$M$3:$M$502,"APPROVED",Trade_Reports!$Q$3:$Q$502,"&lt;="&amp;Settings!$B$4))</f>
        <v/>
      </c>
      <c r="L55" s="19" t="str">
        <f>IF($A55="","",IF($K55=0,"",IFERROR(_xludf.MAXIFS(Trade_Reports!$O$3:$O$502,Trade_Reports!$H$3:$H$502,$A55,Trade_Reports!$M$3:$M$502,"APPROVED"),"")))</f>
        <v/>
      </c>
      <c r="M55" s="16" t="s">
        <v>46</v>
      </c>
      <c r="N55" s="15"/>
      <c r="O55" s="9" t="str">
        <f t="shared" si="0"/>
        <v/>
      </c>
      <c r="P55" s="2" t="str">
        <f>IF($A55="","",SUMIFS(Trade_Reports!$U$3:$U$502,Trade_Reports!$H$3:$H$502,$A55,Trade_Reports!$M$3:$M$502,"APPROVED",Trade_Reports!$Q$3:$Q$502,"&lt;="&amp;Settings!$B$4))</f>
        <v/>
      </c>
      <c r="Q55" s="2" t="str">
        <f>IF($A55="","",SUMIFS(Trade_Reports!$U$3:$U$502,Trade_Reports!$H$3:$H$502,$A55,Trade_Reports!$M$3:$M$502,"APPROVED",Trade_Reports!$Q$3:$Q$502,"&lt;="&amp;Settings!$B$5))</f>
        <v/>
      </c>
      <c r="R55" s="2" t="str">
        <f>IF($A55="","",IF($Q55=0,"",IFERROR(_xludf.MINIFS(Trade_Reports!$I$3:$I$502,Trade_Reports!$H$3:$H$502,$A55,Trade_Reports!$M$3:$M$502,"APPROVED",Trade_Reports!$Q$3:$Q$502,"&lt;="&amp;Settings!$B$5,Trade_Reports!$X$3:$X$502,"&gt;="&amp;0.5*$Q55),"")))</f>
        <v/>
      </c>
      <c r="S55" s="2" t="str">
        <f>IF($A55="","",COUNTIFS(Trade_Reports!$H$3:$H$502,$A55,Trade_Reports!$M$3:$M$502,"APPROVED",Trade_Reports!$Q$3:$Q$502,"&lt;="&amp;Settings!$B$5))</f>
        <v/>
      </c>
      <c r="T55" s="2"/>
      <c r="U55" s="2"/>
      <c r="V55" s="21" t="str">
        <f>IF(OR($A55="",ISERROR(SEARCH("_",$A55))),"",IFERROR(SUMIFS(Trade_Reports!$Z$3:$Z$502,Trade_Reports!$H$3:$H$502,$A55,Trade_Reports!$M$3:$M$502,"APPROVED")/SUMIFS(Trade_Reports!$U$3:$U$502,Trade_Reports!$H$3:$H$502,$A55,Trade_Reports!$M$3:$M$502,"APPROVED"),""))</f>
        <v/>
      </c>
      <c r="W55" s="17" t="str">
        <f t="shared" si="1"/>
        <v/>
      </c>
      <c r="X55" s="2"/>
      <c r="Y55" s="2"/>
      <c r="Z55" s="2"/>
    </row>
    <row r="56" spans="1:26" ht="15.75" customHeight="1" x14ac:dyDescent="0.3">
      <c r="A56" s="15"/>
      <c r="B56" s="15"/>
      <c r="C56" s="16"/>
      <c r="D56" s="16"/>
      <c r="E56" s="16"/>
      <c r="F56" s="17" t="str">
        <f>IF($A56="","",IF($K56&lt;Settings!$B$14,"",IF($P56=0,"",IFERROR(_xludf.MINIFS(Trade_Reports!$I$3:$I$502,Trade_Reports!$H$3:$H$502,$A56,Trade_Reports!$M$3:$M$502,"APPROVED",Trade_Reports!$Q$3:$Q$502,"&lt;="&amp;Settings!$B$4,Trade_Reports!$W$3:$W$502,"&gt;="&amp;0.5*$P56),""))))</f>
        <v/>
      </c>
      <c r="G56" s="17" t="str">
        <f>IF($A56="","",IF($K56=0,"",IFERROR(_xludf.MINIFS(Trade_Reports!$I$3:$I$502,Trade_Reports!$H$3:$H$502,$A56,Trade_Reports!$M$3:$M$502,"APPROVED",Trade_Reports!$Q$3:$Q$502,"&lt;="&amp;Settings!$B$4),"")))</f>
        <v/>
      </c>
      <c r="H56" s="17" t="str">
        <f>IF($A56="","",IF($K56=0,"",IFERROR(_xludf.MAXIFS(Trade_Reports!$I$3:$I$502,Trade_Reports!$H$3:$H$502,$A56,Trade_Reports!$M$3:$M$502,"APPROVED",Trade_Reports!$Q$3:$Q$502,"&lt;="&amp;Settings!$B$4),"")))</f>
        <v/>
      </c>
      <c r="I56" s="17" t="str">
        <f>IF($A56="","",IF($F56="","",IF($Q56="","",IF(ABS($F56-$Q56)/$Q56&lt;=Settings!$B$18,"STABLE",IF($F56&gt;$Q56,"UP","DOWN")))))</f>
        <v/>
      </c>
      <c r="J56" s="18" t="str">
        <f>IF($A56="","",IF($K56=0,"",MIN(1,ROUND($K56/Settings!$B$14,2))))</f>
        <v/>
      </c>
      <c r="K56" s="17" t="str">
        <f>IF($A56="","",COUNTIFS(Trade_Reports!$H$3:$H$502,$A56,Trade_Reports!$M$3:$M$502,"APPROVED",Trade_Reports!$Q$3:$Q$502,"&lt;="&amp;Settings!$B$4))</f>
        <v/>
      </c>
      <c r="L56" s="19" t="str">
        <f>IF($A56="","",IF($K56=0,"",IFERROR(_xludf.MAXIFS(Trade_Reports!$O$3:$O$502,Trade_Reports!$H$3:$H$502,$A56,Trade_Reports!$M$3:$M$502,"APPROVED"),"")))</f>
        <v/>
      </c>
      <c r="M56" s="16" t="s">
        <v>46</v>
      </c>
      <c r="N56" s="15"/>
      <c r="O56" s="9" t="str">
        <f t="shared" si="0"/>
        <v/>
      </c>
      <c r="P56" s="2" t="str">
        <f>IF($A56="","",SUMIFS(Trade_Reports!$U$3:$U$502,Trade_Reports!$H$3:$H$502,$A56,Trade_Reports!$M$3:$M$502,"APPROVED",Trade_Reports!$Q$3:$Q$502,"&lt;="&amp;Settings!$B$4))</f>
        <v/>
      </c>
      <c r="Q56" s="2" t="str">
        <f>IF($A56="","",SUMIFS(Trade_Reports!$U$3:$U$502,Trade_Reports!$H$3:$H$502,$A56,Trade_Reports!$M$3:$M$502,"APPROVED",Trade_Reports!$Q$3:$Q$502,"&lt;="&amp;Settings!$B$5))</f>
        <v/>
      </c>
      <c r="R56" s="2" t="str">
        <f>IF($A56="","",IF($Q56=0,"",IFERROR(_xludf.MINIFS(Trade_Reports!$I$3:$I$502,Trade_Reports!$H$3:$H$502,$A56,Trade_Reports!$M$3:$M$502,"APPROVED",Trade_Reports!$Q$3:$Q$502,"&lt;="&amp;Settings!$B$5,Trade_Reports!$X$3:$X$502,"&gt;="&amp;0.5*$Q56),"")))</f>
        <v/>
      </c>
      <c r="S56" s="2" t="str">
        <f>IF($A56="","",COUNTIFS(Trade_Reports!$H$3:$H$502,$A56,Trade_Reports!$M$3:$M$502,"APPROVED",Trade_Reports!$Q$3:$Q$502,"&lt;="&amp;Settings!$B$5))</f>
        <v/>
      </c>
      <c r="T56" s="2"/>
      <c r="U56" s="2"/>
      <c r="V56" s="21" t="str">
        <f>IF(OR($A56="",ISERROR(SEARCH("_",$A56))),"",IFERROR(SUMIFS(Trade_Reports!$Z$3:$Z$502,Trade_Reports!$H$3:$H$502,$A56,Trade_Reports!$M$3:$M$502,"APPROVED")/SUMIFS(Trade_Reports!$U$3:$U$502,Trade_Reports!$H$3:$H$502,$A56,Trade_Reports!$M$3:$M$502,"APPROVED"),""))</f>
        <v/>
      </c>
      <c r="W56" s="17" t="str">
        <f t="shared" si="1"/>
        <v/>
      </c>
      <c r="X56" s="2"/>
      <c r="Y56" s="2"/>
      <c r="Z56" s="2"/>
    </row>
    <row r="57" spans="1:26" ht="15.75" customHeight="1" x14ac:dyDescent="0.3">
      <c r="A57" s="15"/>
      <c r="B57" s="15"/>
      <c r="C57" s="16"/>
      <c r="D57" s="16"/>
      <c r="E57" s="16"/>
      <c r="F57" s="17" t="str">
        <f>IF($A57="","",IF($K57&lt;Settings!$B$14,"",IF($P57=0,"",IFERROR(_xludf.MINIFS(Trade_Reports!$I$3:$I$502,Trade_Reports!$H$3:$H$502,$A57,Trade_Reports!$M$3:$M$502,"APPROVED",Trade_Reports!$Q$3:$Q$502,"&lt;="&amp;Settings!$B$4,Trade_Reports!$W$3:$W$502,"&gt;="&amp;0.5*$P57),""))))</f>
        <v/>
      </c>
      <c r="G57" s="17" t="str">
        <f>IF($A57="","",IF($K57=0,"",IFERROR(_xludf.MINIFS(Trade_Reports!$I$3:$I$502,Trade_Reports!$H$3:$H$502,$A57,Trade_Reports!$M$3:$M$502,"APPROVED",Trade_Reports!$Q$3:$Q$502,"&lt;="&amp;Settings!$B$4),"")))</f>
        <v/>
      </c>
      <c r="H57" s="17" t="str">
        <f>IF($A57="","",IF($K57=0,"",IFERROR(_xludf.MAXIFS(Trade_Reports!$I$3:$I$502,Trade_Reports!$H$3:$H$502,$A57,Trade_Reports!$M$3:$M$502,"APPROVED",Trade_Reports!$Q$3:$Q$502,"&lt;="&amp;Settings!$B$4),"")))</f>
        <v/>
      </c>
      <c r="I57" s="17" t="str">
        <f>IF($A57="","",IF($F57="","",IF($Q57="","",IF(ABS($F57-$Q57)/$Q57&lt;=Settings!$B$18,"STABLE",IF($F57&gt;$Q57,"UP","DOWN")))))</f>
        <v/>
      </c>
      <c r="J57" s="18" t="str">
        <f>IF($A57="","",IF($K57=0,"",MIN(1,ROUND($K57/Settings!$B$14,2))))</f>
        <v/>
      </c>
      <c r="K57" s="17" t="str">
        <f>IF($A57="","",COUNTIFS(Trade_Reports!$H$3:$H$502,$A57,Trade_Reports!$M$3:$M$502,"APPROVED",Trade_Reports!$Q$3:$Q$502,"&lt;="&amp;Settings!$B$4))</f>
        <v/>
      </c>
      <c r="L57" s="19" t="str">
        <f>IF($A57="","",IF($K57=0,"",IFERROR(_xludf.MAXIFS(Trade_Reports!$O$3:$O$502,Trade_Reports!$H$3:$H$502,$A57,Trade_Reports!$M$3:$M$502,"APPROVED"),"")))</f>
        <v/>
      </c>
      <c r="M57" s="16" t="s">
        <v>46</v>
      </c>
      <c r="N57" s="15"/>
      <c r="O57" s="9" t="str">
        <f t="shared" si="0"/>
        <v/>
      </c>
      <c r="P57" s="2" t="str">
        <f>IF($A57="","",SUMIFS(Trade_Reports!$U$3:$U$502,Trade_Reports!$H$3:$H$502,$A57,Trade_Reports!$M$3:$M$502,"APPROVED",Trade_Reports!$Q$3:$Q$502,"&lt;="&amp;Settings!$B$4))</f>
        <v/>
      </c>
      <c r="Q57" s="2" t="str">
        <f>IF($A57="","",SUMIFS(Trade_Reports!$U$3:$U$502,Trade_Reports!$H$3:$H$502,$A57,Trade_Reports!$M$3:$M$502,"APPROVED",Trade_Reports!$Q$3:$Q$502,"&lt;="&amp;Settings!$B$5))</f>
        <v/>
      </c>
      <c r="R57" s="2" t="str">
        <f>IF($A57="","",IF($Q57=0,"",IFERROR(_xludf.MINIFS(Trade_Reports!$I$3:$I$502,Trade_Reports!$H$3:$H$502,$A57,Trade_Reports!$M$3:$M$502,"APPROVED",Trade_Reports!$Q$3:$Q$502,"&lt;="&amp;Settings!$B$5,Trade_Reports!$X$3:$X$502,"&gt;="&amp;0.5*$Q57),"")))</f>
        <v/>
      </c>
      <c r="S57" s="2" t="str">
        <f>IF($A57="","",COUNTIFS(Trade_Reports!$H$3:$H$502,$A57,Trade_Reports!$M$3:$M$502,"APPROVED",Trade_Reports!$Q$3:$Q$502,"&lt;="&amp;Settings!$B$5))</f>
        <v/>
      </c>
      <c r="T57" s="2"/>
      <c r="U57" s="2"/>
      <c r="V57" s="21" t="str">
        <f>IF(OR($A57="",ISERROR(SEARCH("_",$A57))),"",IFERROR(SUMIFS(Trade_Reports!$Z$3:$Z$502,Trade_Reports!$H$3:$H$502,$A57,Trade_Reports!$M$3:$M$502,"APPROVED")/SUMIFS(Trade_Reports!$U$3:$U$502,Trade_Reports!$H$3:$H$502,$A57,Trade_Reports!$M$3:$M$502,"APPROVED"),""))</f>
        <v/>
      </c>
      <c r="W57" s="17" t="str">
        <f t="shared" si="1"/>
        <v/>
      </c>
      <c r="X57" s="2"/>
      <c r="Y57" s="2"/>
      <c r="Z57" s="2"/>
    </row>
    <row r="58" spans="1:26" ht="15.75" customHeight="1" x14ac:dyDescent="0.3">
      <c r="A58" s="15"/>
      <c r="B58" s="15"/>
      <c r="C58" s="16"/>
      <c r="D58" s="16"/>
      <c r="E58" s="16"/>
      <c r="F58" s="17" t="str">
        <f>IF($A58="","",IF($K58&lt;Settings!$B$14,"",IF($P58=0,"",IFERROR(_xludf.MINIFS(Trade_Reports!$I$3:$I$502,Trade_Reports!$H$3:$H$502,$A58,Trade_Reports!$M$3:$M$502,"APPROVED",Trade_Reports!$Q$3:$Q$502,"&lt;="&amp;Settings!$B$4,Trade_Reports!$W$3:$W$502,"&gt;="&amp;0.5*$P58),""))))</f>
        <v/>
      </c>
      <c r="G58" s="17" t="str">
        <f>IF($A58="","",IF($K58=0,"",IFERROR(_xludf.MINIFS(Trade_Reports!$I$3:$I$502,Trade_Reports!$H$3:$H$502,$A58,Trade_Reports!$M$3:$M$502,"APPROVED",Trade_Reports!$Q$3:$Q$502,"&lt;="&amp;Settings!$B$4),"")))</f>
        <v/>
      </c>
      <c r="H58" s="17" t="str">
        <f>IF($A58="","",IF($K58=0,"",IFERROR(_xludf.MAXIFS(Trade_Reports!$I$3:$I$502,Trade_Reports!$H$3:$H$502,$A58,Trade_Reports!$M$3:$M$502,"APPROVED",Trade_Reports!$Q$3:$Q$502,"&lt;="&amp;Settings!$B$4),"")))</f>
        <v/>
      </c>
      <c r="I58" s="17" t="str">
        <f>IF($A58="","",IF($F58="","",IF($Q58="","",IF(ABS($F58-$Q58)/$Q58&lt;=Settings!$B$18,"STABLE",IF($F58&gt;$Q58,"UP","DOWN")))))</f>
        <v/>
      </c>
      <c r="J58" s="18" t="str">
        <f>IF($A58="","",IF($K58=0,"",MIN(1,ROUND($K58/Settings!$B$14,2))))</f>
        <v/>
      </c>
      <c r="K58" s="17" t="str">
        <f>IF($A58="","",COUNTIFS(Trade_Reports!$H$3:$H$502,$A58,Trade_Reports!$M$3:$M$502,"APPROVED",Trade_Reports!$Q$3:$Q$502,"&lt;="&amp;Settings!$B$4))</f>
        <v/>
      </c>
      <c r="L58" s="19" t="str">
        <f>IF($A58="","",IF($K58=0,"",IFERROR(_xludf.MAXIFS(Trade_Reports!$O$3:$O$502,Trade_Reports!$H$3:$H$502,$A58,Trade_Reports!$M$3:$M$502,"APPROVED"),"")))</f>
        <v/>
      </c>
      <c r="M58" s="16" t="s">
        <v>46</v>
      </c>
      <c r="N58" s="15"/>
      <c r="O58" s="9" t="str">
        <f t="shared" si="0"/>
        <v/>
      </c>
      <c r="P58" s="2" t="str">
        <f>IF($A58="","",SUMIFS(Trade_Reports!$U$3:$U$502,Trade_Reports!$H$3:$H$502,$A58,Trade_Reports!$M$3:$M$502,"APPROVED",Trade_Reports!$Q$3:$Q$502,"&lt;="&amp;Settings!$B$4))</f>
        <v/>
      </c>
      <c r="Q58" s="2" t="str">
        <f>IF($A58="","",SUMIFS(Trade_Reports!$U$3:$U$502,Trade_Reports!$H$3:$H$502,$A58,Trade_Reports!$M$3:$M$502,"APPROVED",Trade_Reports!$Q$3:$Q$502,"&lt;="&amp;Settings!$B$5))</f>
        <v/>
      </c>
      <c r="R58" s="2" t="str">
        <f>IF($A58="","",IF($Q58=0,"",IFERROR(_xludf.MINIFS(Trade_Reports!$I$3:$I$502,Trade_Reports!$H$3:$H$502,$A58,Trade_Reports!$M$3:$M$502,"APPROVED",Trade_Reports!$Q$3:$Q$502,"&lt;="&amp;Settings!$B$5,Trade_Reports!$X$3:$X$502,"&gt;="&amp;0.5*$Q58),"")))</f>
        <v/>
      </c>
      <c r="S58" s="2" t="str">
        <f>IF($A58="","",COUNTIFS(Trade_Reports!$H$3:$H$502,$A58,Trade_Reports!$M$3:$M$502,"APPROVED",Trade_Reports!$Q$3:$Q$502,"&lt;="&amp;Settings!$B$5))</f>
        <v/>
      </c>
      <c r="T58" s="2"/>
      <c r="U58" s="2"/>
      <c r="V58" s="21" t="str">
        <f>IF(OR($A58="",ISERROR(SEARCH("_",$A58))),"",IFERROR(SUMIFS(Trade_Reports!$Z$3:$Z$502,Trade_Reports!$H$3:$H$502,$A58,Trade_Reports!$M$3:$M$502,"APPROVED")/SUMIFS(Trade_Reports!$U$3:$U$502,Trade_Reports!$H$3:$H$502,$A58,Trade_Reports!$M$3:$M$502,"APPROVED"),""))</f>
        <v/>
      </c>
      <c r="W58" s="17" t="str">
        <f t="shared" si="1"/>
        <v/>
      </c>
      <c r="X58" s="2"/>
      <c r="Y58" s="2"/>
      <c r="Z58" s="2"/>
    </row>
    <row r="59" spans="1:26" ht="15.75" customHeight="1" x14ac:dyDescent="0.3">
      <c r="A59" s="15"/>
      <c r="B59" s="15"/>
      <c r="C59" s="16"/>
      <c r="D59" s="16"/>
      <c r="E59" s="16"/>
      <c r="F59" s="17" t="str">
        <f>IF($A59="","",IF($K59&lt;Settings!$B$14,"",IF($P59=0,"",IFERROR(_xludf.MINIFS(Trade_Reports!$I$3:$I$502,Trade_Reports!$H$3:$H$502,$A59,Trade_Reports!$M$3:$M$502,"APPROVED",Trade_Reports!$Q$3:$Q$502,"&lt;="&amp;Settings!$B$4,Trade_Reports!$W$3:$W$502,"&gt;="&amp;0.5*$P59),""))))</f>
        <v/>
      </c>
      <c r="G59" s="17" t="str">
        <f>IF($A59="","",IF($K59=0,"",IFERROR(_xludf.MINIFS(Trade_Reports!$I$3:$I$502,Trade_Reports!$H$3:$H$502,$A59,Trade_Reports!$M$3:$M$502,"APPROVED",Trade_Reports!$Q$3:$Q$502,"&lt;="&amp;Settings!$B$4),"")))</f>
        <v/>
      </c>
      <c r="H59" s="17" t="str">
        <f>IF($A59="","",IF($K59=0,"",IFERROR(_xludf.MAXIFS(Trade_Reports!$I$3:$I$502,Trade_Reports!$H$3:$H$502,$A59,Trade_Reports!$M$3:$M$502,"APPROVED",Trade_Reports!$Q$3:$Q$502,"&lt;="&amp;Settings!$B$4),"")))</f>
        <v/>
      </c>
      <c r="I59" s="17" t="str">
        <f>IF($A59="","",IF($F59="","",IF($Q59="","",IF(ABS($F59-$Q59)/$Q59&lt;=Settings!$B$18,"STABLE",IF($F59&gt;$Q59,"UP","DOWN")))))</f>
        <v/>
      </c>
      <c r="J59" s="18" t="str">
        <f>IF($A59="","",IF($K59=0,"",MIN(1,ROUND($K59/Settings!$B$14,2))))</f>
        <v/>
      </c>
      <c r="K59" s="17" t="str">
        <f>IF($A59="","",COUNTIFS(Trade_Reports!$H$3:$H$502,$A59,Trade_Reports!$M$3:$M$502,"APPROVED",Trade_Reports!$Q$3:$Q$502,"&lt;="&amp;Settings!$B$4))</f>
        <v/>
      </c>
      <c r="L59" s="19" t="str">
        <f>IF($A59="","",IF($K59=0,"",IFERROR(_xludf.MAXIFS(Trade_Reports!$O$3:$O$502,Trade_Reports!$H$3:$H$502,$A59,Trade_Reports!$M$3:$M$502,"APPROVED"),"")))</f>
        <v/>
      </c>
      <c r="M59" s="16" t="s">
        <v>46</v>
      </c>
      <c r="N59" s="15"/>
      <c r="O59" s="9" t="str">
        <f t="shared" si="0"/>
        <v/>
      </c>
      <c r="P59" s="2" t="str">
        <f>IF($A59="","",SUMIFS(Trade_Reports!$U$3:$U$502,Trade_Reports!$H$3:$H$502,$A59,Trade_Reports!$M$3:$M$502,"APPROVED",Trade_Reports!$Q$3:$Q$502,"&lt;="&amp;Settings!$B$4))</f>
        <v/>
      </c>
      <c r="Q59" s="2" t="str">
        <f>IF($A59="","",SUMIFS(Trade_Reports!$U$3:$U$502,Trade_Reports!$H$3:$H$502,$A59,Trade_Reports!$M$3:$M$502,"APPROVED",Trade_Reports!$Q$3:$Q$502,"&lt;="&amp;Settings!$B$5))</f>
        <v/>
      </c>
      <c r="R59" s="2" t="str">
        <f>IF($A59="","",IF($Q59=0,"",IFERROR(_xludf.MINIFS(Trade_Reports!$I$3:$I$502,Trade_Reports!$H$3:$H$502,$A59,Trade_Reports!$M$3:$M$502,"APPROVED",Trade_Reports!$Q$3:$Q$502,"&lt;="&amp;Settings!$B$5,Trade_Reports!$X$3:$X$502,"&gt;="&amp;0.5*$Q59),"")))</f>
        <v/>
      </c>
      <c r="S59" s="2" t="str">
        <f>IF($A59="","",COUNTIFS(Trade_Reports!$H$3:$H$502,$A59,Trade_Reports!$M$3:$M$502,"APPROVED",Trade_Reports!$Q$3:$Q$502,"&lt;="&amp;Settings!$B$5))</f>
        <v/>
      </c>
      <c r="T59" s="2"/>
      <c r="U59" s="2"/>
      <c r="V59" s="21" t="str">
        <f>IF(OR($A59="",ISERROR(SEARCH("_",$A59))),"",IFERROR(SUMIFS(Trade_Reports!$Z$3:$Z$502,Trade_Reports!$H$3:$H$502,$A59,Trade_Reports!$M$3:$M$502,"APPROVED")/SUMIFS(Trade_Reports!$U$3:$U$502,Trade_Reports!$H$3:$H$502,$A59,Trade_Reports!$M$3:$M$502,"APPROVED"),""))</f>
        <v/>
      </c>
      <c r="W59" s="17" t="str">
        <f t="shared" si="1"/>
        <v/>
      </c>
      <c r="X59" s="2"/>
      <c r="Y59" s="2"/>
      <c r="Z59" s="2"/>
    </row>
    <row r="60" spans="1:26" ht="15.75" customHeight="1" x14ac:dyDescent="0.3">
      <c r="A60" s="22" t="s">
        <v>60</v>
      </c>
      <c r="B60" s="15"/>
      <c r="C60" s="16"/>
      <c r="D60" s="16"/>
      <c r="E60" s="16"/>
      <c r="F60" s="17" t="str">
        <f>IF($A60="","",IF($K60&lt;Settings!$B$14,"",IF($P60=0,"",IFERROR(_xludf.MINIFS(Trade_Reports!$I$3:$I$502,Trade_Reports!$H$3:$H$502,$A60,Trade_Reports!$M$3:$M$502,"APPROVED",Trade_Reports!$Q$3:$Q$502,"&lt;="&amp;Settings!$B$4,Trade_Reports!$W$3:$W$502,"&gt;="&amp;0.5*$P60),""))))</f>
        <v/>
      </c>
      <c r="G60" s="17" t="str">
        <f>IF($A60="","",IF($K60=0,"",IFERROR(_xludf.MINIFS(Trade_Reports!$I$3:$I$502,Trade_Reports!$H$3:$H$502,$A60,Trade_Reports!$M$3:$M$502,"APPROVED",Trade_Reports!$Q$3:$Q$502,"&lt;="&amp;Settings!$B$4),"")))</f>
        <v/>
      </c>
      <c r="H60" s="17" t="str">
        <f>IF($A60="","",IF($K60=0,"",IFERROR(_xludf.MAXIFS(Trade_Reports!$I$3:$I$502,Trade_Reports!$H$3:$H$502,$A60,Trade_Reports!$M$3:$M$502,"APPROVED",Trade_Reports!$Q$3:$Q$502,"&lt;="&amp;Settings!$B$4),"")))</f>
        <v/>
      </c>
      <c r="I60" s="17" t="str">
        <f>IF($A60="","",IF($F60="","",IF($Q60="","",IF(ABS($F60-$Q60)/$Q60&lt;=Settings!$B$18,"STABLE",IF($F60&gt;$Q60,"UP","DOWN")))))</f>
        <v/>
      </c>
      <c r="J60" s="18" t="str">
        <f>IF($A60="","",IF($K60=0,"",MIN(1,ROUND($K60/Settings!$B$14,2))))</f>
        <v/>
      </c>
      <c r="K60" s="17">
        <f>IF($A60="","",COUNTIFS(Trade_Reports!$H$3:$H$502,$A60,Trade_Reports!$M$3:$M$502,"APPROVED",Trade_Reports!$Q$3:$Q$502,"&lt;="&amp;Settings!$B$4))</f>
        <v>0</v>
      </c>
      <c r="L60" s="19" t="str">
        <f>IF($A60="","",IF($K60=0,"",IFERROR(_xludf.MAXIFS(Trade_Reports!$O$3:$O$502,Trade_Reports!$H$3:$H$502,$A60,Trade_Reports!$M$3:$M$502,"APPROVED"),"")))</f>
        <v/>
      </c>
      <c r="M60" s="16" t="s">
        <v>46</v>
      </c>
      <c r="N60" s="15"/>
      <c r="O60" s="9" t="str">
        <f t="shared" si="0"/>
        <v/>
      </c>
      <c r="P60" s="20">
        <f>IF($A60="","",SUMIFS(Trade_Reports!$U$3:$U$502,Trade_Reports!$H$3:$H$502,$A60,Trade_Reports!$M$3:$M$502,"APPROVED",Trade_Reports!$Q$3:$Q$502,"&lt;="&amp;Settings!$B$4))</f>
        <v>0</v>
      </c>
      <c r="Q60" s="20">
        <f>IF($A60="","",SUMIFS(Trade_Reports!$U$3:$U$502,Trade_Reports!$H$3:$H$502,$A60,Trade_Reports!$M$3:$M$502,"APPROVED",Trade_Reports!$Q$3:$Q$502,"&lt;="&amp;Settings!$B$5))</f>
        <v>0</v>
      </c>
      <c r="R60" s="2" t="str">
        <f>IF($A60="","",IF($Q60=0,"",IFERROR(_xludf.MINIFS(Trade_Reports!$I$3:$I$502,Trade_Reports!$H$3:$H$502,$A60,Trade_Reports!$M$3:$M$502,"APPROVED",Trade_Reports!$Q$3:$Q$502,"&lt;="&amp;Settings!$B$5,Trade_Reports!$X$3:$X$502,"&gt;="&amp;0.5*$Q60),"")))</f>
        <v/>
      </c>
      <c r="S60" s="20">
        <f>IF($A60="","",COUNTIFS(Trade_Reports!$H$3:$H$502,$A60,Trade_Reports!$M$3:$M$502,"APPROVED",Trade_Reports!$Q$3:$Q$502,"&lt;="&amp;Settings!$B$5))</f>
        <v>0</v>
      </c>
      <c r="T60" s="2"/>
      <c r="U60" s="2"/>
      <c r="V60" s="21" t="str">
        <f>IF(OR($A60="",ISERROR(SEARCH("_",$A60))),"",IFERROR(SUMIFS(Trade_Reports!$Z$3:$Z$502,Trade_Reports!$H$3:$H$502,$A60,Trade_Reports!$M$3:$M$502,"APPROVED")/SUMIFS(Trade_Reports!$U$3:$U$502,Trade_Reports!$H$3:$H$502,$A60,Trade_Reports!$M$3:$M$502,"APPROVED"),""))</f>
        <v/>
      </c>
      <c r="W60" s="17" t="str">
        <f t="shared" si="1"/>
        <v/>
      </c>
      <c r="X60" s="2"/>
      <c r="Y60" s="2"/>
      <c r="Z60" s="2"/>
    </row>
    <row r="61" spans="1:26" ht="15.75" customHeight="1" x14ac:dyDescent="0.3">
      <c r="A61" s="23" t="s">
        <v>115</v>
      </c>
      <c r="B61" s="15"/>
      <c r="C61" s="16"/>
      <c r="D61" s="16"/>
      <c r="E61" s="16"/>
      <c r="F61" s="17" t="str">
        <f>IF($A61="","",IF($K61&lt;Settings!$B$14,"",IF($P61=0,"",IFERROR(_xludf.MINIFS(Trade_Reports!$I$3:$I$502,Trade_Reports!$H$3:$H$502,$A61,Trade_Reports!$M$3:$M$502,"APPROVED",Trade_Reports!$Q$3:$Q$502,"&lt;="&amp;Settings!$B$4,Trade_Reports!$W$3:$W$502,"&gt;="&amp;0.5*$P61),""))))</f>
        <v/>
      </c>
      <c r="G61" s="17" t="str">
        <f>IF($A61="","",IF($K61=0,"",IFERROR(_xludf.MINIFS(Trade_Reports!$I$3:$I$502,Trade_Reports!$H$3:$H$502,$A61,Trade_Reports!$M$3:$M$502,"APPROVED",Trade_Reports!$Q$3:$Q$502,"&lt;="&amp;Settings!$B$4),"")))</f>
        <v/>
      </c>
      <c r="H61" s="17" t="str">
        <f>IF($A61="","",IF($K61=0,"",IFERROR(_xludf.MAXIFS(Trade_Reports!$I$3:$I$502,Trade_Reports!$H$3:$H$502,$A61,Trade_Reports!$M$3:$M$502,"APPROVED",Trade_Reports!$Q$3:$Q$502,"&lt;="&amp;Settings!$B$4),"")))</f>
        <v/>
      </c>
      <c r="I61" s="17" t="str">
        <f>IF($A61="","",IF($F61="","",IF($Q61="","",IF(ABS($F61-$Q61)/$Q61&lt;=Settings!$B$18,"STABLE",IF($F61&gt;$Q61,"UP","DOWN")))))</f>
        <v/>
      </c>
      <c r="J61" s="18" t="str">
        <f>IF($A61="","",IF($K61=0,"",MIN(100,ROUND($K61/Settings!$B$14*100,0))))</f>
        <v/>
      </c>
      <c r="K61" s="17">
        <f>IF($A61="","",COUNTIFS(Trade_Reports!$H$3:$H$502,$A61,Trade_Reports!$M$3:$M$502,"APPROVED",Trade_Reports!$Q$3:$Q$502,"&lt;="&amp;Settings!$B$4))</f>
        <v>0</v>
      </c>
      <c r="L61" s="19" t="str">
        <f>IF($A61="","",IF($K61=0,"",IFERROR(_xludf.MAXIFS(Trade_Reports!$O$3:$O$502,Trade_Reports!$H$3:$H$502,$A61,Trade_Reports!$M$3:$M$502,"APPROVED"),"")))</f>
        <v/>
      </c>
      <c r="M61" s="16" t="s">
        <v>46</v>
      </c>
      <c r="N61" s="15"/>
      <c r="O61" s="9" t="str">
        <f t="shared" si="0"/>
        <v/>
      </c>
      <c r="P61" s="2">
        <f>IF($A61="","",SUMIFS(Trade_Reports!$U$3:$U$502,Trade_Reports!$H$3:$H$502,$A61,Trade_Reports!$M$3:$M$502,"APPROVED",Trade_Reports!$Q$3:$Q$502,"&lt;="&amp;Settings!$B$4))</f>
        <v>0</v>
      </c>
      <c r="Q61" s="2">
        <f>IF($A61="","",SUMIFS(Trade_Reports!$U$3:$U$502,Trade_Reports!$H$3:$H$502,$A61,Trade_Reports!$M$3:$M$502,"APPROVED",Trade_Reports!$Q$3:$Q$502,"&lt;="&amp;Settings!$B$5))</f>
        <v>0</v>
      </c>
      <c r="R61" s="2" t="str">
        <f>IF($A61="","",IF($Q61=0,"",IFERROR(_xludf.MINIFS(Trade_Reports!$I$3:$I$502,Trade_Reports!$H$3:$H$502,$A61,Trade_Reports!$M$3:$M$502,"APPROVED",Trade_Reports!$Q$3:$Q$502,"&lt;="&amp;Settings!$B$5,Trade_Reports!$X$3:$X$502,"&gt;="&amp;0.5*$Q61),"")))</f>
        <v/>
      </c>
      <c r="S61" s="2">
        <f>IF($A61="","",COUNTIFS(Trade_Reports!$H$3:$H$502,$A61,Trade_Reports!$M$3:$M$502,"APPROVED",Trade_Reports!$Q$3:$Q$502,"&lt;="&amp;Settings!$B$5))</f>
        <v>0</v>
      </c>
      <c r="T61" s="2"/>
      <c r="U61" s="2"/>
      <c r="V61" s="21" t="str">
        <f>IF(OR($A61="",ISERROR(SEARCH("_",$A61))),"",IFERROR(SUMIFS(Trade_Reports!$Z$3:$Z$502,Trade_Reports!$H$3:$H$502,$A61,Trade_Reports!$M$3:$M$502,"APPROVED")/SUMIFS(Trade_Reports!$U$3:$U$502,Trade_Reports!$H$3:$H$502,$A61,Trade_Reports!$M$3:$M$502,"APPROVED"),""))</f>
        <v/>
      </c>
      <c r="W61" s="17" t="str">
        <f t="shared" si="1"/>
        <v/>
      </c>
      <c r="X61" s="2"/>
      <c r="Y61" s="2"/>
      <c r="Z61" s="2"/>
    </row>
    <row r="62" spans="1:26" ht="15.75" customHeight="1" x14ac:dyDescent="0.3">
      <c r="A62" s="23" t="s">
        <v>116</v>
      </c>
      <c r="B62" s="15"/>
      <c r="C62" s="16"/>
      <c r="D62" s="16"/>
      <c r="E62" s="16"/>
      <c r="F62" s="17" t="str">
        <f>IF($A62="","",IF($K62&lt;Settings!$B$14,"",IF($P62=0,"",IFERROR(_xludf.MINIFS(Trade_Reports!$I$3:$I$502,Trade_Reports!$H$3:$H$502,$A62,Trade_Reports!$M$3:$M$502,"APPROVED",Trade_Reports!$Q$3:$Q$502,"&lt;="&amp;Settings!$B$4,Trade_Reports!$W$3:$W$502,"&gt;="&amp;0.5*$P62),""))))</f>
        <v/>
      </c>
      <c r="G62" s="17" t="str">
        <f>IF($A62="","",IF($K62=0,"",IFERROR(_xludf.MINIFS(Trade_Reports!$I$3:$I$502,Trade_Reports!$H$3:$H$502,$A62,Trade_Reports!$M$3:$M$502,"APPROVED",Trade_Reports!$Q$3:$Q$502,"&lt;="&amp;Settings!$B$4),"")))</f>
        <v/>
      </c>
      <c r="H62" s="17" t="str">
        <f>IF($A62="","",IF($K62=0,"",IFERROR(_xludf.MAXIFS(Trade_Reports!$I$3:$I$502,Trade_Reports!$H$3:$H$502,$A62,Trade_Reports!$M$3:$M$502,"APPROVED",Trade_Reports!$Q$3:$Q$502,"&lt;="&amp;Settings!$B$4),"")))</f>
        <v/>
      </c>
      <c r="I62" s="17" t="str">
        <f>IF($A62="","",IF($F62="","",IF($Q62="","",IF(ABS($F62-$Q62)/$Q62&lt;=Settings!$B$18,"STABLE",IF($F62&gt;$Q62,"UP","DOWN")))))</f>
        <v/>
      </c>
      <c r="J62" s="18" t="str">
        <f>IF($A62="","",IF($K62=0,"",MIN(100,ROUND($K62/Settings!$B$14*100,0))))</f>
        <v/>
      </c>
      <c r="K62" s="17">
        <f>IF($A62="","",COUNTIFS(Trade_Reports!$H$3:$H$502,$A62,Trade_Reports!$M$3:$M$502,"APPROVED",Trade_Reports!$Q$3:$Q$502,"&lt;="&amp;Settings!$B$4))</f>
        <v>0</v>
      </c>
      <c r="L62" s="19" t="str">
        <f>IF($A62="","",IF($K62=0,"",IFERROR(_xludf.MAXIFS(Trade_Reports!$O$3:$O$502,Trade_Reports!$H$3:$H$502,$A62,Trade_Reports!$M$3:$M$502,"APPROVED"),"")))</f>
        <v/>
      </c>
      <c r="M62" s="16" t="s">
        <v>46</v>
      </c>
      <c r="N62" s="15"/>
      <c r="O62" s="9" t="str">
        <f t="shared" si="0"/>
        <v/>
      </c>
      <c r="P62" s="2">
        <f>IF($A62="","",SUMIFS(Trade_Reports!$U$3:$U$502,Trade_Reports!$H$3:$H$502,$A62,Trade_Reports!$M$3:$M$502,"APPROVED",Trade_Reports!$Q$3:$Q$502,"&lt;="&amp;Settings!$B$4))</f>
        <v>0</v>
      </c>
      <c r="Q62" s="2">
        <f>IF($A62="","",SUMIFS(Trade_Reports!$U$3:$U$502,Trade_Reports!$H$3:$H$502,$A62,Trade_Reports!$M$3:$M$502,"APPROVED",Trade_Reports!$Q$3:$Q$502,"&lt;="&amp;Settings!$B$5))</f>
        <v>0</v>
      </c>
      <c r="R62" s="2" t="str">
        <f>IF($A62="","",IF($Q62=0,"",IFERROR(_xludf.MINIFS(Trade_Reports!$I$3:$I$502,Trade_Reports!$H$3:$H$502,$A62,Trade_Reports!$M$3:$M$502,"APPROVED",Trade_Reports!$Q$3:$Q$502,"&lt;="&amp;Settings!$B$5,Trade_Reports!$X$3:$X$502,"&gt;="&amp;0.5*$Q62),"")))</f>
        <v/>
      </c>
      <c r="S62" s="2">
        <f>IF($A62="","",COUNTIFS(Trade_Reports!$H$3:$H$502,$A62,Trade_Reports!$M$3:$M$502,"APPROVED",Trade_Reports!$Q$3:$Q$502,"&lt;="&amp;Settings!$B$5))</f>
        <v>0</v>
      </c>
      <c r="T62" s="2"/>
      <c r="U62" s="2"/>
      <c r="V62" s="21" t="str">
        <f>IF(OR($A62="",ISERROR(SEARCH("_",$A62))),"",IFERROR(SUMIFS(Trade_Reports!$Z$3:$Z$502,Trade_Reports!$H$3:$H$502,$A62,Trade_Reports!$M$3:$M$502,"APPROVED")/SUMIFS(Trade_Reports!$U$3:$U$502,Trade_Reports!$H$3:$H$502,$A62,Trade_Reports!$M$3:$M$502,"APPROVED"),""))</f>
        <v/>
      </c>
      <c r="W62" s="17" t="str">
        <f t="shared" si="1"/>
        <v/>
      </c>
      <c r="X62" s="2"/>
      <c r="Y62" s="2"/>
      <c r="Z62" s="2"/>
    </row>
    <row r="63" spans="1:26" ht="15.75" customHeight="1" x14ac:dyDescent="0.3">
      <c r="A63" s="23" t="s">
        <v>117</v>
      </c>
      <c r="B63" s="15"/>
      <c r="C63" s="16"/>
      <c r="D63" s="16"/>
      <c r="E63" s="16"/>
      <c r="F63" s="17" t="str">
        <f>IF($A63="","",IF($K63&lt;Settings!$B$14,"",IF($P63=0,"",IFERROR(_xludf.MINIFS(Trade_Reports!$I$3:$I$502,Trade_Reports!$H$3:$H$502,$A63,Trade_Reports!$M$3:$M$502,"APPROVED",Trade_Reports!$Q$3:$Q$502,"&lt;="&amp;Settings!$B$4,Trade_Reports!$W$3:$W$502,"&gt;="&amp;0.5*$P63),""))))</f>
        <v/>
      </c>
      <c r="G63" s="17" t="str">
        <f>IF($A63="","",IF($K63=0,"",IFERROR(_xludf.MINIFS(Trade_Reports!$I$3:$I$502,Trade_Reports!$H$3:$H$502,$A63,Trade_Reports!$M$3:$M$502,"APPROVED",Trade_Reports!$Q$3:$Q$502,"&lt;="&amp;Settings!$B$4),"")))</f>
        <v/>
      </c>
      <c r="H63" s="17" t="str">
        <f>IF($A63="","",IF($K63=0,"",IFERROR(_xludf.MAXIFS(Trade_Reports!$I$3:$I$502,Trade_Reports!$H$3:$H$502,$A63,Trade_Reports!$M$3:$M$502,"APPROVED",Trade_Reports!$Q$3:$Q$502,"&lt;="&amp;Settings!$B$4),"")))</f>
        <v/>
      </c>
      <c r="I63" s="17" t="str">
        <f>IF($A63="","",IF($F63="","",IF($Q63="","",IF(ABS($F63-$Q63)/$Q63&lt;=Settings!$B$18,"STABLE",IF($F63&gt;$Q63,"UP","DOWN")))))</f>
        <v/>
      </c>
      <c r="J63" s="18" t="str">
        <f>IF($A63="","",IF($K63=0,"",MIN(100,ROUND($K63/Settings!$B$14*100,0))))</f>
        <v/>
      </c>
      <c r="K63" s="17">
        <f>IF($A63="","",COUNTIFS(Trade_Reports!$H$3:$H$502,$A63,Trade_Reports!$M$3:$M$502,"APPROVED",Trade_Reports!$Q$3:$Q$502,"&lt;="&amp;Settings!$B$4))</f>
        <v>0</v>
      </c>
      <c r="L63" s="19" t="str">
        <f>IF($A63="","",IF($K63=0,"",IFERROR(_xludf.MAXIFS(Trade_Reports!$O$3:$O$502,Trade_Reports!$H$3:$H$502,$A63,Trade_Reports!$M$3:$M$502,"APPROVED"),"")))</f>
        <v/>
      </c>
      <c r="M63" s="16" t="s">
        <v>46</v>
      </c>
      <c r="N63" s="15"/>
      <c r="O63" s="9" t="str">
        <f t="shared" si="0"/>
        <v/>
      </c>
      <c r="P63" s="2">
        <f>IF($A63="","",SUMIFS(Trade_Reports!$U$3:$U$502,Trade_Reports!$H$3:$H$502,$A63,Trade_Reports!$M$3:$M$502,"APPROVED",Trade_Reports!$Q$3:$Q$502,"&lt;="&amp;Settings!$B$4))</f>
        <v>0</v>
      </c>
      <c r="Q63" s="2">
        <f>IF($A63="","",SUMIFS(Trade_Reports!$U$3:$U$502,Trade_Reports!$H$3:$H$502,$A63,Trade_Reports!$M$3:$M$502,"APPROVED",Trade_Reports!$Q$3:$Q$502,"&lt;="&amp;Settings!$B$5))</f>
        <v>0</v>
      </c>
      <c r="R63" s="2" t="str">
        <f>IF($A63="","",IF($Q63=0,"",IFERROR(_xludf.MINIFS(Trade_Reports!$I$3:$I$502,Trade_Reports!$H$3:$H$502,$A63,Trade_Reports!$M$3:$M$502,"APPROVED",Trade_Reports!$Q$3:$Q$502,"&lt;="&amp;Settings!$B$5,Trade_Reports!$X$3:$X$502,"&gt;="&amp;0.5*$Q63),"")))</f>
        <v/>
      </c>
      <c r="S63" s="2">
        <f>IF($A63="","",COUNTIFS(Trade_Reports!$H$3:$H$502,$A63,Trade_Reports!$M$3:$M$502,"APPROVED",Trade_Reports!$Q$3:$Q$502,"&lt;="&amp;Settings!$B$5))</f>
        <v>0</v>
      </c>
      <c r="T63" s="2"/>
      <c r="U63" s="2"/>
      <c r="V63" s="21" t="str">
        <f>IF(OR($A63="",ISERROR(SEARCH("_",$A63))),"",IFERROR(SUMIFS(Trade_Reports!$Z$3:$Z$502,Trade_Reports!$H$3:$H$502,$A63,Trade_Reports!$M$3:$M$502,"APPROVED")/SUMIFS(Trade_Reports!$U$3:$U$502,Trade_Reports!$H$3:$H$502,$A63,Trade_Reports!$M$3:$M$502,"APPROVED"),""))</f>
        <v/>
      </c>
      <c r="W63" s="17" t="str">
        <f t="shared" si="1"/>
        <v/>
      </c>
      <c r="X63" s="2"/>
      <c r="Y63" s="2"/>
      <c r="Z63" s="2"/>
    </row>
    <row r="64" spans="1:26" ht="15.75" customHeight="1" x14ac:dyDescent="0.3">
      <c r="A64" s="15" t="s">
        <v>118</v>
      </c>
      <c r="B64" s="15"/>
      <c r="C64" s="16"/>
      <c r="D64" s="16"/>
      <c r="E64" s="16"/>
      <c r="F64" s="17" t="str">
        <f>IF($A64="","",IF($K64&lt;Settings!$B$14,"",IF($P64=0,"",IFERROR(_xludf.MINIFS(Trade_Reports!$I$3:$I$502,Trade_Reports!$H$3:$H$502,$A64,Trade_Reports!$M$3:$M$502,"APPROVED",Trade_Reports!$Q$3:$Q$502,"&lt;="&amp;Settings!$B$4,Trade_Reports!$W$3:$W$502,"&gt;="&amp;0.5*$P64),""))))</f>
        <v/>
      </c>
      <c r="G64" s="17" t="str">
        <f>IF($A64="","",IF($K64=0,"",IFERROR(_xludf.MINIFS(Trade_Reports!$I$3:$I$502,Trade_Reports!$H$3:$H$502,$A64,Trade_Reports!$M$3:$M$502,"APPROVED",Trade_Reports!$Q$3:$Q$502,"&lt;="&amp;Settings!$B$4),"")))</f>
        <v/>
      </c>
      <c r="H64" s="17" t="str">
        <f>IF($A64="","",IF($K64=0,"",IFERROR(_xludf.MAXIFS(Trade_Reports!$I$3:$I$502,Trade_Reports!$H$3:$H$502,$A64,Trade_Reports!$M$3:$M$502,"APPROVED",Trade_Reports!$Q$3:$Q$502,"&lt;="&amp;Settings!$B$4),"")))</f>
        <v/>
      </c>
      <c r="I64" s="17" t="str">
        <f>IF($A64="","",IF($F64="","",IF($Q64="","",IF(ABS($F64-$Q64)/$Q64&lt;=Settings!$B$18,"STABLE",IF($F64&gt;$Q64,"UP","DOWN")))))</f>
        <v/>
      </c>
      <c r="J64" s="18" t="str">
        <f>IF($A64="","",IF($K64=0,"",MIN(100,ROUND($K64/Settings!$B$14*100,0))))</f>
        <v/>
      </c>
      <c r="K64" s="17">
        <f>IF($A64="","",COUNTIFS(Trade_Reports!$H$3:$H$502,$A64,Trade_Reports!$M$3:$M$502,"APPROVED",Trade_Reports!$Q$3:$Q$502,"&lt;="&amp;Settings!$B$4))</f>
        <v>0</v>
      </c>
      <c r="L64" s="19" t="str">
        <f>IF($A64="","",IF($K64=0,"",IFERROR(_xludf.MAXIFS(Trade_Reports!$O$3:$O$502,Trade_Reports!$H$3:$H$502,$A64,Trade_Reports!$M$3:$M$502,"APPROVED"),"")))</f>
        <v/>
      </c>
      <c r="M64" s="16" t="s">
        <v>46</v>
      </c>
      <c r="N64" s="15"/>
      <c r="O64" s="9" t="str">
        <f t="shared" si="0"/>
        <v/>
      </c>
      <c r="P64" s="2">
        <f>IF($A64="","",SUMIFS(Trade_Reports!$U$3:$U$502,Trade_Reports!$H$3:$H$502,$A64,Trade_Reports!$M$3:$M$502,"APPROVED",Trade_Reports!$Q$3:$Q$502,"&lt;="&amp;Settings!$B$4))</f>
        <v>0</v>
      </c>
      <c r="Q64" s="2">
        <f>IF($A64="","",SUMIFS(Trade_Reports!$U$3:$U$502,Trade_Reports!$H$3:$H$502,$A64,Trade_Reports!$M$3:$M$502,"APPROVED",Trade_Reports!$Q$3:$Q$502,"&lt;="&amp;Settings!$B$5))</f>
        <v>0</v>
      </c>
      <c r="R64" s="2" t="str">
        <f>IF($A64="","",IF($Q64=0,"",IFERROR(_xludf.MINIFS(Trade_Reports!$I$3:$I$502,Trade_Reports!$H$3:$H$502,$A64,Trade_Reports!$M$3:$M$502,"APPROVED",Trade_Reports!$Q$3:$Q$502,"&lt;="&amp;Settings!$B$5,Trade_Reports!$X$3:$X$502,"&gt;="&amp;0.5*$Q64),"")))</f>
        <v/>
      </c>
      <c r="S64" s="2">
        <f>IF($A64="","",COUNTIFS(Trade_Reports!$H$3:$H$502,$A64,Trade_Reports!$M$3:$M$502,"APPROVED",Trade_Reports!$Q$3:$Q$502,"&lt;="&amp;Settings!$B$5))</f>
        <v>0</v>
      </c>
      <c r="T64" s="2"/>
      <c r="U64" s="2"/>
      <c r="V64" s="21" t="str">
        <f>IF(OR($A64="",ISERROR(SEARCH("_",$A64))),"",IFERROR(SUMIFS(Trade_Reports!$Z$3:$Z$502,Trade_Reports!$H$3:$H$502,$A64,Trade_Reports!$M$3:$M$502,"APPROVED")/SUMIFS(Trade_Reports!$U$3:$U$502,Trade_Reports!$H$3:$H$502,$A64,Trade_Reports!$M$3:$M$502,"APPROVED"),""))</f>
        <v/>
      </c>
      <c r="W64" s="17" t="str">
        <f t="shared" si="1"/>
        <v/>
      </c>
      <c r="X64" s="2"/>
      <c r="Y64" s="2"/>
      <c r="Z64" s="2"/>
    </row>
    <row r="65" spans="1:26" ht="15.75" customHeight="1" x14ac:dyDescent="0.3">
      <c r="A65" s="15" t="s">
        <v>119</v>
      </c>
      <c r="B65" s="15"/>
      <c r="C65" s="16"/>
      <c r="D65" s="16"/>
      <c r="E65" s="16"/>
      <c r="F65" s="17" t="str">
        <f>IF($A65="","",IF($K65&lt;Settings!$B$14,"",IF($P65=0,"",IFERROR(_xludf.MINIFS(Trade_Reports!$I$3:$I$502,Trade_Reports!$H$3:$H$502,$A65,Trade_Reports!$M$3:$M$502,"APPROVED",Trade_Reports!$Q$3:$Q$502,"&lt;="&amp;Settings!$B$4,Trade_Reports!$W$3:$W$502,"&gt;="&amp;0.5*$P65),""))))</f>
        <v/>
      </c>
      <c r="G65" s="17" t="str">
        <f>IF($A65="","",IF($K65=0,"",IFERROR(_xludf.MINIFS(Trade_Reports!$I$3:$I$502,Trade_Reports!$H$3:$H$502,$A65,Trade_Reports!$M$3:$M$502,"APPROVED",Trade_Reports!$Q$3:$Q$502,"&lt;="&amp;Settings!$B$4),"")))</f>
        <v/>
      </c>
      <c r="H65" s="17" t="str">
        <f>IF($A65="","",IF($K65=0,"",IFERROR(_xludf.MAXIFS(Trade_Reports!$I$3:$I$502,Trade_Reports!$H$3:$H$502,$A65,Trade_Reports!$M$3:$M$502,"APPROVED",Trade_Reports!$Q$3:$Q$502,"&lt;="&amp;Settings!$B$4),"")))</f>
        <v/>
      </c>
      <c r="I65" s="17" t="str">
        <f>IF($A65="","",IF($F65="","",IF($Q65="","",IF(ABS($F65-$Q65)/$Q65&lt;=Settings!$B$18,"STABLE",IF($F65&gt;$Q65,"UP","DOWN")))))</f>
        <v/>
      </c>
      <c r="J65" s="18" t="str">
        <f>IF($A65="","",IF($K65=0,"",MIN(100,ROUND($K65/Settings!$B$14*100,0))))</f>
        <v/>
      </c>
      <c r="K65" s="17">
        <f>IF($A65="","",COUNTIFS(Trade_Reports!$H$3:$H$502,$A65,Trade_Reports!$M$3:$M$502,"APPROVED",Trade_Reports!$Q$3:$Q$502,"&lt;="&amp;Settings!$B$4))</f>
        <v>0</v>
      </c>
      <c r="L65" s="19" t="str">
        <f>IF($A65="","",IF($K65=0,"",IFERROR(_xludf.MAXIFS(Trade_Reports!$O$3:$O$502,Trade_Reports!$H$3:$H$502,$A65,Trade_Reports!$M$3:$M$502,"APPROVED"),"")))</f>
        <v/>
      </c>
      <c r="M65" s="16" t="s">
        <v>46</v>
      </c>
      <c r="N65" s="15"/>
      <c r="O65" s="9" t="str">
        <f t="shared" si="0"/>
        <v/>
      </c>
      <c r="P65" s="2">
        <f>IF($A65="","",SUMIFS(Trade_Reports!$U$3:$U$502,Trade_Reports!$H$3:$H$502,$A65,Trade_Reports!$M$3:$M$502,"APPROVED",Trade_Reports!$Q$3:$Q$502,"&lt;="&amp;Settings!$B$4))</f>
        <v>0</v>
      </c>
      <c r="Q65" s="2">
        <f>IF($A65="","",SUMIFS(Trade_Reports!$U$3:$U$502,Trade_Reports!$H$3:$H$502,$A65,Trade_Reports!$M$3:$M$502,"APPROVED",Trade_Reports!$Q$3:$Q$502,"&lt;="&amp;Settings!$B$5))</f>
        <v>0</v>
      </c>
      <c r="R65" s="2" t="str">
        <f>IF($A65="","",IF($Q65=0,"",IFERROR(_xludf.MINIFS(Trade_Reports!$I$3:$I$502,Trade_Reports!$H$3:$H$502,$A65,Trade_Reports!$M$3:$M$502,"APPROVED",Trade_Reports!$Q$3:$Q$502,"&lt;="&amp;Settings!$B$5,Trade_Reports!$X$3:$X$502,"&gt;="&amp;0.5*$Q65),"")))</f>
        <v/>
      </c>
      <c r="S65" s="2">
        <f>IF($A65="","",COUNTIFS(Trade_Reports!$H$3:$H$502,$A65,Trade_Reports!$M$3:$M$502,"APPROVED",Trade_Reports!$Q$3:$Q$502,"&lt;="&amp;Settings!$B$5))</f>
        <v>0</v>
      </c>
      <c r="T65" s="2"/>
      <c r="U65" s="2"/>
      <c r="V65" s="21" t="str">
        <f>IF(OR($A65="",ISERROR(SEARCH("_",$A65))),"",IFERROR(SUMIFS(Trade_Reports!$Z$3:$Z$502,Trade_Reports!$H$3:$H$502,$A65,Trade_Reports!$M$3:$M$502,"APPROVED")/SUMIFS(Trade_Reports!$U$3:$U$502,Trade_Reports!$H$3:$H$502,$A65,Trade_Reports!$M$3:$M$502,"APPROVED"),""))</f>
        <v/>
      </c>
      <c r="W65" s="17" t="str">
        <f t="shared" si="1"/>
        <v/>
      </c>
      <c r="X65" s="2"/>
      <c r="Y65" s="2"/>
      <c r="Z65" s="2"/>
    </row>
    <row r="66" spans="1:26" ht="15.75" customHeight="1" x14ac:dyDescent="0.3">
      <c r="A66" s="15" t="s">
        <v>120</v>
      </c>
      <c r="B66" s="15"/>
      <c r="C66" s="16"/>
      <c r="D66" s="16"/>
      <c r="E66" s="16"/>
      <c r="F66" s="17" t="str">
        <f>IF($A66="","",IF($K66&lt;Settings!$B$14,"",IF($P66=0,"",IFERROR(_xludf.MINIFS(Trade_Reports!$I$3:$I$502,Trade_Reports!$H$3:$H$502,$A66,Trade_Reports!$M$3:$M$502,"APPROVED",Trade_Reports!$Q$3:$Q$502,"&lt;="&amp;Settings!$B$4,Trade_Reports!$W$3:$W$502,"&gt;="&amp;0.5*$P66),""))))</f>
        <v/>
      </c>
      <c r="G66" s="17" t="str">
        <f>IF($A66="","",IF($K66=0,"",IFERROR(_xludf.MINIFS(Trade_Reports!$I$3:$I$502,Trade_Reports!$H$3:$H$502,$A66,Trade_Reports!$M$3:$M$502,"APPROVED",Trade_Reports!$Q$3:$Q$502,"&lt;="&amp;Settings!$B$4),"")))</f>
        <v/>
      </c>
      <c r="H66" s="17" t="str">
        <f>IF($A66="","",IF($K66=0,"",IFERROR(_xludf.MAXIFS(Trade_Reports!$I$3:$I$502,Trade_Reports!$H$3:$H$502,$A66,Trade_Reports!$M$3:$M$502,"APPROVED",Trade_Reports!$Q$3:$Q$502,"&lt;="&amp;Settings!$B$4),"")))</f>
        <v/>
      </c>
      <c r="I66" s="17" t="str">
        <f>IF($A66="","",IF($F66="","",IF($Q66="","",IF(ABS($F66-$Q66)/$Q66&lt;=Settings!$B$18,"STABLE",IF($F66&gt;$Q66,"UP","DOWN")))))</f>
        <v/>
      </c>
      <c r="J66" s="18" t="str">
        <f>IF($A66="","",IF($K66=0,"",MIN(100,ROUND($K66/Settings!$B$14*100,0))))</f>
        <v/>
      </c>
      <c r="K66" s="17">
        <f>IF($A66="","",COUNTIFS(Trade_Reports!$H$3:$H$502,$A66,Trade_Reports!$M$3:$M$502,"APPROVED",Trade_Reports!$Q$3:$Q$502,"&lt;="&amp;Settings!$B$4))</f>
        <v>0</v>
      </c>
      <c r="L66" s="19" t="str">
        <f>IF($A66="","",IF($K66=0,"",IFERROR(_xludf.MAXIFS(Trade_Reports!$O$3:$O$502,Trade_Reports!$H$3:$H$502,$A66,Trade_Reports!$M$3:$M$502,"APPROVED"),"")))</f>
        <v/>
      </c>
      <c r="M66" s="16" t="s">
        <v>46</v>
      </c>
      <c r="N66" s="15"/>
      <c r="O66" s="9" t="str">
        <f t="shared" si="0"/>
        <v/>
      </c>
      <c r="P66" s="2">
        <f>IF($A66="","",SUMIFS(Trade_Reports!$U$3:$U$502,Trade_Reports!$H$3:$H$502,$A66,Trade_Reports!$M$3:$M$502,"APPROVED",Trade_Reports!$Q$3:$Q$502,"&lt;="&amp;Settings!$B$4))</f>
        <v>0</v>
      </c>
      <c r="Q66" s="2">
        <f>IF($A66="","",SUMIFS(Trade_Reports!$U$3:$U$502,Trade_Reports!$H$3:$H$502,$A66,Trade_Reports!$M$3:$M$502,"APPROVED",Trade_Reports!$Q$3:$Q$502,"&lt;="&amp;Settings!$B$5))</f>
        <v>0</v>
      </c>
      <c r="R66" s="2" t="str">
        <f>IF($A66="","",IF($Q66=0,"",IFERROR(_xludf.MINIFS(Trade_Reports!$I$3:$I$502,Trade_Reports!$H$3:$H$502,$A66,Trade_Reports!$M$3:$M$502,"APPROVED",Trade_Reports!$Q$3:$Q$502,"&lt;="&amp;Settings!$B$5,Trade_Reports!$X$3:$X$502,"&gt;="&amp;0.5*$Q66),"")))</f>
        <v/>
      </c>
      <c r="S66" s="2">
        <f>IF($A66="","",COUNTIFS(Trade_Reports!$H$3:$H$502,$A66,Trade_Reports!$M$3:$M$502,"APPROVED",Trade_Reports!$Q$3:$Q$502,"&lt;="&amp;Settings!$B$5))</f>
        <v>0</v>
      </c>
      <c r="T66" s="2"/>
      <c r="U66" s="2"/>
      <c r="V66" s="21" t="str">
        <f>IF(OR($A66="",ISERROR(SEARCH("_",$A66))),"",IFERROR(SUMIFS(Trade_Reports!$Z$3:$Z$502,Trade_Reports!$H$3:$H$502,$A66,Trade_Reports!$M$3:$M$502,"APPROVED")/SUMIFS(Trade_Reports!$U$3:$U$502,Trade_Reports!$H$3:$H$502,$A66,Trade_Reports!$M$3:$M$502,"APPROVED"),""))</f>
        <v/>
      </c>
      <c r="W66" s="17" t="str">
        <f t="shared" si="1"/>
        <v/>
      </c>
      <c r="X66" s="2"/>
      <c r="Y66" s="2"/>
      <c r="Z66" s="2"/>
    </row>
    <row r="67" spans="1:26" ht="15.75" customHeight="1" x14ac:dyDescent="0.3">
      <c r="A67" s="15" t="s">
        <v>121</v>
      </c>
      <c r="B67" s="15"/>
      <c r="C67" s="16"/>
      <c r="D67" s="16"/>
      <c r="E67" s="16"/>
      <c r="F67" s="17" t="str">
        <f>IF($A67="","",IF($K67&lt;Settings!$B$14,"",IF($P67=0,"",IFERROR(_xludf.MINIFS(Trade_Reports!$I$3:$I$502,Trade_Reports!$H$3:$H$502,$A67,Trade_Reports!$M$3:$M$502,"APPROVED",Trade_Reports!$Q$3:$Q$502,"&lt;="&amp;Settings!$B$4,Trade_Reports!$W$3:$W$502,"&gt;="&amp;0.5*$P67),""))))</f>
        <v/>
      </c>
      <c r="G67" s="17" t="str">
        <f>IF($A67="","",IF($K67=0,"",IFERROR(_xludf.MINIFS(Trade_Reports!$I$3:$I$502,Trade_Reports!$H$3:$H$502,$A67,Trade_Reports!$M$3:$M$502,"APPROVED",Trade_Reports!$Q$3:$Q$502,"&lt;="&amp;Settings!$B$4),"")))</f>
        <v/>
      </c>
      <c r="H67" s="17" t="str">
        <f>IF($A67="","",IF($K67=0,"",IFERROR(_xludf.MAXIFS(Trade_Reports!$I$3:$I$502,Trade_Reports!$H$3:$H$502,$A67,Trade_Reports!$M$3:$M$502,"APPROVED",Trade_Reports!$Q$3:$Q$502,"&lt;="&amp;Settings!$B$4),"")))</f>
        <v/>
      </c>
      <c r="I67" s="17" t="str">
        <f>IF($A67="","",IF($F67="","",IF($Q67="","",IF(ABS($F67-$Q67)/$Q67&lt;=Settings!$B$18,"STABLE",IF($F67&gt;$Q67,"UP","DOWN")))))</f>
        <v/>
      </c>
      <c r="J67" s="18" t="str">
        <f>IF($A67="","",IF($K67=0,"",MIN(100,ROUND($K67/Settings!$B$14*100,0))))</f>
        <v/>
      </c>
      <c r="K67" s="17">
        <f>IF($A67="","",COUNTIFS(Trade_Reports!$H$3:$H$502,$A67,Trade_Reports!$M$3:$M$502,"APPROVED",Trade_Reports!$Q$3:$Q$502,"&lt;="&amp;Settings!$B$4))</f>
        <v>0</v>
      </c>
      <c r="L67" s="19" t="str">
        <f>IF($A67="","",IF($K67=0,"",IFERROR(_xludf.MAXIFS(Trade_Reports!$O$3:$O$502,Trade_Reports!$H$3:$H$502,$A67,Trade_Reports!$M$3:$M$502,"APPROVED"),"")))</f>
        <v/>
      </c>
      <c r="M67" s="16" t="s">
        <v>46</v>
      </c>
      <c r="N67" s="15"/>
      <c r="O67" s="9" t="str">
        <f t="shared" si="0"/>
        <v/>
      </c>
      <c r="P67" s="2">
        <f>IF($A67="","",SUMIFS(Trade_Reports!$U$3:$U$502,Trade_Reports!$H$3:$H$502,$A67,Trade_Reports!$M$3:$M$502,"APPROVED",Trade_Reports!$Q$3:$Q$502,"&lt;="&amp;Settings!$B$4))</f>
        <v>0</v>
      </c>
      <c r="Q67" s="2">
        <f>IF($A67="","",SUMIFS(Trade_Reports!$U$3:$U$502,Trade_Reports!$H$3:$H$502,$A67,Trade_Reports!$M$3:$M$502,"APPROVED",Trade_Reports!$Q$3:$Q$502,"&lt;="&amp;Settings!$B$5))</f>
        <v>0</v>
      </c>
      <c r="R67" s="2" t="str">
        <f>IF($A67="","",IF($Q67=0,"",IFERROR(_xludf.MINIFS(Trade_Reports!$I$3:$I$502,Trade_Reports!$H$3:$H$502,$A67,Trade_Reports!$M$3:$M$502,"APPROVED",Trade_Reports!$Q$3:$Q$502,"&lt;="&amp;Settings!$B$5,Trade_Reports!$X$3:$X$502,"&gt;="&amp;0.5*$Q67),"")))</f>
        <v/>
      </c>
      <c r="S67" s="2">
        <f>IF($A67="","",COUNTIFS(Trade_Reports!$H$3:$H$502,$A67,Trade_Reports!$M$3:$M$502,"APPROVED",Trade_Reports!$Q$3:$Q$502,"&lt;="&amp;Settings!$B$5))</f>
        <v>0</v>
      </c>
      <c r="T67" s="2"/>
      <c r="U67" s="2"/>
      <c r="V67" s="21" t="str">
        <f>IF(OR($A67="",ISERROR(SEARCH("_",$A67))),"",IFERROR(SUMIFS(Trade_Reports!$Z$3:$Z$502,Trade_Reports!$H$3:$H$502,$A67,Trade_Reports!$M$3:$M$502,"APPROVED")/SUMIFS(Trade_Reports!$U$3:$U$502,Trade_Reports!$H$3:$H$502,$A67,Trade_Reports!$M$3:$M$502,"APPROVED"),""))</f>
        <v/>
      </c>
      <c r="W67" s="17" t="str">
        <f t="shared" si="1"/>
        <v/>
      </c>
      <c r="X67" s="2"/>
      <c r="Y67" s="2"/>
      <c r="Z67" s="2"/>
    </row>
    <row r="68" spans="1:26" ht="15.75" customHeight="1" x14ac:dyDescent="0.3">
      <c r="A68" s="15"/>
      <c r="B68" s="15"/>
      <c r="C68" s="16"/>
      <c r="D68" s="16"/>
      <c r="E68" s="16"/>
      <c r="F68" s="17" t="str">
        <f>IF($A68="","",IF($K68&lt;Settings!$B$14,"",IF($P68=0,"",IFERROR(_xludf.MINIFS(Trade_Reports!$I$3:$I$502,Trade_Reports!$H$3:$H$502,$A68,Trade_Reports!$M$3:$M$502,"APPROVED",Trade_Reports!$Q$3:$Q$502,"&lt;="&amp;Settings!$B$4,Trade_Reports!$W$3:$W$502,"&gt;="&amp;0.5*$P68),""))))</f>
        <v/>
      </c>
      <c r="G68" s="17" t="str">
        <f>IF($A68="","",IF($K68=0,"",IFERROR(_xludf.MINIFS(Trade_Reports!$I$3:$I$502,Trade_Reports!$H$3:$H$502,$A68,Trade_Reports!$M$3:$M$502,"APPROVED",Trade_Reports!$Q$3:$Q$502,"&lt;="&amp;Settings!$B$4),"")))</f>
        <v/>
      </c>
      <c r="H68" s="17" t="str">
        <f>IF($A68="","",IF($K68=0,"",IFERROR(_xludf.MAXIFS(Trade_Reports!$I$3:$I$502,Trade_Reports!$H$3:$H$502,$A68,Trade_Reports!$M$3:$M$502,"APPROVED",Trade_Reports!$Q$3:$Q$502,"&lt;="&amp;Settings!$B$4),"")))</f>
        <v/>
      </c>
      <c r="I68" s="17" t="str">
        <f>IF($A68="","",IF($F68="","",IF($Q68="","",IF(ABS($F68-$Q68)/$Q68&lt;=Settings!$B$18,"STABLE",IF($F68&gt;$Q68,"UP","DOWN")))))</f>
        <v/>
      </c>
      <c r="J68" s="18" t="str">
        <f>IF($A68="","",IF($K68=0,"",MIN(100,ROUND($K68/Settings!$B$14*100,0))))</f>
        <v/>
      </c>
      <c r="K68" s="17" t="str">
        <f>IF($A68="","",COUNTIFS(Trade_Reports!$H$3:$H$502,$A68,Trade_Reports!$M$3:$M$502,"APPROVED",Trade_Reports!$Q$3:$Q$502,"&lt;="&amp;Settings!$B$4))</f>
        <v/>
      </c>
      <c r="L68" s="19" t="str">
        <f>IF($A68="","",IF($K68=0,"",IFERROR(_xludf.MAXIFS(Trade_Reports!$O$3:$O$502,Trade_Reports!$H$3:$H$502,$A68,Trade_Reports!$M$3:$M$502,"APPROVED"),"")))</f>
        <v/>
      </c>
      <c r="M68" s="16" t="s">
        <v>46</v>
      </c>
      <c r="N68" s="15"/>
      <c r="O68" s="9" t="str">
        <f t="shared" si="0"/>
        <v/>
      </c>
      <c r="P68" s="2" t="str">
        <f>IF($A68="","",SUMIFS(Trade_Reports!$U$3:$U$502,Trade_Reports!$H$3:$H$502,$A68,Trade_Reports!$M$3:$M$502,"APPROVED",Trade_Reports!$Q$3:$Q$502,"&lt;="&amp;Settings!$B$4))</f>
        <v/>
      </c>
      <c r="Q68" s="2" t="str">
        <f>IF($A68="","",SUMIFS(Trade_Reports!$U$3:$U$502,Trade_Reports!$H$3:$H$502,$A68,Trade_Reports!$M$3:$M$502,"APPROVED",Trade_Reports!$Q$3:$Q$502,"&lt;="&amp;Settings!$B$5))</f>
        <v/>
      </c>
      <c r="R68" s="2" t="str">
        <f>IF($A68="","",IF($Q68=0,"",IFERROR(_xludf.MINIFS(Trade_Reports!$I$3:$I$502,Trade_Reports!$H$3:$H$502,$A68,Trade_Reports!$M$3:$M$502,"APPROVED",Trade_Reports!$Q$3:$Q$502,"&lt;="&amp;Settings!$B$5,Trade_Reports!$X$3:$X$502,"&gt;="&amp;0.5*$Q68),"")))</f>
        <v/>
      </c>
      <c r="S68" s="2" t="str">
        <f>IF($A68="","",COUNTIFS(Trade_Reports!$H$3:$H$502,$A68,Trade_Reports!$M$3:$M$502,"APPROVED",Trade_Reports!$Q$3:$Q$502,"&lt;="&amp;Settings!$B$5))</f>
        <v/>
      </c>
      <c r="T68" s="2"/>
      <c r="U68" s="2"/>
      <c r="V68" s="21" t="str">
        <f>IF(OR($A68="",ISERROR(SEARCH("_",$A68))),"",IFERROR(SUMIFS(Trade_Reports!$Z$3:$Z$502,Trade_Reports!$H$3:$H$502,$A68,Trade_Reports!$M$3:$M$502,"APPROVED")/SUMIFS(Trade_Reports!$U$3:$U$502,Trade_Reports!$H$3:$H$502,$A68,Trade_Reports!$M$3:$M$502,"APPROVED"),""))</f>
        <v/>
      </c>
      <c r="W68" s="17" t="str">
        <f t="shared" si="1"/>
        <v/>
      </c>
      <c r="X68" s="2"/>
      <c r="Y68" s="2"/>
      <c r="Z68" s="2"/>
    </row>
    <row r="69" spans="1:26" ht="15.75" customHeight="1" x14ac:dyDescent="0.3">
      <c r="A69" s="15"/>
      <c r="B69" s="15"/>
      <c r="C69" s="16"/>
      <c r="D69" s="16"/>
      <c r="E69" s="16"/>
      <c r="F69" s="17" t="str">
        <f>IF($A69="","",IF($K69&lt;Settings!$B$14,"",IF($P69=0,"",IFERROR(_xludf.MINIFS(Trade_Reports!$I$3:$I$502,Trade_Reports!$H$3:$H$502,$A69,Trade_Reports!$M$3:$M$502,"APPROVED",Trade_Reports!$Q$3:$Q$502,"&lt;="&amp;Settings!$B$4,Trade_Reports!$W$3:$W$502,"&gt;="&amp;0.5*$P69),""))))</f>
        <v/>
      </c>
      <c r="G69" s="17" t="str">
        <f>IF($A69="","",IF($K69=0,"",IFERROR(_xludf.MINIFS(Trade_Reports!$I$3:$I$502,Trade_Reports!$H$3:$H$502,$A69,Trade_Reports!$M$3:$M$502,"APPROVED",Trade_Reports!$Q$3:$Q$502,"&lt;="&amp;Settings!$B$4),"")))</f>
        <v/>
      </c>
      <c r="H69" s="17" t="str">
        <f>IF($A69="","",IF($K69=0,"",IFERROR(_xludf.MAXIFS(Trade_Reports!$I$3:$I$502,Trade_Reports!$H$3:$H$502,$A69,Trade_Reports!$M$3:$M$502,"APPROVED",Trade_Reports!$Q$3:$Q$502,"&lt;="&amp;Settings!$B$4),"")))</f>
        <v/>
      </c>
      <c r="I69" s="17" t="str">
        <f>IF($A69="","",IF($F69="","",IF($Q69="","",IF(ABS($F69-$Q69)/$Q69&lt;=Settings!$B$18,"STABLE",IF($F69&gt;$Q69,"UP","DOWN")))))</f>
        <v/>
      </c>
      <c r="J69" s="18" t="str">
        <f>IF($A69="","",IF($K69=0,"",MIN(100,ROUND($K69/Settings!$B$14*100,0))))</f>
        <v/>
      </c>
      <c r="K69" s="17" t="str">
        <f>IF($A69="","",COUNTIFS(Trade_Reports!$H$3:$H$502,$A69,Trade_Reports!$M$3:$M$502,"APPROVED",Trade_Reports!$Q$3:$Q$502,"&lt;="&amp;Settings!$B$4))</f>
        <v/>
      </c>
      <c r="L69" s="19" t="str">
        <f>IF($A69="","",IF($K69=0,"",IFERROR(_xludf.MAXIFS(Trade_Reports!$O$3:$O$502,Trade_Reports!$H$3:$H$502,$A69,Trade_Reports!$M$3:$M$502,"APPROVED"),"")))</f>
        <v/>
      </c>
      <c r="M69" s="16" t="s">
        <v>46</v>
      </c>
      <c r="N69" s="15"/>
      <c r="O69" s="9" t="str">
        <f t="shared" si="0"/>
        <v/>
      </c>
      <c r="P69" s="2" t="str">
        <f>IF($A69="","",SUMIFS(Trade_Reports!$U$3:$U$502,Trade_Reports!$H$3:$H$502,$A69,Trade_Reports!$M$3:$M$502,"APPROVED",Trade_Reports!$Q$3:$Q$502,"&lt;="&amp;Settings!$B$4))</f>
        <v/>
      </c>
      <c r="Q69" s="2" t="str">
        <f>IF($A69="","",SUMIFS(Trade_Reports!$U$3:$U$502,Trade_Reports!$H$3:$H$502,$A69,Trade_Reports!$M$3:$M$502,"APPROVED",Trade_Reports!$Q$3:$Q$502,"&lt;="&amp;Settings!$B$5))</f>
        <v/>
      </c>
      <c r="R69" s="2" t="str">
        <f>IF($A69="","",IF($Q69=0,"",IFERROR(_xludf.MINIFS(Trade_Reports!$I$3:$I$502,Trade_Reports!$H$3:$H$502,$A69,Trade_Reports!$M$3:$M$502,"APPROVED",Trade_Reports!$Q$3:$Q$502,"&lt;="&amp;Settings!$B$5,Trade_Reports!$X$3:$X$502,"&gt;="&amp;0.5*$Q69),"")))</f>
        <v/>
      </c>
      <c r="S69" s="2" t="str">
        <f>IF($A69="","",COUNTIFS(Trade_Reports!$H$3:$H$502,$A69,Trade_Reports!$M$3:$M$502,"APPROVED",Trade_Reports!$Q$3:$Q$502,"&lt;="&amp;Settings!$B$5))</f>
        <v/>
      </c>
      <c r="T69" s="2"/>
      <c r="U69" s="2"/>
      <c r="V69" s="21" t="str">
        <f>IF(OR($A69="",ISERROR(SEARCH("_",$A69))),"",IFERROR(SUMIFS(Trade_Reports!$Z$3:$Z$502,Trade_Reports!$H$3:$H$502,$A69,Trade_Reports!$M$3:$M$502,"APPROVED")/SUMIFS(Trade_Reports!$U$3:$U$502,Trade_Reports!$H$3:$H$502,$A69,Trade_Reports!$M$3:$M$502,"APPROVED"),""))</f>
        <v/>
      </c>
      <c r="W69" s="17" t="str">
        <f t="shared" si="1"/>
        <v/>
      </c>
      <c r="X69" s="2"/>
      <c r="Y69" s="2"/>
      <c r="Z69" s="2"/>
    </row>
    <row r="70" spans="1:26" ht="15.75" customHeight="1" x14ac:dyDescent="0.3">
      <c r="A70" s="22" t="s">
        <v>122</v>
      </c>
      <c r="B70" s="15"/>
      <c r="C70" s="16"/>
      <c r="D70" s="16"/>
      <c r="E70" s="16"/>
      <c r="F70" s="17" t="str">
        <f>IF($A70="","",IF($K70&lt;Settings!$B$14,"",IF($P70=0,"",IFERROR(_xludf.MINIFS(Trade_Reports!$I$3:$I$502,Trade_Reports!$H$3:$H$502,$A70,Trade_Reports!$M$3:$M$502,"APPROVED",Trade_Reports!$Q$3:$Q$502,"&lt;="&amp;Settings!$B$4,Trade_Reports!$W$3:$W$502,"&gt;="&amp;0.5*$P70),""))))</f>
        <v/>
      </c>
      <c r="G70" s="17" t="str">
        <f>IF($A70="","",IF($K70=0,"",IFERROR(_xludf.MINIFS(Trade_Reports!$I$3:$I$502,Trade_Reports!$H$3:$H$502,$A70,Trade_Reports!$M$3:$M$502,"APPROVED",Trade_Reports!$Q$3:$Q$502,"&lt;="&amp;Settings!$B$4),"")))</f>
        <v/>
      </c>
      <c r="H70" s="17" t="str">
        <f>IF($A70="","",IF($K70=0,"",IFERROR(_xludf.MAXIFS(Trade_Reports!$I$3:$I$502,Trade_Reports!$H$3:$H$502,$A70,Trade_Reports!$M$3:$M$502,"APPROVED",Trade_Reports!$Q$3:$Q$502,"&lt;="&amp;Settings!$B$4),"")))</f>
        <v/>
      </c>
      <c r="I70" s="17" t="str">
        <f>IF($A70="","",IF($F70="","",IF($Q70="","",IF(ABS($F70-$Q70)/$Q70&lt;=Settings!$B$18,"STABLE",IF($F70&gt;$Q70,"UP","DOWN")))))</f>
        <v/>
      </c>
      <c r="J70" s="18" t="str">
        <f>IF($A70="","",IF($K70=0,"",MIN(100,ROUND($K70/Settings!$B$14*100,0))))</f>
        <v/>
      </c>
      <c r="K70" s="17">
        <f>IF($A70="","",COUNTIFS(Trade_Reports!$H$3:$H$502,$A70,Trade_Reports!$M$3:$M$502,"APPROVED",Trade_Reports!$Q$3:$Q$502,"&lt;="&amp;Settings!$B$4))</f>
        <v>0</v>
      </c>
      <c r="L70" s="19" t="str">
        <f>IF($A70="","",IF($K70=0,"",IFERROR(_xludf.MAXIFS(Trade_Reports!$O$3:$O$502,Trade_Reports!$H$3:$H$502,$A70,Trade_Reports!$M$3:$M$502,"APPROVED"),"")))</f>
        <v/>
      </c>
      <c r="M70" s="16" t="s">
        <v>46</v>
      </c>
      <c r="N70" s="15"/>
      <c r="O70" s="9" t="str">
        <f t="shared" si="0"/>
        <v/>
      </c>
      <c r="P70" s="2">
        <f>IF($A70="","",SUMIFS(Trade_Reports!$U$3:$U$502,Trade_Reports!$H$3:$H$502,$A70,Trade_Reports!$M$3:$M$502,"APPROVED",Trade_Reports!$Q$3:$Q$502,"&lt;="&amp;Settings!$B$4))</f>
        <v>0</v>
      </c>
      <c r="Q70" s="2">
        <f>IF($A70="","",SUMIFS(Trade_Reports!$U$3:$U$502,Trade_Reports!$H$3:$H$502,$A70,Trade_Reports!$M$3:$M$502,"APPROVED",Trade_Reports!$Q$3:$Q$502,"&lt;="&amp;Settings!$B$5))</f>
        <v>0</v>
      </c>
      <c r="R70" s="2" t="str">
        <f>IF($A70="","",IF($Q70=0,"",IFERROR(_xludf.MINIFS(Trade_Reports!$I$3:$I$502,Trade_Reports!$H$3:$H$502,$A70,Trade_Reports!$M$3:$M$502,"APPROVED",Trade_Reports!$Q$3:$Q$502,"&lt;="&amp;Settings!$B$5,Trade_Reports!$X$3:$X$502,"&gt;="&amp;0.5*$Q70),"")))</f>
        <v/>
      </c>
      <c r="S70" s="2">
        <f>IF($A70="","",COUNTIFS(Trade_Reports!$H$3:$H$502,$A70,Trade_Reports!$M$3:$M$502,"APPROVED",Trade_Reports!$Q$3:$Q$502,"&lt;="&amp;Settings!$B$5))</f>
        <v>0</v>
      </c>
      <c r="T70" s="2"/>
      <c r="U70" s="2"/>
      <c r="V70" s="21" t="str">
        <f>IF(OR($A70="",ISERROR(SEARCH("_",$A70))),"",IFERROR(SUMIFS(Trade_Reports!$Z$3:$Z$502,Trade_Reports!$H$3:$H$502,$A70,Trade_Reports!$M$3:$M$502,"APPROVED")/SUMIFS(Trade_Reports!$U$3:$U$502,Trade_Reports!$H$3:$H$502,$A70,Trade_Reports!$M$3:$M$502,"APPROVED"),""))</f>
        <v/>
      </c>
      <c r="W70" s="17" t="str">
        <f t="shared" si="1"/>
        <v/>
      </c>
      <c r="X70" s="2"/>
      <c r="Y70" s="2"/>
      <c r="Z70" s="2"/>
    </row>
    <row r="71" spans="1:26" ht="15.75" customHeight="1" x14ac:dyDescent="0.3">
      <c r="A71" s="15" t="s">
        <v>123</v>
      </c>
      <c r="B71" s="15"/>
      <c r="C71" s="16"/>
      <c r="D71" s="16"/>
      <c r="E71" s="16"/>
      <c r="F71" s="17" t="str">
        <f>IF($A71="","",IF($K71&lt;Settings!$B$14,"",IF($P71=0,"",IFERROR(_xludf.MINIFS(Trade_Reports!$I$3:$I$502,Trade_Reports!$H$3:$H$502,$A71,Trade_Reports!$M$3:$M$502,"APPROVED",Trade_Reports!$Q$3:$Q$502,"&lt;="&amp;Settings!$B$4,Trade_Reports!$W$3:$W$502,"&gt;="&amp;0.5*$P71),""))))</f>
        <v/>
      </c>
      <c r="G71" s="17" t="str">
        <f>IF($A71="","",IF($K71=0,"",IFERROR(_xludf.MINIFS(Trade_Reports!$I$3:$I$502,Trade_Reports!$H$3:$H$502,$A71,Trade_Reports!$M$3:$M$502,"APPROVED",Trade_Reports!$Q$3:$Q$502,"&lt;="&amp;Settings!$B$4),"")))</f>
        <v/>
      </c>
      <c r="H71" s="17" t="str">
        <f>IF($A71="","",IF($K71=0,"",IFERROR(_xludf.MAXIFS(Trade_Reports!$I$3:$I$502,Trade_Reports!$H$3:$H$502,$A71,Trade_Reports!$M$3:$M$502,"APPROVED",Trade_Reports!$Q$3:$Q$502,"&lt;="&amp;Settings!$B$4),"")))</f>
        <v/>
      </c>
      <c r="I71" s="17" t="str">
        <f>IF($A71="","",IF($F71="","",IF($Q71="","",IF(ABS($F71-$Q71)/$Q71&lt;=Settings!$B$18,"STABLE",IF($F71&gt;$Q71,"UP","DOWN")))))</f>
        <v/>
      </c>
      <c r="J71" s="18" t="str">
        <f>IF($A71="","",IF($K71=0,"",MIN(100,ROUND($K71/Settings!$B$14*100,0))))</f>
        <v/>
      </c>
      <c r="K71" s="17">
        <f>IF($A71="","",COUNTIFS(Trade_Reports!$H$3:$H$502,$A71,Trade_Reports!$M$3:$M$502,"APPROVED",Trade_Reports!$Q$3:$Q$502,"&lt;="&amp;Settings!$B$4))</f>
        <v>0</v>
      </c>
      <c r="L71" s="19" t="str">
        <f>IF($A71="","",IF($K71=0,"",IFERROR(_xludf.MAXIFS(Trade_Reports!$O$3:$O$502,Trade_Reports!$H$3:$H$502,$A71,Trade_Reports!$M$3:$M$502,"APPROVED"),"")))</f>
        <v/>
      </c>
      <c r="M71" s="16" t="s">
        <v>46</v>
      </c>
      <c r="N71" s="15"/>
      <c r="O71" s="9" t="str">
        <f t="shared" si="0"/>
        <v/>
      </c>
      <c r="P71" s="2">
        <f>IF($A71="","",SUMIFS(Trade_Reports!$U$3:$U$502,Trade_Reports!$H$3:$H$502,$A71,Trade_Reports!$M$3:$M$502,"APPROVED",Trade_Reports!$Q$3:$Q$502,"&lt;="&amp;Settings!$B$4))</f>
        <v>0</v>
      </c>
      <c r="Q71" s="2">
        <f>IF($A71="","",SUMIFS(Trade_Reports!$U$3:$U$502,Trade_Reports!$H$3:$H$502,$A71,Trade_Reports!$M$3:$M$502,"APPROVED",Trade_Reports!$Q$3:$Q$502,"&lt;="&amp;Settings!$B$5))</f>
        <v>0</v>
      </c>
      <c r="R71" s="2" t="str">
        <f>IF($A71="","",IF($Q71=0,"",IFERROR(_xludf.MINIFS(Trade_Reports!$I$3:$I$502,Trade_Reports!$H$3:$H$502,$A71,Trade_Reports!$M$3:$M$502,"APPROVED",Trade_Reports!$Q$3:$Q$502,"&lt;="&amp;Settings!$B$5,Trade_Reports!$X$3:$X$502,"&gt;="&amp;0.5*$Q71),"")))</f>
        <v/>
      </c>
      <c r="S71" s="2">
        <f>IF($A71="","",COUNTIFS(Trade_Reports!$H$3:$H$502,$A71,Trade_Reports!$M$3:$M$502,"APPROVED",Trade_Reports!$Q$3:$Q$502,"&lt;="&amp;Settings!$B$5))</f>
        <v>0</v>
      </c>
      <c r="T71" s="2"/>
      <c r="U71" s="2"/>
      <c r="V71" s="21" t="str">
        <f>IF(OR($A71="",ISERROR(SEARCH("_",$A71))),"",IFERROR(SUMIFS(Trade_Reports!$Z$3:$Z$502,Trade_Reports!$H$3:$H$502,$A71,Trade_Reports!$M$3:$M$502,"APPROVED")/SUMIFS(Trade_Reports!$U$3:$U$502,Trade_Reports!$H$3:$H$502,$A71,Trade_Reports!$M$3:$M$502,"APPROVED"),""))</f>
        <v/>
      </c>
      <c r="W71" s="17" t="str">
        <f t="shared" si="1"/>
        <v/>
      </c>
      <c r="X71" s="2"/>
      <c r="Y71" s="2"/>
      <c r="Z71" s="2"/>
    </row>
    <row r="72" spans="1:26" ht="15.75" customHeight="1" x14ac:dyDescent="0.3">
      <c r="A72" s="15" t="s">
        <v>124</v>
      </c>
      <c r="B72" s="15"/>
      <c r="C72" s="16"/>
      <c r="D72" s="16"/>
      <c r="E72" s="16"/>
      <c r="F72" s="17" t="str">
        <f>IF($A72="","",IF($K72&lt;Settings!$B$14,"",IF($P72=0,"",IFERROR(_xludf.MINIFS(Trade_Reports!$I$3:$I$502,Trade_Reports!$H$3:$H$502,$A72,Trade_Reports!$M$3:$M$502,"APPROVED",Trade_Reports!$Q$3:$Q$502,"&lt;="&amp;Settings!$B$4,Trade_Reports!$W$3:$W$502,"&gt;="&amp;0.5*$P72),""))))</f>
        <v/>
      </c>
      <c r="G72" s="17" t="str">
        <f>IF($A72="","",IF($K72=0,"",IFERROR(_xludf.MINIFS(Trade_Reports!$I$3:$I$502,Trade_Reports!$H$3:$H$502,$A72,Trade_Reports!$M$3:$M$502,"APPROVED",Trade_Reports!$Q$3:$Q$502,"&lt;="&amp;Settings!$B$4),"")))</f>
        <v/>
      </c>
      <c r="H72" s="17" t="str">
        <f>IF($A72="","",IF($K72=0,"",IFERROR(_xludf.MAXIFS(Trade_Reports!$I$3:$I$502,Trade_Reports!$H$3:$H$502,$A72,Trade_Reports!$M$3:$M$502,"APPROVED",Trade_Reports!$Q$3:$Q$502,"&lt;="&amp;Settings!$B$4),"")))</f>
        <v/>
      </c>
      <c r="I72" s="17" t="str">
        <f>IF($A72="","",IF($F72="","",IF($Q72="","",IF(ABS($F72-$Q72)/$Q72&lt;=Settings!$B$18,"STABLE",IF($F72&gt;$Q72,"UP","DOWN")))))</f>
        <v/>
      </c>
      <c r="J72" s="18" t="str">
        <f>IF($A72="","",IF($K72=0,"",MIN(100,ROUND($K72/Settings!$B$14*100,0))))</f>
        <v/>
      </c>
      <c r="K72" s="17">
        <f>IF($A72="","",COUNTIFS(Trade_Reports!$H$3:$H$502,$A72,Trade_Reports!$M$3:$M$502,"APPROVED",Trade_Reports!$Q$3:$Q$502,"&lt;="&amp;Settings!$B$4))</f>
        <v>0</v>
      </c>
      <c r="L72" s="19" t="str">
        <f>IF($A72="","",IF($K72=0,"",IFERROR(_xludf.MAXIFS(Trade_Reports!$O$3:$O$502,Trade_Reports!$H$3:$H$502,$A72,Trade_Reports!$M$3:$M$502,"APPROVED"),"")))</f>
        <v/>
      </c>
      <c r="M72" s="16" t="s">
        <v>46</v>
      </c>
      <c r="N72" s="15"/>
      <c r="O72" s="9" t="str">
        <f t="shared" si="0"/>
        <v/>
      </c>
      <c r="P72" s="2">
        <f>IF($A72="","",SUMIFS(Trade_Reports!$U$3:$U$502,Trade_Reports!$H$3:$H$502,$A72,Trade_Reports!$M$3:$M$502,"APPROVED",Trade_Reports!$Q$3:$Q$502,"&lt;="&amp;Settings!$B$4))</f>
        <v>0</v>
      </c>
      <c r="Q72" s="2">
        <f>IF($A72="","",SUMIFS(Trade_Reports!$U$3:$U$502,Trade_Reports!$H$3:$H$502,$A72,Trade_Reports!$M$3:$M$502,"APPROVED",Trade_Reports!$Q$3:$Q$502,"&lt;="&amp;Settings!$B$5))</f>
        <v>0</v>
      </c>
      <c r="R72" s="2" t="str">
        <f>IF($A72="","",IF($Q72=0,"",IFERROR(_xludf.MINIFS(Trade_Reports!$I$3:$I$502,Trade_Reports!$H$3:$H$502,$A72,Trade_Reports!$M$3:$M$502,"APPROVED",Trade_Reports!$Q$3:$Q$502,"&lt;="&amp;Settings!$B$5,Trade_Reports!$X$3:$X$502,"&gt;="&amp;0.5*$Q72),"")))</f>
        <v/>
      </c>
      <c r="S72" s="2">
        <f>IF($A72="","",COUNTIFS(Trade_Reports!$H$3:$H$502,$A72,Trade_Reports!$M$3:$M$502,"APPROVED",Trade_Reports!$Q$3:$Q$502,"&lt;="&amp;Settings!$B$5))</f>
        <v>0</v>
      </c>
      <c r="T72" s="2"/>
      <c r="U72" s="2"/>
      <c r="V72" s="21" t="str">
        <f>IF(OR($A72="",ISERROR(SEARCH("_",$A72))),"",IFERROR(SUMIFS(Trade_Reports!$Z$3:$Z$502,Trade_Reports!$H$3:$H$502,$A72,Trade_Reports!$M$3:$M$502,"APPROVED")/SUMIFS(Trade_Reports!$U$3:$U$502,Trade_Reports!$H$3:$H$502,$A72,Trade_Reports!$M$3:$M$502,"APPROVED"),""))</f>
        <v/>
      </c>
      <c r="W72" s="17" t="str">
        <f t="shared" si="1"/>
        <v/>
      </c>
      <c r="X72" s="2"/>
      <c r="Y72" s="2"/>
      <c r="Z72" s="2"/>
    </row>
    <row r="73" spans="1:26" ht="15.75" customHeight="1" x14ac:dyDescent="0.3">
      <c r="A73" s="15" t="s">
        <v>125</v>
      </c>
      <c r="B73" s="15"/>
      <c r="C73" s="16"/>
      <c r="D73" s="16"/>
      <c r="E73" s="16"/>
      <c r="F73" s="17" t="str">
        <f>IF($A73="","",IF($K73&lt;Settings!$B$14,"",IF($P73=0,"",IFERROR(_xludf.MINIFS(Trade_Reports!$I$3:$I$502,Trade_Reports!$H$3:$H$502,$A73,Trade_Reports!$M$3:$M$502,"APPROVED",Trade_Reports!$Q$3:$Q$502,"&lt;="&amp;Settings!$B$4,Trade_Reports!$W$3:$W$502,"&gt;="&amp;0.5*$P73),""))))</f>
        <v/>
      </c>
      <c r="G73" s="17" t="str">
        <f>IF($A73="","",IF($K73=0,"",IFERROR(_xludf.MINIFS(Trade_Reports!$I$3:$I$502,Trade_Reports!$H$3:$H$502,$A73,Trade_Reports!$M$3:$M$502,"APPROVED",Trade_Reports!$Q$3:$Q$502,"&lt;="&amp;Settings!$B$4),"")))</f>
        <v/>
      </c>
      <c r="H73" s="17" t="str">
        <f>IF($A73="","",IF($K73=0,"",IFERROR(_xludf.MAXIFS(Trade_Reports!$I$3:$I$502,Trade_Reports!$H$3:$H$502,$A73,Trade_Reports!$M$3:$M$502,"APPROVED",Trade_Reports!$Q$3:$Q$502,"&lt;="&amp;Settings!$B$4),"")))</f>
        <v/>
      </c>
      <c r="I73" s="17" t="str">
        <f>IF($A73="","",IF($F73="","",IF($Q73="","",IF(ABS($F73-$Q73)/$Q73&lt;=Settings!$B$18,"STABLE",IF($F73&gt;$Q73,"UP","DOWN")))))</f>
        <v/>
      </c>
      <c r="J73" s="18" t="str">
        <f>IF($A73="","",IF($K73=0,"",MIN(100,ROUND($K73/Settings!$B$14*100,0))))</f>
        <v/>
      </c>
      <c r="K73" s="17">
        <f>IF($A73="","",COUNTIFS(Trade_Reports!$H$3:$H$502,$A73,Trade_Reports!$M$3:$M$502,"APPROVED",Trade_Reports!$Q$3:$Q$502,"&lt;="&amp;Settings!$B$4))</f>
        <v>0</v>
      </c>
      <c r="L73" s="19" t="str">
        <f>IF($A73="","",IF($K73=0,"",IFERROR(_xludf.MAXIFS(Trade_Reports!$O$3:$O$502,Trade_Reports!$H$3:$H$502,$A73,Trade_Reports!$M$3:$M$502,"APPROVED"),"")))</f>
        <v/>
      </c>
      <c r="M73" s="16" t="s">
        <v>46</v>
      </c>
      <c r="N73" s="15"/>
      <c r="O73" s="9" t="str">
        <f t="shared" si="0"/>
        <v/>
      </c>
      <c r="P73" s="2">
        <f>IF($A73="","",SUMIFS(Trade_Reports!$U$3:$U$502,Trade_Reports!$H$3:$H$502,$A73,Trade_Reports!$M$3:$M$502,"APPROVED",Trade_Reports!$Q$3:$Q$502,"&lt;="&amp;Settings!$B$4))</f>
        <v>0</v>
      </c>
      <c r="Q73" s="2">
        <f>IF($A73="","",SUMIFS(Trade_Reports!$U$3:$U$502,Trade_Reports!$H$3:$H$502,$A73,Trade_Reports!$M$3:$M$502,"APPROVED",Trade_Reports!$Q$3:$Q$502,"&lt;="&amp;Settings!$B$5))</f>
        <v>0</v>
      </c>
      <c r="R73" s="2" t="str">
        <f>IF($A73="","",IF($Q73=0,"",IFERROR(_xludf.MINIFS(Trade_Reports!$I$3:$I$502,Trade_Reports!$H$3:$H$502,$A73,Trade_Reports!$M$3:$M$502,"APPROVED",Trade_Reports!$Q$3:$Q$502,"&lt;="&amp;Settings!$B$5,Trade_Reports!$X$3:$X$502,"&gt;="&amp;0.5*$Q73),"")))</f>
        <v/>
      </c>
      <c r="S73" s="2">
        <f>IF($A73="","",COUNTIFS(Trade_Reports!$H$3:$H$502,$A73,Trade_Reports!$M$3:$M$502,"APPROVED",Trade_Reports!$Q$3:$Q$502,"&lt;="&amp;Settings!$B$5))</f>
        <v>0</v>
      </c>
      <c r="T73" s="2"/>
      <c r="U73" s="2"/>
      <c r="V73" s="21" t="str">
        <f>IF(OR($A73="",ISERROR(SEARCH("_",$A73))),"",IFERROR(SUMIFS(Trade_Reports!$Z$3:$Z$502,Trade_Reports!$H$3:$H$502,$A73,Trade_Reports!$M$3:$M$502,"APPROVED")/SUMIFS(Trade_Reports!$U$3:$U$502,Trade_Reports!$H$3:$H$502,$A73,Trade_Reports!$M$3:$M$502,"APPROVED"),""))</f>
        <v/>
      </c>
      <c r="W73" s="17" t="str">
        <f t="shared" si="1"/>
        <v/>
      </c>
      <c r="X73" s="2"/>
      <c r="Y73" s="2"/>
      <c r="Z73" s="2"/>
    </row>
    <row r="74" spans="1:26" ht="15.75" customHeight="1" x14ac:dyDescent="0.3">
      <c r="A74" s="15" t="s">
        <v>126</v>
      </c>
      <c r="B74" s="15"/>
      <c r="C74" s="16"/>
      <c r="D74" s="16"/>
      <c r="E74" s="16"/>
      <c r="F74" s="17" t="str">
        <f>IF($A74="","",IF($K74&lt;Settings!$B$14,"",IF($P74=0,"",IFERROR(_xludf.MINIFS(Trade_Reports!$I$3:$I$502,Trade_Reports!$H$3:$H$502,$A74,Trade_Reports!$M$3:$M$502,"APPROVED",Trade_Reports!$Q$3:$Q$502,"&lt;="&amp;Settings!$B$4,Trade_Reports!$W$3:$W$502,"&gt;="&amp;0.5*$P74),""))))</f>
        <v/>
      </c>
      <c r="G74" s="17" t="str">
        <f>IF($A74="","",IF($K74=0,"",IFERROR(_xludf.MINIFS(Trade_Reports!$I$3:$I$502,Trade_Reports!$H$3:$H$502,$A74,Trade_Reports!$M$3:$M$502,"APPROVED",Trade_Reports!$Q$3:$Q$502,"&lt;="&amp;Settings!$B$4),"")))</f>
        <v/>
      </c>
      <c r="H74" s="17" t="str">
        <f>IF($A74="","",IF($K74=0,"",IFERROR(_xludf.MAXIFS(Trade_Reports!$I$3:$I$502,Trade_Reports!$H$3:$H$502,$A74,Trade_Reports!$M$3:$M$502,"APPROVED",Trade_Reports!$Q$3:$Q$502,"&lt;="&amp;Settings!$B$4),"")))</f>
        <v/>
      </c>
      <c r="I74" s="17" t="str">
        <f>IF($A74="","",IF($F74="","",IF($Q74="","",IF(ABS($F74-$Q74)/$Q74&lt;=Settings!$B$18,"STABLE",IF($F74&gt;$Q74,"UP","DOWN")))))</f>
        <v/>
      </c>
      <c r="J74" s="18" t="str">
        <f>IF($A74="","",IF($K74=0,"",MIN(100,ROUND($K74/Settings!$B$14*100,0))))</f>
        <v/>
      </c>
      <c r="K74" s="17">
        <f>IF($A74="","",COUNTIFS(Trade_Reports!$H$3:$H$502,$A74,Trade_Reports!$M$3:$M$502,"APPROVED",Trade_Reports!$Q$3:$Q$502,"&lt;="&amp;Settings!$B$4))</f>
        <v>0</v>
      </c>
      <c r="L74" s="19" t="str">
        <f>IF($A74="","",IF($K74=0,"",IFERROR(_xludf.MAXIFS(Trade_Reports!$O$3:$O$502,Trade_Reports!$H$3:$H$502,$A74,Trade_Reports!$M$3:$M$502,"APPROVED"),"")))</f>
        <v/>
      </c>
      <c r="M74" s="16" t="s">
        <v>46</v>
      </c>
      <c r="N74" s="15"/>
      <c r="O74" s="9" t="str">
        <f t="shared" si="0"/>
        <v/>
      </c>
      <c r="P74" s="2">
        <f>IF($A74="","",SUMIFS(Trade_Reports!$U$3:$U$502,Trade_Reports!$H$3:$H$502,$A74,Trade_Reports!$M$3:$M$502,"APPROVED",Trade_Reports!$Q$3:$Q$502,"&lt;="&amp;Settings!$B$4))</f>
        <v>0</v>
      </c>
      <c r="Q74" s="2">
        <f>IF($A74="","",SUMIFS(Trade_Reports!$U$3:$U$502,Trade_Reports!$H$3:$H$502,$A74,Trade_Reports!$M$3:$M$502,"APPROVED",Trade_Reports!$Q$3:$Q$502,"&lt;="&amp;Settings!$B$5))</f>
        <v>0</v>
      </c>
      <c r="R74" s="2" t="str">
        <f>IF($A74="","",IF($Q74=0,"",IFERROR(_xludf.MINIFS(Trade_Reports!$I$3:$I$502,Trade_Reports!$H$3:$H$502,$A74,Trade_Reports!$M$3:$M$502,"APPROVED",Trade_Reports!$Q$3:$Q$502,"&lt;="&amp;Settings!$B$5,Trade_Reports!$X$3:$X$502,"&gt;="&amp;0.5*$Q74),"")))</f>
        <v/>
      </c>
      <c r="S74" s="2">
        <f>IF($A74="","",COUNTIFS(Trade_Reports!$H$3:$H$502,$A74,Trade_Reports!$M$3:$M$502,"APPROVED",Trade_Reports!$Q$3:$Q$502,"&lt;="&amp;Settings!$B$5))</f>
        <v>0</v>
      </c>
      <c r="T74" s="2"/>
      <c r="U74" s="2"/>
      <c r="V74" s="21" t="str">
        <f>IF(OR($A74="",ISERROR(SEARCH("_",$A74))),"",IFERROR(SUMIFS(Trade_Reports!$Z$3:$Z$502,Trade_Reports!$H$3:$H$502,$A74,Trade_Reports!$M$3:$M$502,"APPROVED")/SUMIFS(Trade_Reports!$U$3:$U$502,Trade_Reports!$H$3:$H$502,$A74,Trade_Reports!$M$3:$M$502,"APPROVED"),""))</f>
        <v/>
      </c>
      <c r="W74" s="17" t="str">
        <f t="shared" si="1"/>
        <v/>
      </c>
      <c r="X74" s="2"/>
      <c r="Y74" s="2"/>
      <c r="Z74" s="2"/>
    </row>
    <row r="75" spans="1:26" ht="15.75" customHeight="1" x14ac:dyDescent="0.3">
      <c r="A75" s="15" t="s">
        <v>127</v>
      </c>
      <c r="B75" s="15"/>
      <c r="C75" s="16"/>
      <c r="D75" s="16"/>
      <c r="E75" s="16"/>
      <c r="F75" s="17" t="str">
        <f>IF($A75="","",IF($K75&lt;Settings!$B$14,"",IF($P75=0,"",IFERROR(_xludf.MINIFS(Trade_Reports!$I$3:$I$502,Trade_Reports!$H$3:$H$502,$A75,Trade_Reports!$M$3:$M$502,"APPROVED",Trade_Reports!$Q$3:$Q$502,"&lt;="&amp;Settings!$B$4,Trade_Reports!$W$3:$W$502,"&gt;="&amp;0.5*$P75),""))))</f>
        <v/>
      </c>
      <c r="G75" s="17" t="str">
        <f>IF($A75="","",IF($K75=0,"",IFERROR(_xludf.MINIFS(Trade_Reports!$I$3:$I$502,Trade_Reports!$H$3:$H$502,$A75,Trade_Reports!$M$3:$M$502,"APPROVED",Trade_Reports!$Q$3:$Q$502,"&lt;="&amp;Settings!$B$4),"")))</f>
        <v/>
      </c>
      <c r="H75" s="17" t="str">
        <f>IF($A75="","",IF($K75=0,"",IFERROR(_xludf.MAXIFS(Trade_Reports!$I$3:$I$502,Trade_Reports!$H$3:$H$502,$A75,Trade_Reports!$M$3:$M$502,"APPROVED",Trade_Reports!$Q$3:$Q$502,"&lt;="&amp;Settings!$B$4),"")))</f>
        <v/>
      </c>
      <c r="I75" s="17" t="str">
        <f>IF($A75="","",IF($F75="","",IF($Q75="","",IF(ABS($F75-$Q75)/$Q75&lt;=Settings!$B$18,"STABLE",IF($F75&gt;$Q75,"UP","DOWN")))))</f>
        <v/>
      </c>
      <c r="J75" s="18" t="str">
        <f>IF($A75="","",IF($K75=0,"",MIN(100,ROUND($K75/Settings!$B$14*100,0))))</f>
        <v/>
      </c>
      <c r="K75" s="17">
        <f>IF($A75="","",COUNTIFS(Trade_Reports!$H$3:$H$502,$A75,Trade_Reports!$M$3:$M$502,"APPROVED",Trade_Reports!$Q$3:$Q$502,"&lt;="&amp;Settings!$B$4))</f>
        <v>0</v>
      </c>
      <c r="L75" s="19" t="str">
        <f>IF($A75="","",IF($K75=0,"",IFERROR(_xludf.MAXIFS(Trade_Reports!$O$3:$O$502,Trade_Reports!$H$3:$H$502,$A75,Trade_Reports!$M$3:$M$502,"APPROVED"),"")))</f>
        <v/>
      </c>
      <c r="M75" s="16" t="s">
        <v>46</v>
      </c>
      <c r="N75" s="15"/>
      <c r="O75" s="9" t="str">
        <f t="shared" si="0"/>
        <v/>
      </c>
      <c r="P75" s="2">
        <f>IF($A75="","",SUMIFS(Trade_Reports!$U$3:$U$502,Trade_Reports!$H$3:$H$502,$A75,Trade_Reports!$M$3:$M$502,"APPROVED",Trade_Reports!$Q$3:$Q$502,"&lt;="&amp;Settings!$B$4))</f>
        <v>0</v>
      </c>
      <c r="Q75" s="2">
        <f>IF($A75="","",SUMIFS(Trade_Reports!$U$3:$U$502,Trade_Reports!$H$3:$H$502,$A75,Trade_Reports!$M$3:$M$502,"APPROVED",Trade_Reports!$Q$3:$Q$502,"&lt;="&amp;Settings!$B$5))</f>
        <v>0</v>
      </c>
      <c r="R75" s="2" t="str">
        <f>IF($A75="","",IF($Q75=0,"",IFERROR(_xludf.MINIFS(Trade_Reports!$I$3:$I$502,Trade_Reports!$H$3:$H$502,$A75,Trade_Reports!$M$3:$M$502,"APPROVED",Trade_Reports!$Q$3:$Q$502,"&lt;="&amp;Settings!$B$5,Trade_Reports!$X$3:$X$502,"&gt;="&amp;0.5*$Q75),"")))</f>
        <v/>
      </c>
      <c r="S75" s="2">
        <f>IF($A75="","",COUNTIFS(Trade_Reports!$H$3:$H$502,$A75,Trade_Reports!$M$3:$M$502,"APPROVED",Trade_Reports!$Q$3:$Q$502,"&lt;="&amp;Settings!$B$5))</f>
        <v>0</v>
      </c>
      <c r="T75" s="2"/>
      <c r="U75" s="2"/>
      <c r="V75" s="21" t="str">
        <f>IF(OR($A75="",ISERROR(SEARCH("_",$A75))),"",IFERROR(SUMIFS(Trade_Reports!$Z$3:$Z$502,Trade_Reports!$H$3:$H$502,$A75,Trade_Reports!$M$3:$M$502,"APPROVED")/SUMIFS(Trade_Reports!$U$3:$U$502,Trade_Reports!$H$3:$H$502,$A75,Trade_Reports!$M$3:$M$502,"APPROVED"),""))</f>
        <v/>
      </c>
      <c r="W75" s="17" t="str">
        <f t="shared" si="1"/>
        <v/>
      </c>
      <c r="X75" s="2"/>
      <c r="Y75" s="2"/>
      <c r="Z75" s="2"/>
    </row>
    <row r="76" spans="1:26" ht="15.75" customHeight="1" x14ac:dyDescent="0.3">
      <c r="A76" s="15"/>
      <c r="B76" s="15"/>
      <c r="C76" s="16"/>
      <c r="D76" s="16"/>
      <c r="E76" s="16"/>
      <c r="F76" s="17" t="str">
        <f>IF($A76="","",IF($K76&lt;Settings!$B$14,"",IF($P76=0,"",IFERROR(_xludf.MINIFS(Trade_Reports!$I$3:$I$502,Trade_Reports!$H$3:$H$502,$A76,Trade_Reports!$M$3:$M$502,"APPROVED",Trade_Reports!$Q$3:$Q$502,"&lt;="&amp;Settings!$B$4,Trade_Reports!$W$3:$W$502,"&gt;="&amp;0.5*$P76),""))))</f>
        <v/>
      </c>
      <c r="G76" s="17" t="str">
        <f>IF($A76="","",IF($K76=0,"",IFERROR(_xludf.MINIFS(Trade_Reports!$I$3:$I$502,Trade_Reports!$H$3:$H$502,$A76,Trade_Reports!$M$3:$M$502,"APPROVED",Trade_Reports!$Q$3:$Q$502,"&lt;="&amp;Settings!$B$4),"")))</f>
        <v/>
      </c>
      <c r="H76" s="17" t="str">
        <f>IF($A76="","",IF($K76=0,"",IFERROR(_xludf.MAXIFS(Trade_Reports!$I$3:$I$502,Trade_Reports!$H$3:$H$502,$A76,Trade_Reports!$M$3:$M$502,"APPROVED",Trade_Reports!$Q$3:$Q$502,"&lt;="&amp;Settings!$B$4),"")))</f>
        <v/>
      </c>
      <c r="I76" s="17" t="str">
        <f>IF($A76="","",IF($F76="","",IF($Q76="","",IF(ABS($F76-$Q76)/$Q76&lt;=Settings!$B$18,"STABLE",IF($F76&gt;$Q76,"UP","DOWN")))))</f>
        <v/>
      </c>
      <c r="J76" s="18" t="str">
        <f>IF($A76="","",IF($K76=0,"",MIN(100,ROUND($K76/Settings!$B$14*100,0))))</f>
        <v/>
      </c>
      <c r="K76" s="17" t="str">
        <f>IF($A76="","",COUNTIFS(Trade_Reports!$H$3:$H$502,$A76,Trade_Reports!$M$3:$M$502,"APPROVED",Trade_Reports!$Q$3:$Q$502,"&lt;="&amp;Settings!$B$4))</f>
        <v/>
      </c>
      <c r="L76" s="19" t="str">
        <f>IF($A76="","",IF($K76=0,"",IFERROR(_xludf.MAXIFS(Trade_Reports!$O$3:$O$502,Trade_Reports!$H$3:$H$502,$A76,Trade_Reports!$M$3:$M$502,"APPROVED"),"")))</f>
        <v/>
      </c>
      <c r="M76" s="16" t="s">
        <v>46</v>
      </c>
      <c r="N76" s="15"/>
      <c r="O76" s="9" t="str">
        <f t="shared" si="0"/>
        <v/>
      </c>
      <c r="P76" s="2" t="str">
        <f>IF($A76="","",SUMIFS(Trade_Reports!$U$3:$U$502,Trade_Reports!$H$3:$H$502,$A76,Trade_Reports!$M$3:$M$502,"APPROVED",Trade_Reports!$Q$3:$Q$502,"&lt;="&amp;Settings!$B$4))</f>
        <v/>
      </c>
      <c r="Q76" s="2" t="str">
        <f>IF($A76="","",SUMIFS(Trade_Reports!$U$3:$U$502,Trade_Reports!$H$3:$H$502,$A76,Trade_Reports!$M$3:$M$502,"APPROVED",Trade_Reports!$Q$3:$Q$502,"&lt;="&amp;Settings!$B$5))</f>
        <v/>
      </c>
      <c r="R76" s="2" t="str">
        <f>IF($A76="","",IF($Q76=0,"",IFERROR(_xludf.MINIFS(Trade_Reports!$I$3:$I$502,Trade_Reports!$H$3:$H$502,$A76,Trade_Reports!$M$3:$M$502,"APPROVED",Trade_Reports!$Q$3:$Q$502,"&lt;="&amp;Settings!$B$5,Trade_Reports!$X$3:$X$502,"&gt;="&amp;0.5*$Q76),"")))</f>
        <v/>
      </c>
      <c r="S76" s="2" t="str">
        <f>IF($A76="","",COUNTIFS(Trade_Reports!$H$3:$H$502,$A76,Trade_Reports!$M$3:$M$502,"APPROVED",Trade_Reports!$Q$3:$Q$502,"&lt;="&amp;Settings!$B$5))</f>
        <v/>
      </c>
      <c r="T76" s="2"/>
      <c r="U76" s="2"/>
      <c r="V76" s="21" t="str">
        <f>IF(OR($A76="",ISERROR(SEARCH("_",$A76))),"",IFERROR(SUMIFS(Trade_Reports!$Z$3:$Z$502,Trade_Reports!$H$3:$H$502,$A76,Trade_Reports!$M$3:$M$502,"APPROVED")/SUMIFS(Trade_Reports!$U$3:$U$502,Trade_Reports!$H$3:$H$502,$A76,Trade_Reports!$M$3:$M$502,"APPROVED"),""))</f>
        <v/>
      </c>
      <c r="W76" s="17" t="str">
        <f t="shared" si="1"/>
        <v/>
      </c>
      <c r="X76" s="2"/>
      <c r="Y76" s="2"/>
      <c r="Z76" s="2"/>
    </row>
    <row r="77" spans="1:26" ht="15.75" customHeight="1" x14ac:dyDescent="0.3">
      <c r="A77" s="15"/>
      <c r="B77" s="15"/>
      <c r="C77" s="16"/>
      <c r="D77" s="16"/>
      <c r="E77" s="16"/>
      <c r="F77" s="17" t="str">
        <f>IF($A77="","",IF($K77&lt;Settings!$B$14,"",IF($P77=0,"",IFERROR(_xludf.MINIFS(Trade_Reports!$I$3:$I$502,Trade_Reports!$H$3:$H$502,$A77,Trade_Reports!$M$3:$M$502,"APPROVED",Trade_Reports!$Q$3:$Q$502,"&lt;="&amp;Settings!$B$4,Trade_Reports!$W$3:$W$502,"&gt;="&amp;0.5*$P77),""))))</f>
        <v/>
      </c>
      <c r="G77" s="17" t="str">
        <f>IF($A77="","",IF($K77=0,"",IFERROR(_xludf.MINIFS(Trade_Reports!$I$3:$I$502,Trade_Reports!$H$3:$H$502,$A77,Trade_Reports!$M$3:$M$502,"APPROVED",Trade_Reports!$Q$3:$Q$502,"&lt;="&amp;Settings!$B$4),"")))</f>
        <v/>
      </c>
      <c r="H77" s="17" t="str">
        <f>IF($A77="","",IF($K77=0,"",IFERROR(_xludf.MAXIFS(Trade_Reports!$I$3:$I$502,Trade_Reports!$H$3:$H$502,$A77,Trade_Reports!$M$3:$M$502,"APPROVED",Trade_Reports!$Q$3:$Q$502,"&lt;="&amp;Settings!$B$4),"")))</f>
        <v/>
      </c>
      <c r="I77" s="17" t="str">
        <f>IF($A77="","",IF($F77="","",IF($Q77="","",IF(ABS($F77-$Q77)/$Q77&lt;=Settings!$B$18,"STABLE",IF($F77&gt;$Q77,"UP","DOWN")))))</f>
        <v/>
      </c>
      <c r="J77" s="18" t="str">
        <f>IF($A77="","",IF($K77=0,"",MIN(100,ROUND($K77/Settings!$B$14*100,0))))</f>
        <v/>
      </c>
      <c r="K77" s="17" t="str">
        <f>IF($A77="","",COUNTIFS(Trade_Reports!$H$3:$H$502,$A77,Trade_Reports!$M$3:$M$502,"APPROVED",Trade_Reports!$Q$3:$Q$502,"&lt;="&amp;Settings!$B$4))</f>
        <v/>
      </c>
      <c r="L77" s="19" t="str">
        <f>IF($A77="","",IF($K77=0,"",IFERROR(_xludf.MAXIFS(Trade_Reports!$O$3:$O$502,Trade_Reports!$H$3:$H$502,$A77,Trade_Reports!$M$3:$M$502,"APPROVED"),"")))</f>
        <v/>
      </c>
      <c r="M77" s="16" t="s">
        <v>46</v>
      </c>
      <c r="N77" s="15"/>
      <c r="O77" s="9" t="str">
        <f t="shared" si="0"/>
        <v/>
      </c>
      <c r="P77" s="2" t="str">
        <f>IF($A77="","",SUMIFS(Trade_Reports!$U$3:$U$502,Trade_Reports!$H$3:$H$502,$A77,Trade_Reports!$M$3:$M$502,"APPROVED",Trade_Reports!$Q$3:$Q$502,"&lt;="&amp;Settings!$B$4))</f>
        <v/>
      </c>
      <c r="Q77" s="2" t="str">
        <f>IF($A77="","",SUMIFS(Trade_Reports!$U$3:$U$502,Trade_Reports!$H$3:$H$502,$A77,Trade_Reports!$M$3:$M$502,"APPROVED",Trade_Reports!$Q$3:$Q$502,"&lt;="&amp;Settings!$B$5))</f>
        <v/>
      </c>
      <c r="R77" s="2" t="str">
        <f>IF($A77="","",IF($Q77=0,"",IFERROR(_xludf.MINIFS(Trade_Reports!$I$3:$I$502,Trade_Reports!$H$3:$H$502,$A77,Trade_Reports!$M$3:$M$502,"APPROVED",Trade_Reports!$Q$3:$Q$502,"&lt;="&amp;Settings!$B$5,Trade_Reports!$X$3:$X$502,"&gt;="&amp;0.5*$Q77),"")))</f>
        <v/>
      </c>
      <c r="S77" s="2" t="str">
        <f>IF($A77="","",COUNTIFS(Trade_Reports!$H$3:$H$502,$A77,Trade_Reports!$M$3:$M$502,"APPROVED",Trade_Reports!$Q$3:$Q$502,"&lt;="&amp;Settings!$B$5))</f>
        <v/>
      </c>
      <c r="T77" s="2"/>
      <c r="U77" s="2"/>
      <c r="V77" s="21" t="str">
        <f>IF(OR($A77="",ISERROR(SEARCH("_",$A77))),"",IFERROR(SUMIFS(Trade_Reports!$Z$3:$Z$502,Trade_Reports!$H$3:$H$502,$A77,Trade_Reports!$M$3:$M$502,"APPROVED")/SUMIFS(Trade_Reports!$U$3:$U$502,Trade_Reports!$H$3:$H$502,$A77,Trade_Reports!$M$3:$M$502,"APPROVED"),""))</f>
        <v/>
      </c>
      <c r="W77" s="17" t="str">
        <f t="shared" si="1"/>
        <v/>
      </c>
      <c r="X77" s="2"/>
      <c r="Y77" s="2"/>
      <c r="Z77" s="2"/>
    </row>
    <row r="78" spans="1:26" ht="15.75" customHeight="1" x14ac:dyDescent="0.3">
      <c r="A78" s="15"/>
      <c r="B78" s="15"/>
      <c r="C78" s="16"/>
      <c r="D78" s="16"/>
      <c r="E78" s="16"/>
      <c r="F78" s="17" t="str">
        <f>IF($A78="","",IF($K78&lt;Settings!$B$14,"",IF($P78=0,"",IFERROR(_xludf.MINIFS(Trade_Reports!$I$3:$I$502,Trade_Reports!$H$3:$H$502,$A78,Trade_Reports!$M$3:$M$502,"APPROVED",Trade_Reports!$Q$3:$Q$502,"&lt;="&amp;Settings!$B$4,Trade_Reports!$W$3:$W$502,"&gt;="&amp;0.5*$P78),""))))</f>
        <v/>
      </c>
      <c r="G78" s="17" t="str">
        <f>IF($A78="","",IF($K78=0,"",IFERROR(_xludf.MINIFS(Trade_Reports!$I$3:$I$502,Trade_Reports!$H$3:$H$502,$A78,Trade_Reports!$M$3:$M$502,"APPROVED",Trade_Reports!$Q$3:$Q$502,"&lt;="&amp;Settings!$B$4),"")))</f>
        <v/>
      </c>
      <c r="H78" s="17" t="str">
        <f>IF($A78="","",IF($K78=0,"",IFERROR(_xludf.MAXIFS(Trade_Reports!$I$3:$I$502,Trade_Reports!$H$3:$H$502,$A78,Trade_Reports!$M$3:$M$502,"APPROVED",Trade_Reports!$Q$3:$Q$502,"&lt;="&amp;Settings!$B$4),"")))</f>
        <v/>
      </c>
      <c r="I78" s="17" t="str">
        <f>IF($A78="","",IF($F78="","",IF($Q78="","",IF(ABS($F78-$Q78)/$Q78&lt;=Settings!$B$18,"STABLE",IF($F78&gt;$Q78,"UP","DOWN")))))</f>
        <v/>
      </c>
      <c r="J78" s="18" t="str">
        <f>IF($A78="","",IF($K78=0,"",MIN(100,ROUND($K78/Settings!$B$14*100,0))))</f>
        <v/>
      </c>
      <c r="K78" s="17" t="str">
        <f>IF($A78="","",COUNTIFS(Trade_Reports!$H$3:$H$502,$A78,Trade_Reports!$M$3:$M$502,"APPROVED",Trade_Reports!$Q$3:$Q$502,"&lt;="&amp;Settings!$B$4))</f>
        <v/>
      </c>
      <c r="L78" s="19" t="str">
        <f>IF($A78="","",IF($K78=0,"",IFERROR(_xludf.MAXIFS(Trade_Reports!$O$3:$O$502,Trade_Reports!$H$3:$H$502,$A78,Trade_Reports!$M$3:$M$502,"APPROVED"),"")))</f>
        <v/>
      </c>
      <c r="M78" s="16" t="s">
        <v>46</v>
      </c>
      <c r="N78" s="15"/>
      <c r="O78" s="9" t="str">
        <f t="shared" si="0"/>
        <v/>
      </c>
      <c r="P78" s="2" t="str">
        <f>IF($A78="","",SUMIFS(Trade_Reports!$U$3:$U$502,Trade_Reports!$H$3:$H$502,$A78,Trade_Reports!$M$3:$M$502,"APPROVED",Trade_Reports!$Q$3:$Q$502,"&lt;="&amp;Settings!$B$4))</f>
        <v/>
      </c>
      <c r="Q78" s="2" t="str">
        <f>IF($A78="","",SUMIFS(Trade_Reports!$U$3:$U$502,Trade_Reports!$H$3:$H$502,$A78,Trade_Reports!$M$3:$M$502,"APPROVED",Trade_Reports!$Q$3:$Q$502,"&lt;="&amp;Settings!$B$5))</f>
        <v/>
      </c>
      <c r="R78" s="2" t="str">
        <f>IF($A78="","",IF($Q78=0,"",IFERROR(_xludf.MINIFS(Trade_Reports!$I$3:$I$502,Trade_Reports!$H$3:$H$502,$A78,Trade_Reports!$M$3:$M$502,"APPROVED",Trade_Reports!$Q$3:$Q$502,"&lt;="&amp;Settings!$B$5,Trade_Reports!$X$3:$X$502,"&gt;="&amp;0.5*$Q78),"")))</f>
        <v/>
      </c>
      <c r="S78" s="2" t="str">
        <f>IF($A78="","",COUNTIFS(Trade_Reports!$H$3:$H$502,$A78,Trade_Reports!$M$3:$M$502,"APPROVED",Trade_Reports!$Q$3:$Q$502,"&lt;="&amp;Settings!$B$5))</f>
        <v/>
      </c>
      <c r="T78" s="2"/>
      <c r="U78" s="2"/>
      <c r="V78" s="21" t="str">
        <f>IF(OR($A78="",ISERROR(SEARCH("_",$A78))),"",IFERROR(SUMIFS(Trade_Reports!$Z$3:$Z$502,Trade_Reports!$H$3:$H$502,$A78,Trade_Reports!$M$3:$M$502,"APPROVED")/SUMIFS(Trade_Reports!$U$3:$U$502,Trade_Reports!$H$3:$H$502,$A78,Trade_Reports!$M$3:$M$502,"APPROVED"),""))</f>
        <v/>
      </c>
      <c r="W78" s="17" t="str">
        <f t="shared" si="1"/>
        <v/>
      </c>
      <c r="X78" s="2"/>
      <c r="Y78" s="2"/>
      <c r="Z78" s="2"/>
    </row>
    <row r="79" spans="1:26" ht="15.75" customHeight="1" x14ac:dyDescent="0.3">
      <c r="A79" s="15"/>
      <c r="B79" s="15"/>
      <c r="C79" s="16"/>
      <c r="D79" s="16"/>
      <c r="E79" s="16"/>
      <c r="F79" s="17" t="str">
        <f>IF($A79="","",IF($K79&lt;Settings!$B$14,"",IF($P79=0,"",IFERROR(_xludf.MINIFS(Trade_Reports!$I$3:$I$502,Trade_Reports!$H$3:$H$502,$A79,Trade_Reports!$M$3:$M$502,"APPROVED",Trade_Reports!$Q$3:$Q$502,"&lt;="&amp;Settings!$B$4,Trade_Reports!$W$3:$W$502,"&gt;="&amp;0.5*$P79),""))))</f>
        <v/>
      </c>
      <c r="G79" s="17" t="str">
        <f>IF($A79="","",IF($K79=0,"",IFERROR(_xludf.MINIFS(Trade_Reports!$I$3:$I$502,Trade_Reports!$H$3:$H$502,$A79,Trade_Reports!$M$3:$M$502,"APPROVED",Trade_Reports!$Q$3:$Q$502,"&lt;="&amp;Settings!$B$4),"")))</f>
        <v/>
      </c>
      <c r="H79" s="17" t="str">
        <f>IF($A79="","",IF($K79=0,"",IFERROR(_xludf.MAXIFS(Trade_Reports!$I$3:$I$502,Trade_Reports!$H$3:$H$502,$A79,Trade_Reports!$M$3:$M$502,"APPROVED",Trade_Reports!$Q$3:$Q$502,"&lt;="&amp;Settings!$B$4),"")))</f>
        <v/>
      </c>
      <c r="I79" s="17" t="str">
        <f>IF($A79="","",IF($F79="","",IF($Q79="","",IF(ABS($F79-$Q79)/$Q79&lt;=Settings!$B$18,"STABLE",IF($F79&gt;$Q79,"UP","DOWN")))))</f>
        <v/>
      </c>
      <c r="J79" s="18" t="str">
        <f>IF($A79="","",IF($K79=0,"",MIN(100,ROUND($K79/Settings!$B$14*100,0))))</f>
        <v/>
      </c>
      <c r="K79" s="17" t="str">
        <f>IF($A79="","",COUNTIFS(Trade_Reports!$H$3:$H$502,$A79,Trade_Reports!$M$3:$M$502,"APPROVED",Trade_Reports!$Q$3:$Q$502,"&lt;="&amp;Settings!$B$4))</f>
        <v/>
      </c>
      <c r="L79" s="19" t="str">
        <f>IF($A79="","",IF($K79=0,"",IFERROR(_xludf.MAXIFS(Trade_Reports!$O$3:$O$502,Trade_Reports!$H$3:$H$502,$A79,Trade_Reports!$M$3:$M$502,"APPROVED"),"")))</f>
        <v/>
      </c>
      <c r="M79" s="16" t="s">
        <v>46</v>
      </c>
      <c r="N79" s="15"/>
      <c r="O79" s="9" t="str">
        <f t="shared" si="0"/>
        <v/>
      </c>
      <c r="P79" s="2" t="str">
        <f>IF($A79="","",SUMIFS(Trade_Reports!$U$3:$U$502,Trade_Reports!$H$3:$H$502,$A79,Trade_Reports!$M$3:$M$502,"APPROVED",Trade_Reports!$Q$3:$Q$502,"&lt;="&amp;Settings!$B$4))</f>
        <v/>
      </c>
      <c r="Q79" s="2" t="str">
        <f>IF($A79="","",SUMIFS(Trade_Reports!$U$3:$U$502,Trade_Reports!$H$3:$H$502,$A79,Trade_Reports!$M$3:$M$502,"APPROVED",Trade_Reports!$Q$3:$Q$502,"&lt;="&amp;Settings!$B$5))</f>
        <v/>
      </c>
      <c r="R79" s="2" t="str">
        <f>IF($A79="","",IF($Q79=0,"",IFERROR(_xludf.MINIFS(Trade_Reports!$I$3:$I$502,Trade_Reports!$H$3:$H$502,$A79,Trade_Reports!$M$3:$M$502,"APPROVED",Trade_Reports!$Q$3:$Q$502,"&lt;="&amp;Settings!$B$5,Trade_Reports!$X$3:$X$502,"&gt;="&amp;0.5*$Q79),"")))</f>
        <v/>
      </c>
      <c r="S79" s="2" t="str">
        <f>IF($A79="","",COUNTIFS(Trade_Reports!$H$3:$H$502,$A79,Trade_Reports!$M$3:$M$502,"APPROVED",Trade_Reports!$Q$3:$Q$502,"&lt;="&amp;Settings!$B$5))</f>
        <v/>
      </c>
      <c r="T79" s="2"/>
      <c r="U79" s="2"/>
      <c r="V79" s="21" t="str">
        <f>IF(OR($A79="",ISERROR(SEARCH("_",$A79))),"",IFERROR(SUMIFS(Trade_Reports!$Z$3:$Z$502,Trade_Reports!$H$3:$H$502,$A79,Trade_Reports!$M$3:$M$502,"APPROVED")/SUMIFS(Trade_Reports!$U$3:$U$502,Trade_Reports!$H$3:$H$502,$A79,Trade_Reports!$M$3:$M$502,"APPROVED"),""))</f>
        <v/>
      </c>
      <c r="W79" s="17" t="str">
        <f t="shared" si="1"/>
        <v/>
      </c>
      <c r="X79" s="2"/>
      <c r="Y79" s="2"/>
      <c r="Z79" s="2"/>
    </row>
    <row r="80" spans="1:26" ht="15.75" customHeight="1" x14ac:dyDescent="0.3">
      <c r="A80" s="25" t="s">
        <v>128</v>
      </c>
      <c r="B80" s="15"/>
      <c r="C80" s="16"/>
      <c r="D80" s="16"/>
      <c r="E80" s="16"/>
      <c r="F80" s="17" t="str">
        <f>IF($A80="","",IF($K80&lt;Settings!$B$14,"",IF($P80=0,"",IFERROR(_xludf.MINIFS(Trade_Reports!$I$3:$I$502,Trade_Reports!$H$3:$H$502,$A80,Trade_Reports!$M$3:$M$502,"APPROVED",Trade_Reports!$Q$3:$Q$502,"&lt;="&amp;Settings!$B$4,Trade_Reports!$W$3:$W$502,"&gt;="&amp;0.5*$P80),""))))</f>
        <v/>
      </c>
      <c r="G80" s="17" t="str">
        <f>IF($A80="","",IF($K80=0,"",IFERROR(_xludf.MINIFS(Trade_Reports!$I$3:$I$502,Trade_Reports!$H$3:$H$502,$A80,Trade_Reports!$M$3:$M$502,"APPROVED",Trade_Reports!$Q$3:$Q$502,"&lt;="&amp;Settings!$B$4),"")))</f>
        <v/>
      </c>
      <c r="H80" s="17" t="str">
        <f>IF($A80="","",IF($K80=0,"",IFERROR(_xludf.MAXIFS(Trade_Reports!$I$3:$I$502,Trade_Reports!$H$3:$H$502,$A80,Trade_Reports!$M$3:$M$502,"APPROVED",Trade_Reports!$Q$3:$Q$502,"&lt;="&amp;Settings!$B$4),"")))</f>
        <v/>
      </c>
      <c r="I80" s="17" t="str">
        <f>IF($A80="","",IF($F80="","",IF($Q80="","",IF(ABS($F80-$Q80)/$Q80&lt;=Settings!$B$18,"STABLE",IF($F80&gt;$Q80,"UP","DOWN")))))</f>
        <v/>
      </c>
      <c r="J80" s="18" t="str">
        <f>IF($A80="","",IF($K80=0,"",MIN(100,ROUND($K80/Settings!$B$14*100,0))))</f>
        <v/>
      </c>
      <c r="K80" s="17">
        <f>IF($A80="","",COUNTIFS(Trade_Reports!$H$3:$H$502,$A80,Trade_Reports!$M$3:$M$502,"APPROVED",Trade_Reports!$Q$3:$Q$502,"&lt;="&amp;Settings!$B$4))</f>
        <v>0</v>
      </c>
      <c r="L80" s="19" t="str">
        <f>IF($A80="","",IF($K80=0,"",IFERROR(_xludf.MAXIFS(Trade_Reports!$O$3:$O$502,Trade_Reports!$H$3:$H$502,$A80,Trade_Reports!$M$3:$M$502,"APPROVED"),"")))</f>
        <v/>
      </c>
      <c r="M80" s="16" t="s">
        <v>46</v>
      </c>
      <c r="N80" s="15"/>
      <c r="O80" s="9" t="str">
        <f t="shared" si="0"/>
        <v/>
      </c>
      <c r="P80" s="2">
        <f>IF($A80="","",SUMIFS(Trade_Reports!$U$3:$U$502,Trade_Reports!$H$3:$H$502,$A80,Trade_Reports!$M$3:$M$502,"APPROVED",Trade_Reports!$Q$3:$Q$502,"&lt;="&amp;Settings!$B$4))</f>
        <v>0</v>
      </c>
      <c r="Q80" s="2">
        <f>IF($A80="","",SUMIFS(Trade_Reports!$U$3:$U$502,Trade_Reports!$H$3:$H$502,$A80,Trade_Reports!$M$3:$M$502,"APPROVED",Trade_Reports!$Q$3:$Q$502,"&lt;="&amp;Settings!$B$5))</f>
        <v>0</v>
      </c>
      <c r="R80" s="2" t="str">
        <f>IF($A80="","",IF($Q80=0,"",IFERROR(_xludf.MINIFS(Trade_Reports!$I$3:$I$502,Trade_Reports!$H$3:$H$502,$A80,Trade_Reports!$M$3:$M$502,"APPROVED",Trade_Reports!$Q$3:$Q$502,"&lt;="&amp;Settings!$B$5,Trade_Reports!$X$3:$X$502,"&gt;="&amp;0.5*$Q80),"")))</f>
        <v/>
      </c>
      <c r="S80" s="2">
        <f>IF($A80="","",COUNTIFS(Trade_Reports!$H$3:$H$502,$A80,Trade_Reports!$M$3:$M$502,"APPROVED",Trade_Reports!$Q$3:$Q$502,"&lt;="&amp;Settings!$B$5))</f>
        <v>0</v>
      </c>
      <c r="T80" s="2"/>
      <c r="U80" s="2"/>
      <c r="V80" s="21" t="str">
        <f>IF(OR($A80="",ISERROR(SEARCH("_",$A80))),"",IFERROR(SUMIFS(Trade_Reports!$Z$3:$Z$502,Trade_Reports!$H$3:$H$502,$A80,Trade_Reports!$M$3:$M$502,"APPROVED")/SUMIFS(Trade_Reports!$U$3:$U$502,Trade_Reports!$H$3:$H$502,$A80,Trade_Reports!$M$3:$M$502,"APPROVED"),""))</f>
        <v/>
      </c>
      <c r="W80" s="17" t="str">
        <f t="shared" si="1"/>
        <v/>
      </c>
      <c r="X80" s="2"/>
      <c r="Y80" s="2"/>
      <c r="Z80" s="2"/>
    </row>
    <row r="81" spans="1:26" ht="15.75" customHeight="1" x14ac:dyDescent="0.3">
      <c r="A81" s="15" t="s">
        <v>129</v>
      </c>
      <c r="B81" s="15"/>
      <c r="C81" s="16"/>
      <c r="D81" s="16"/>
      <c r="E81" s="16"/>
      <c r="F81" s="17" t="str">
        <f>IF($A81="","",IF($K81&lt;Settings!$B$14,"",IF($P81=0,"",IFERROR(_xludf.MINIFS(Trade_Reports!$I$3:$I$502,Trade_Reports!$H$3:$H$502,$A81,Trade_Reports!$M$3:$M$502,"APPROVED",Trade_Reports!$Q$3:$Q$502,"&lt;="&amp;Settings!$B$4,Trade_Reports!$W$3:$W$502,"&gt;="&amp;0.5*$P81),""))))</f>
        <v/>
      </c>
      <c r="G81" s="17" t="str">
        <f>IF($A81="","",IF($K81=0,"",IFERROR(_xludf.MINIFS(Trade_Reports!$I$3:$I$502,Trade_Reports!$H$3:$H$502,$A81,Trade_Reports!$M$3:$M$502,"APPROVED",Trade_Reports!$Q$3:$Q$502,"&lt;="&amp;Settings!$B$4),"")))</f>
        <v/>
      </c>
      <c r="H81" s="17" t="str">
        <f>IF($A81="","",IF($K81=0,"",IFERROR(_xludf.MAXIFS(Trade_Reports!$I$3:$I$502,Trade_Reports!$H$3:$H$502,$A81,Trade_Reports!$M$3:$M$502,"APPROVED",Trade_Reports!$Q$3:$Q$502,"&lt;="&amp;Settings!$B$4),"")))</f>
        <v/>
      </c>
      <c r="I81" s="17" t="str">
        <f>IF($A81="","",IF($F81="","",IF($Q81="","",IF(ABS($F81-$Q81)/$Q81&lt;=Settings!$B$18,"STABLE",IF($F81&gt;$Q81,"UP","DOWN")))))</f>
        <v/>
      </c>
      <c r="J81" s="18" t="str">
        <f>IF($A81="","",IF($K81=0,"",MIN(100,ROUND($K81/Settings!$B$14*100,0))))</f>
        <v/>
      </c>
      <c r="K81" s="17">
        <f>IF($A81="","",COUNTIFS(Trade_Reports!$H$3:$H$502,$A81,Trade_Reports!$M$3:$M$502,"APPROVED",Trade_Reports!$Q$3:$Q$502,"&lt;="&amp;Settings!$B$4))</f>
        <v>0</v>
      </c>
      <c r="L81" s="19" t="str">
        <f>IF($A81="","",IF($K81=0,"",IFERROR(_xludf.MAXIFS(Trade_Reports!$O$3:$O$502,Trade_Reports!$H$3:$H$502,$A81,Trade_Reports!$M$3:$M$502,"APPROVED"),"")))</f>
        <v/>
      </c>
      <c r="M81" s="16" t="s">
        <v>46</v>
      </c>
      <c r="N81" s="15"/>
      <c r="O81" s="9" t="str">
        <f t="shared" si="0"/>
        <v/>
      </c>
      <c r="P81" s="2">
        <f>IF($A81="","",SUMIFS(Trade_Reports!$U$3:$U$502,Trade_Reports!$H$3:$H$502,$A81,Trade_Reports!$M$3:$M$502,"APPROVED",Trade_Reports!$Q$3:$Q$502,"&lt;="&amp;Settings!$B$4))</f>
        <v>0</v>
      </c>
      <c r="Q81" s="2">
        <f>IF($A81="","",SUMIFS(Trade_Reports!$U$3:$U$502,Trade_Reports!$H$3:$H$502,$A81,Trade_Reports!$M$3:$M$502,"APPROVED",Trade_Reports!$Q$3:$Q$502,"&lt;="&amp;Settings!$B$5))</f>
        <v>0</v>
      </c>
      <c r="R81" s="2" t="str">
        <f>IF($A81="","",IF($Q81=0,"",IFERROR(_xludf.MINIFS(Trade_Reports!$I$3:$I$502,Trade_Reports!$H$3:$H$502,$A81,Trade_Reports!$M$3:$M$502,"APPROVED",Trade_Reports!$Q$3:$Q$502,"&lt;="&amp;Settings!$B$5,Trade_Reports!$X$3:$X$502,"&gt;="&amp;0.5*$Q81),"")))</f>
        <v/>
      </c>
      <c r="S81" s="2">
        <f>IF($A81="","",COUNTIFS(Trade_Reports!$H$3:$H$502,$A81,Trade_Reports!$M$3:$M$502,"APPROVED",Trade_Reports!$Q$3:$Q$502,"&lt;="&amp;Settings!$B$5))</f>
        <v>0</v>
      </c>
      <c r="T81" s="2"/>
      <c r="U81" s="2"/>
      <c r="V81" s="21" t="str">
        <f>IF(OR($A81="",ISERROR(SEARCH("_",$A81))),"",IFERROR(SUMIFS(Trade_Reports!$Z$3:$Z$502,Trade_Reports!$H$3:$H$502,$A81,Trade_Reports!$M$3:$M$502,"APPROVED")/SUMIFS(Trade_Reports!$U$3:$U$502,Trade_Reports!$H$3:$H$502,$A81,Trade_Reports!$M$3:$M$502,"APPROVED"),""))</f>
        <v/>
      </c>
      <c r="W81" s="17" t="str">
        <f t="shared" si="1"/>
        <v/>
      </c>
      <c r="X81" s="2"/>
      <c r="Y81" s="2"/>
      <c r="Z81" s="2"/>
    </row>
    <row r="82" spans="1:26" ht="15.75" customHeight="1" x14ac:dyDescent="0.3">
      <c r="A82" s="15" t="s">
        <v>130</v>
      </c>
      <c r="B82" s="15"/>
      <c r="C82" s="16"/>
      <c r="D82" s="16"/>
      <c r="E82" s="16"/>
      <c r="F82" s="17" t="str">
        <f>IF($A82="","",IF($K82&lt;Settings!$B$14,"",IF($P82=0,"",IFERROR(_xludf.MINIFS(Trade_Reports!$I$3:$I$502,Trade_Reports!$H$3:$H$502,$A82,Trade_Reports!$M$3:$M$502,"APPROVED",Trade_Reports!$Q$3:$Q$502,"&lt;="&amp;Settings!$B$4,Trade_Reports!$W$3:$W$502,"&gt;="&amp;0.5*$P82),""))))</f>
        <v/>
      </c>
      <c r="G82" s="17" t="str">
        <f>IF($A82="","",IF($K82=0,"",IFERROR(_xludf.MINIFS(Trade_Reports!$I$3:$I$502,Trade_Reports!$H$3:$H$502,$A82,Trade_Reports!$M$3:$M$502,"APPROVED",Trade_Reports!$Q$3:$Q$502,"&lt;="&amp;Settings!$B$4),"")))</f>
        <v/>
      </c>
      <c r="H82" s="17" t="str">
        <f>IF($A82="","",IF($K82=0,"",IFERROR(_xludf.MAXIFS(Trade_Reports!$I$3:$I$502,Trade_Reports!$H$3:$H$502,$A82,Trade_Reports!$M$3:$M$502,"APPROVED",Trade_Reports!$Q$3:$Q$502,"&lt;="&amp;Settings!$B$4),"")))</f>
        <v/>
      </c>
      <c r="I82" s="17" t="str">
        <f>IF($A82="","",IF($F82="","",IF($Q82="","",IF(ABS($F82-$Q82)/$Q82&lt;=Settings!$B$18,"STABLE",IF($F82&gt;$Q82,"UP","DOWN")))))</f>
        <v/>
      </c>
      <c r="J82" s="18" t="str">
        <f>IF($A82="","",IF($K82=0,"",MIN(100,ROUND($K82/Settings!$B$14*100,0))))</f>
        <v/>
      </c>
      <c r="K82" s="17">
        <f>IF($A82="","",COUNTIFS(Trade_Reports!$H$3:$H$502,$A82,Trade_Reports!$M$3:$M$502,"APPROVED",Trade_Reports!$Q$3:$Q$502,"&lt;="&amp;Settings!$B$4))</f>
        <v>0</v>
      </c>
      <c r="L82" s="19" t="str">
        <f>IF($A82="","",IF($K82=0,"",IFERROR(_xludf.MAXIFS(Trade_Reports!$O$3:$O$502,Trade_Reports!$H$3:$H$502,$A82,Trade_Reports!$M$3:$M$502,"APPROVED"),"")))</f>
        <v/>
      </c>
      <c r="M82" s="16" t="s">
        <v>46</v>
      </c>
      <c r="N82" s="15"/>
      <c r="O82" s="9" t="str">
        <f t="shared" si="0"/>
        <v/>
      </c>
      <c r="P82" s="2">
        <f>IF($A82="","",SUMIFS(Trade_Reports!$U$3:$U$502,Trade_Reports!$H$3:$H$502,$A82,Trade_Reports!$M$3:$M$502,"APPROVED",Trade_Reports!$Q$3:$Q$502,"&lt;="&amp;Settings!$B$4))</f>
        <v>0</v>
      </c>
      <c r="Q82" s="2">
        <f>IF($A82="","",SUMIFS(Trade_Reports!$U$3:$U$502,Trade_Reports!$H$3:$H$502,$A82,Trade_Reports!$M$3:$M$502,"APPROVED",Trade_Reports!$Q$3:$Q$502,"&lt;="&amp;Settings!$B$5))</f>
        <v>0</v>
      </c>
      <c r="R82" s="2" t="str">
        <f>IF($A82="","",IF($Q82=0,"",IFERROR(_xludf.MINIFS(Trade_Reports!$I$3:$I$502,Trade_Reports!$H$3:$H$502,$A82,Trade_Reports!$M$3:$M$502,"APPROVED",Trade_Reports!$Q$3:$Q$502,"&lt;="&amp;Settings!$B$5,Trade_Reports!$X$3:$X$502,"&gt;="&amp;0.5*$Q82),"")))</f>
        <v/>
      </c>
      <c r="S82" s="2">
        <f>IF($A82="","",COUNTIFS(Trade_Reports!$H$3:$H$502,$A82,Trade_Reports!$M$3:$M$502,"APPROVED",Trade_Reports!$Q$3:$Q$502,"&lt;="&amp;Settings!$B$5))</f>
        <v>0</v>
      </c>
      <c r="T82" s="2"/>
      <c r="U82" s="2"/>
      <c r="V82" s="21" t="str">
        <f>IF(OR($A82="",ISERROR(SEARCH("_",$A82))),"",IFERROR(SUMIFS(Trade_Reports!$Z$3:$Z$502,Trade_Reports!$H$3:$H$502,$A82,Trade_Reports!$M$3:$M$502,"APPROVED")/SUMIFS(Trade_Reports!$U$3:$U$502,Trade_Reports!$H$3:$H$502,$A82,Trade_Reports!$M$3:$M$502,"APPROVED"),""))</f>
        <v/>
      </c>
      <c r="W82" s="17" t="str">
        <f t="shared" si="1"/>
        <v/>
      </c>
      <c r="X82" s="2"/>
      <c r="Y82" s="2"/>
      <c r="Z82" s="2"/>
    </row>
    <row r="83" spans="1:26" ht="15.75" customHeight="1" x14ac:dyDescent="0.3">
      <c r="A83" s="15" t="s">
        <v>131</v>
      </c>
      <c r="B83" s="15"/>
      <c r="C83" s="16"/>
      <c r="D83" s="16"/>
      <c r="E83" s="16"/>
      <c r="F83" s="17" t="str">
        <f>IF($A83="","",IF($K83&lt;Settings!$B$14,"",IF($P83=0,"",IFERROR(_xludf.MINIFS(Trade_Reports!$I$3:$I$502,Trade_Reports!$H$3:$H$502,$A83,Trade_Reports!$M$3:$M$502,"APPROVED",Trade_Reports!$Q$3:$Q$502,"&lt;="&amp;Settings!$B$4,Trade_Reports!$W$3:$W$502,"&gt;="&amp;0.5*$P83),""))))</f>
        <v/>
      </c>
      <c r="G83" s="17" t="str">
        <f>IF($A83="","",IF($K83=0,"",IFERROR(_xludf.MINIFS(Trade_Reports!$I$3:$I$502,Trade_Reports!$H$3:$H$502,$A83,Trade_Reports!$M$3:$M$502,"APPROVED",Trade_Reports!$Q$3:$Q$502,"&lt;="&amp;Settings!$B$4),"")))</f>
        <v/>
      </c>
      <c r="H83" s="17" t="str">
        <f>IF($A83="","",IF($K83=0,"",IFERROR(_xludf.MAXIFS(Trade_Reports!$I$3:$I$502,Trade_Reports!$H$3:$H$502,$A83,Trade_Reports!$M$3:$M$502,"APPROVED",Trade_Reports!$Q$3:$Q$502,"&lt;="&amp;Settings!$B$4),"")))</f>
        <v/>
      </c>
      <c r="I83" s="17" t="str">
        <f>IF($A83="","",IF($F83="","",IF($Q83="","",IF(ABS($F83-$Q83)/$Q83&lt;=Settings!$B$18,"STABLE",IF($F83&gt;$Q83,"UP","DOWN")))))</f>
        <v/>
      </c>
      <c r="J83" s="18" t="str">
        <f>IF($A83="","",IF($K83=0,"",MIN(100,ROUND($K83/Settings!$B$14*100,0))))</f>
        <v/>
      </c>
      <c r="K83" s="17">
        <f>IF($A83="","",COUNTIFS(Trade_Reports!$H$3:$H$502,$A83,Trade_Reports!$M$3:$M$502,"APPROVED",Trade_Reports!$Q$3:$Q$502,"&lt;="&amp;Settings!$B$4))</f>
        <v>0</v>
      </c>
      <c r="L83" s="19" t="str">
        <f>IF($A83="","",IF($K83=0,"",IFERROR(_xludf.MAXIFS(Trade_Reports!$O$3:$O$502,Trade_Reports!$H$3:$H$502,$A83,Trade_Reports!$M$3:$M$502,"APPROVED"),"")))</f>
        <v/>
      </c>
      <c r="M83" s="16" t="s">
        <v>46</v>
      </c>
      <c r="N83" s="15"/>
      <c r="O83" s="9" t="str">
        <f t="shared" si="0"/>
        <v/>
      </c>
      <c r="P83" s="2">
        <f>IF($A83="","",SUMIFS(Trade_Reports!$U$3:$U$502,Trade_Reports!$H$3:$H$502,$A83,Trade_Reports!$M$3:$M$502,"APPROVED",Trade_Reports!$Q$3:$Q$502,"&lt;="&amp;Settings!$B$4))</f>
        <v>0</v>
      </c>
      <c r="Q83" s="2">
        <f>IF($A83="","",SUMIFS(Trade_Reports!$U$3:$U$502,Trade_Reports!$H$3:$H$502,$A83,Trade_Reports!$M$3:$M$502,"APPROVED",Trade_Reports!$Q$3:$Q$502,"&lt;="&amp;Settings!$B$5))</f>
        <v>0</v>
      </c>
      <c r="R83" s="2" t="str">
        <f>IF($A83="","",IF($Q83=0,"",IFERROR(_xludf.MINIFS(Trade_Reports!$I$3:$I$502,Trade_Reports!$H$3:$H$502,$A83,Trade_Reports!$M$3:$M$502,"APPROVED",Trade_Reports!$Q$3:$Q$502,"&lt;="&amp;Settings!$B$5,Trade_Reports!$X$3:$X$502,"&gt;="&amp;0.5*$Q83),"")))</f>
        <v/>
      </c>
      <c r="S83" s="2">
        <f>IF($A83="","",COUNTIFS(Trade_Reports!$H$3:$H$502,$A83,Trade_Reports!$M$3:$M$502,"APPROVED",Trade_Reports!$Q$3:$Q$502,"&lt;="&amp;Settings!$B$5))</f>
        <v>0</v>
      </c>
      <c r="T83" s="2"/>
      <c r="U83" s="2"/>
      <c r="V83" s="21" t="str">
        <f>IF(OR($A83="",ISERROR(SEARCH("_",$A83))),"",IFERROR(SUMIFS(Trade_Reports!$Z$3:$Z$502,Trade_Reports!$H$3:$H$502,$A83,Trade_Reports!$M$3:$M$502,"APPROVED")/SUMIFS(Trade_Reports!$U$3:$U$502,Trade_Reports!$H$3:$H$502,$A83,Trade_Reports!$M$3:$M$502,"APPROVED"),""))</f>
        <v/>
      </c>
      <c r="W83" s="17" t="str">
        <f t="shared" si="1"/>
        <v/>
      </c>
      <c r="X83" s="2"/>
      <c r="Y83" s="2"/>
      <c r="Z83" s="2"/>
    </row>
    <row r="84" spans="1:26" ht="15.75" customHeight="1" x14ac:dyDescent="0.3">
      <c r="A84" s="15" t="s">
        <v>132</v>
      </c>
      <c r="B84" s="15"/>
      <c r="C84" s="16"/>
      <c r="D84" s="16"/>
      <c r="E84" s="16"/>
      <c r="F84" s="17" t="str">
        <f>IF($A84="","",IF($K84&lt;Settings!$B$14,"",IF($P84=0,"",IFERROR(_xludf.MINIFS(Trade_Reports!$I$3:$I$502,Trade_Reports!$H$3:$H$502,$A84,Trade_Reports!$M$3:$M$502,"APPROVED",Trade_Reports!$Q$3:$Q$502,"&lt;="&amp;Settings!$B$4,Trade_Reports!$W$3:$W$502,"&gt;="&amp;0.5*$P84),""))))</f>
        <v/>
      </c>
      <c r="G84" s="17" t="str">
        <f>IF($A84="","",IF($K84=0,"",IFERROR(_xludf.MINIFS(Trade_Reports!$I$3:$I$502,Trade_Reports!$H$3:$H$502,$A84,Trade_Reports!$M$3:$M$502,"APPROVED",Trade_Reports!$Q$3:$Q$502,"&lt;="&amp;Settings!$B$4),"")))</f>
        <v/>
      </c>
      <c r="H84" s="17" t="str">
        <f>IF($A84="","",IF($K84=0,"",IFERROR(_xludf.MAXIFS(Trade_Reports!$I$3:$I$502,Trade_Reports!$H$3:$H$502,$A84,Trade_Reports!$M$3:$M$502,"APPROVED",Trade_Reports!$Q$3:$Q$502,"&lt;="&amp;Settings!$B$4),"")))</f>
        <v/>
      </c>
      <c r="I84" s="17" t="str">
        <f>IF($A84="","",IF($F84="","",IF($Q84="","",IF(ABS($F84-$Q84)/$Q84&lt;=Settings!$B$18,"STABLE",IF($F84&gt;$Q84,"UP","DOWN")))))</f>
        <v/>
      </c>
      <c r="J84" s="18" t="str">
        <f>IF($A84="","",IF($K84=0,"",MIN(100,ROUND($K84/Settings!$B$14*100,0))))</f>
        <v/>
      </c>
      <c r="K84" s="17">
        <f>IF($A84="","",COUNTIFS(Trade_Reports!$H$3:$H$502,$A84,Trade_Reports!$M$3:$M$502,"APPROVED",Trade_Reports!$Q$3:$Q$502,"&lt;="&amp;Settings!$B$4))</f>
        <v>0</v>
      </c>
      <c r="L84" s="19" t="str">
        <f>IF($A84="","",IF($K84=0,"",IFERROR(_xludf.MAXIFS(Trade_Reports!$O$3:$O$502,Trade_Reports!$H$3:$H$502,$A84,Trade_Reports!$M$3:$M$502,"APPROVED"),"")))</f>
        <v/>
      </c>
      <c r="M84" s="16" t="s">
        <v>46</v>
      </c>
      <c r="N84" s="15"/>
      <c r="O84" s="9" t="str">
        <f t="shared" si="0"/>
        <v/>
      </c>
      <c r="P84" s="2">
        <f>IF($A84="","",SUMIFS(Trade_Reports!$U$3:$U$502,Trade_Reports!$H$3:$H$502,$A84,Trade_Reports!$M$3:$M$502,"APPROVED",Trade_Reports!$Q$3:$Q$502,"&lt;="&amp;Settings!$B$4))</f>
        <v>0</v>
      </c>
      <c r="Q84" s="2">
        <f>IF($A84="","",SUMIFS(Trade_Reports!$U$3:$U$502,Trade_Reports!$H$3:$H$502,$A84,Trade_Reports!$M$3:$M$502,"APPROVED",Trade_Reports!$Q$3:$Q$502,"&lt;="&amp;Settings!$B$5))</f>
        <v>0</v>
      </c>
      <c r="R84" s="2" t="str">
        <f>IF($A84="","",IF($Q84=0,"",IFERROR(_xludf.MINIFS(Trade_Reports!$I$3:$I$502,Trade_Reports!$H$3:$H$502,$A84,Trade_Reports!$M$3:$M$502,"APPROVED",Trade_Reports!$Q$3:$Q$502,"&lt;="&amp;Settings!$B$5,Trade_Reports!$X$3:$X$502,"&gt;="&amp;0.5*$Q84),"")))</f>
        <v/>
      </c>
      <c r="S84" s="2">
        <f>IF($A84="","",COUNTIFS(Trade_Reports!$H$3:$H$502,$A84,Trade_Reports!$M$3:$M$502,"APPROVED",Trade_Reports!$Q$3:$Q$502,"&lt;="&amp;Settings!$B$5))</f>
        <v>0</v>
      </c>
      <c r="T84" s="2"/>
      <c r="U84" s="2"/>
      <c r="V84" s="21" t="str">
        <f>IF(OR($A84="",ISERROR(SEARCH("_",$A84))),"",IFERROR(SUMIFS(Trade_Reports!$Z$3:$Z$502,Trade_Reports!$H$3:$H$502,$A84,Trade_Reports!$M$3:$M$502,"APPROVED")/SUMIFS(Trade_Reports!$U$3:$U$502,Trade_Reports!$H$3:$H$502,$A84,Trade_Reports!$M$3:$M$502,"APPROVED"),""))</f>
        <v/>
      </c>
      <c r="W84" s="17" t="str">
        <f t="shared" si="1"/>
        <v/>
      </c>
      <c r="X84" s="2"/>
      <c r="Y84" s="2"/>
      <c r="Z84" s="2"/>
    </row>
    <row r="85" spans="1:26" ht="15.75" customHeight="1" x14ac:dyDescent="0.3">
      <c r="A85" s="15"/>
      <c r="B85" s="15"/>
      <c r="C85" s="16"/>
      <c r="D85" s="16"/>
      <c r="E85" s="16"/>
      <c r="F85" s="17" t="str">
        <f>IF($A85="","",IF($K85&lt;Settings!$B$14,"",IF($P85=0,"",IFERROR(_xludf.MINIFS(Trade_Reports!$I$3:$I$502,Trade_Reports!$H$3:$H$502,$A85,Trade_Reports!$M$3:$M$502,"APPROVED",Trade_Reports!$Q$3:$Q$502,"&lt;="&amp;Settings!$B$4,Trade_Reports!$W$3:$W$502,"&gt;="&amp;0.5*$P85),""))))</f>
        <v/>
      </c>
      <c r="G85" s="17" t="str">
        <f>IF($A85="","",IF($K85=0,"",IFERROR(_xludf.MINIFS(Trade_Reports!$I$3:$I$502,Trade_Reports!$H$3:$H$502,$A85,Trade_Reports!$M$3:$M$502,"APPROVED",Trade_Reports!$Q$3:$Q$502,"&lt;="&amp;Settings!$B$4),"")))</f>
        <v/>
      </c>
      <c r="H85" s="17" t="str">
        <f>IF($A85="","",IF($K85=0,"",IFERROR(_xludf.MAXIFS(Trade_Reports!$I$3:$I$502,Trade_Reports!$H$3:$H$502,$A85,Trade_Reports!$M$3:$M$502,"APPROVED",Trade_Reports!$Q$3:$Q$502,"&lt;="&amp;Settings!$B$4),"")))</f>
        <v/>
      </c>
      <c r="I85" s="17" t="str">
        <f>IF($A85="","",IF($F85="","",IF($Q85="","",IF(ABS($F85-$Q85)/$Q85&lt;=Settings!$B$18,"STABLE",IF($F85&gt;$Q85,"UP","DOWN")))))</f>
        <v/>
      </c>
      <c r="J85" s="18" t="str">
        <f>IF($A85="","",IF($K85=0,"",MIN(100,ROUND($K85/Settings!$B$14*100,0))))</f>
        <v/>
      </c>
      <c r="K85" s="17" t="str">
        <f>IF($A85="","",COUNTIFS(Trade_Reports!$H$3:$H$502,$A85,Trade_Reports!$M$3:$M$502,"APPROVED",Trade_Reports!$Q$3:$Q$502,"&lt;="&amp;Settings!$B$4))</f>
        <v/>
      </c>
      <c r="L85" s="19" t="str">
        <f>IF($A85="","",IF($K85=0,"",IFERROR(_xludf.MAXIFS(Trade_Reports!$O$3:$O$502,Trade_Reports!$H$3:$H$502,$A85,Trade_Reports!$M$3:$M$502,"APPROVED"),"")))</f>
        <v/>
      </c>
      <c r="M85" s="16" t="s">
        <v>46</v>
      </c>
      <c r="N85" s="15"/>
      <c r="O85" s="9" t="str">
        <f t="shared" si="0"/>
        <v/>
      </c>
      <c r="P85" s="2" t="str">
        <f>IF($A85="","",SUMIFS(Trade_Reports!$U$3:$U$502,Trade_Reports!$H$3:$H$502,$A85,Trade_Reports!$M$3:$M$502,"APPROVED",Trade_Reports!$Q$3:$Q$502,"&lt;="&amp;Settings!$B$4))</f>
        <v/>
      </c>
      <c r="Q85" s="2" t="str">
        <f>IF($A85="","",SUMIFS(Trade_Reports!$U$3:$U$502,Trade_Reports!$H$3:$H$502,$A85,Trade_Reports!$M$3:$M$502,"APPROVED",Trade_Reports!$Q$3:$Q$502,"&lt;="&amp;Settings!$B$5))</f>
        <v/>
      </c>
      <c r="R85" s="2" t="str">
        <f>IF($A85="","",IF($Q85=0,"",IFERROR(_xludf.MINIFS(Trade_Reports!$I$3:$I$502,Trade_Reports!$H$3:$H$502,$A85,Trade_Reports!$M$3:$M$502,"APPROVED",Trade_Reports!$Q$3:$Q$502,"&lt;="&amp;Settings!$B$5,Trade_Reports!$X$3:$X$502,"&gt;="&amp;0.5*$Q85),"")))</f>
        <v/>
      </c>
      <c r="S85" s="2" t="str">
        <f>IF($A85="","",COUNTIFS(Trade_Reports!$H$3:$H$502,$A85,Trade_Reports!$M$3:$M$502,"APPROVED",Trade_Reports!$Q$3:$Q$502,"&lt;="&amp;Settings!$B$5))</f>
        <v/>
      </c>
      <c r="T85" s="2"/>
      <c r="U85" s="2"/>
      <c r="V85" s="21" t="str">
        <f>IF(OR($A85="",ISERROR(SEARCH("_",$A85))),"",IFERROR(SUMIFS(Trade_Reports!$Z$3:$Z$502,Trade_Reports!$H$3:$H$502,$A85,Trade_Reports!$M$3:$M$502,"APPROVED")/SUMIFS(Trade_Reports!$U$3:$U$502,Trade_Reports!$H$3:$H$502,$A85,Trade_Reports!$M$3:$M$502,"APPROVED"),""))</f>
        <v/>
      </c>
      <c r="W85" s="17" t="str">
        <f t="shared" si="1"/>
        <v/>
      </c>
      <c r="X85" s="2"/>
      <c r="Y85" s="2"/>
      <c r="Z85" s="2"/>
    </row>
    <row r="86" spans="1:26" ht="15.75" customHeight="1" x14ac:dyDescent="0.3">
      <c r="A86" s="15"/>
      <c r="B86" s="15"/>
      <c r="C86" s="16"/>
      <c r="D86" s="16"/>
      <c r="E86" s="16"/>
      <c r="F86" s="17" t="str">
        <f>IF($A86="","",IF($K86&lt;Settings!$B$14,"",IF($P86=0,"",IFERROR(_xludf.MINIFS(Trade_Reports!$I$3:$I$502,Trade_Reports!$H$3:$H$502,$A86,Trade_Reports!$M$3:$M$502,"APPROVED",Trade_Reports!$Q$3:$Q$502,"&lt;="&amp;Settings!$B$4,Trade_Reports!$W$3:$W$502,"&gt;="&amp;0.5*$P86),""))))</f>
        <v/>
      </c>
      <c r="G86" s="17" t="str">
        <f>IF($A86="","",IF($K86=0,"",IFERROR(_xludf.MINIFS(Trade_Reports!$I$3:$I$502,Trade_Reports!$H$3:$H$502,$A86,Trade_Reports!$M$3:$M$502,"APPROVED",Trade_Reports!$Q$3:$Q$502,"&lt;="&amp;Settings!$B$4),"")))</f>
        <v/>
      </c>
      <c r="H86" s="17" t="str">
        <f>IF($A86="","",IF($K86=0,"",IFERROR(_xludf.MAXIFS(Trade_Reports!$I$3:$I$502,Trade_Reports!$H$3:$H$502,$A86,Trade_Reports!$M$3:$M$502,"APPROVED",Trade_Reports!$Q$3:$Q$502,"&lt;="&amp;Settings!$B$4),"")))</f>
        <v/>
      </c>
      <c r="I86" s="17" t="str">
        <f>IF($A86="","",IF($F86="","",IF($Q86="","",IF(ABS($F86-$Q86)/$Q86&lt;=Settings!$B$18,"STABLE",IF($F86&gt;$Q86,"UP","DOWN")))))</f>
        <v/>
      </c>
      <c r="J86" s="18" t="str">
        <f>IF($A86="","",IF($K86=0,"",MIN(100,ROUND($K86/Settings!$B$14*100,0))))</f>
        <v/>
      </c>
      <c r="K86" s="17" t="str">
        <f>IF($A86="","",COUNTIFS(Trade_Reports!$H$3:$H$502,$A86,Trade_Reports!$M$3:$M$502,"APPROVED",Trade_Reports!$Q$3:$Q$502,"&lt;="&amp;Settings!$B$4))</f>
        <v/>
      </c>
      <c r="L86" s="19" t="str">
        <f>IF($A86="","",IF($K86=0,"",IFERROR(_xludf.MAXIFS(Trade_Reports!$O$3:$O$502,Trade_Reports!$H$3:$H$502,$A86,Trade_Reports!$M$3:$M$502,"APPROVED"),"")))</f>
        <v/>
      </c>
      <c r="M86" s="16" t="s">
        <v>46</v>
      </c>
      <c r="N86" s="15"/>
      <c r="O86" s="9" t="str">
        <f t="shared" si="0"/>
        <v/>
      </c>
      <c r="P86" s="2" t="str">
        <f>IF($A86="","",SUMIFS(Trade_Reports!$U$3:$U$502,Trade_Reports!$H$3:$H$502,$A86,Trade_Reports!$M$3:$M$502,"APPROVED",Trade_Reports!$Q$3:$Q$502,"&lt;="&amp;Settings!$B$4))</f>
        <v/>
      </c>
      <c r="Q86" s="2" t="str">
        <f>IF($A86="","",SUMIFS(Trade_Reports!$U$3:$U$502,Trade_Reports!$H$3:$H$502,$A86,Trade_Reports!$M$3:$M$502,"APPROVED",Trade_Reports!$Q$3:$Q$502,"&lt;="&amp;Settings!$B$5))</f>
        <v/>
      </c>
      <c r="R86" s="2" t="str">
        <f>IF($A86="","",IF($Q86=0,"",IFERROR(_xludf.MINIFS(Trade_Reports!$I$3:$I$502,Trade_Reports!$H$3:$H$502,$A86,Trade_Reports!$M$3:$M$502,"APPROVED",Trade_Reports!$Q$3:$Q$502,"&lt;="&amp;Settings!$B$5,Trade_Reports!$X$3:$X$502,"&gt;="&amp;0.5*$Q86),"")))</f>
        <v/>
      </c>
      <c r="S86" s="2" t="str">
        <f>IF($A86="","",COUNTIFS(Trade_Reports!$H$3:$H$502,$A86,Trade_Reports!$M$3:$M$502,"APPROVED",Trade_Reports!$Q$3:$Q$502,"&lt;="&amp;Settings!$B$5))</f>
        <v/>
      </c>
      <c r="T86" s="2"/>
      <c r="U86" s="2"/>
      <c r="V86" s="21" t="str">
        <f>IF(OR($A86="",ISERROR(SEARCH("_",$A86))),"",IFERROR(SUMIFS(Trade_Reports!$Z$3:$Z$502,Trade_Reports!$H$3:$H$502,$A86,Trade_Reports!$M$3:$M$502,"APPROVED")/SUMIFS(Trade_Reports!$U$3:$U$502,Trade_Reports!$H$3:$H$502,$A86,Trade_Reports!$M$3:$M$502,"APPROVED"),""))</f>
        <v/>
      </c>
      <c r="W86" s="17" t="str">
        <f t="shared" si="1"/>
        <v/>
      </c>
      <c r="X86" s="2"/>
      <c r="Y86" s="2"/>
      <c r="Z86" s="2"/>
    </row>
    <row r="87" spans="1:26" ht="15.75" customHeight="1" x14ac:dyDescent="0.3">
      <c r="A87" s="15"/>
      <c r="B87" s="15"/>
      <c r="C87" s="16"/>
      <c r="D87" s="16"/>
      <c r="E87" s="16"/>
      <c r="F87" s="17" t="str">
        <f>IF($A87="","",IF($K87&lt;Settings!$B$14,"",IF($P87=0,"",IFERROR(_xludf.MINIFS(Trade_Reports!$I$3:$I$502,Trade_Reports!$H$3:$H$502,$A87,Trade_Reports!$M$3:$M$502,"APPROVED",Trade_Reports!$Q$3:$Q$502,"&lt;="&amp;Settings!$B$4,Trade_Reports!$W$3:$W$502,"&gt;="&amp;0.5*$P87),""))))</f>
        <v/>
      </c>
      <c r="G87" s="17" t="str">
        <f>IF($A87="","",IF($K87=0,"",IFERROR(_xludf.MINIFS(Trade_Reports!$I$3:$I$502,Trade_Reports!$H$3:$H$502,$A87,Trade_Reports!$M$3:$M$502,"APPROVED",Trade_Reports!$Q$3:$Q$502,"&lt;="&amp;Settings!$B$4),"")))</f>
        <v/>
      </c>
      <c r="H87" s="17" t="str">
        <f>IF($A87="","",IF($K87=0,"",IFERROR(_xludf.MAXIFS(Trade_Reports!$I$3:$I$502,Trade_Reports!$H$3:$H$502,$A87,Trade_Reports!$M$3:$M$502,"APPROVED",Trade_Reports!$Q$3:$Q$502,"&lt;="&amp;Settings!$B$4),"")))</f>
        <v/>
      </c>
      <c r="I87" s="17" t="str">
        <f>IF($A87="","",IF($F87="","",IF($Q87="","",IF(ABS($F87-$Q87)/$Q87&lt;=Settings!$B$18,"STABLE",IF($F87&gt;$Q87,"UP","DOWN")))))</f>
        <v/>
      </c>
      <c r="J87" s="18" t="str">
        <f>IF($A87="","",IF($K87=0,"",MIN(100,ROUND($K87/Settings!$B$14*100,0))))</f>
        <v/>
      </c>
      <c r="K87" s="17" t="str">
        <f>IF($A87="","",COUNTIFS(Trade_Reports!$H$3:$H$502,$A87,Trade_Reports!$M$3:$M$502,"APPROVED",Trade_Reports!$Q$3:$Q$502,"&lt;="&amp;Settings!$B$4))</f>
        <v/>
      </c>
      <c r="L87" s="19" t="str">
        <f>IF($A87="","",IF($K87=0,"",IFERROR(_xludf.MAXIFS(Trade_Reports!$O$3:$O$502,Trade_Reports!$H$3:$H$502,$A87,Trade_Reports!$M$3:$M$502,"APPROVED"),"")))</f>
        <v/>
      </c>
      <c r="M87" s="16" t="s">
        <v>46</v>
      </c>
      <c r="N87" s="15"/>
      <c r="O87" s="9" t="str">
        <f t="shared" si="0"/>
        <v/>
      </c>
      <c r="P87" s="2" t="str">
        <f>IF($A87="","",SUMIFS(Trade_Reports!$U$3:$U$502,Trade_Reports!$H$3:$H$502,$A87,Trade_Reports!$M$3:$M$502,"APPROVED",Trade_Reports!$Q$3:$Q$502,"&lt;="&amp;Settings!$B$4))</f>
        <v/>
      </c>
      <c r="Q87" s="2" t="str">
        <f>IF($A87="","",SUMIFS(Trade_Reports!$U$3:$U$502,Trade_Reports!$H$3:$H$502,$A87,Trade_Reports!$M$3:$M$502,"APPROVED",Trade_Reports!$Q$3:$Q$502,"&lt;="&amp;Settings!$B$5))</f>
        <v/>
      </c>
      <c r="R87" s="2" t="str">
        <f>IF($A87="","",IF($Q87=0,"",IFERROR(_xludf.MINIFS(Trade_Reports!$I$3:$I$502,Trade_Reports!$H$3:$H$502,$A87,Trade_Reports!$M$3:$M$502,"APPROVED",Trade_Reports!$Q$3:$Q$502,"&lt;="&amp;Settings!$B$5,Trade_Reports!$X$3:$X$502,"&gt;="&amp;0.5*$Q87),"")))</f>
        <v/>
      </c>
      <c r="S87" s="2" t="str">
        <f>IF($A87="","",COUNTIFS(Trade_Reports!$H$3:$H$502,$A87,Trade_Reports!$M$3:$M$502,"APPROVED",Trade_Reports!$Q$3:$Q$502,"&lt;="&amp;Settings!$B$5))</f>
        <v/>
      </c>
      <c r="T87" s="2"/>
      <c r="U87" s="2"/>
      <c r="V87" s="21" t="str">
        <f>IF(OR($A87="",ISERROR(SEARCH("_",$A87))),"",IFERROR(SUMIFS(Trade_Reports!$Z$3:$Z$502,Trade_Reports!$H$3:$H$502,$A87,Trade_Reports!$M$3:$M$502,"APPROVED")/SUMIFS(Trade_Reports!$U$3:$U$502,Trade_Reports!$H$3:$H$502,$A87,Trade_Reports!$M$3:$M$502,"APPROVED"),""))</f>
        <v/>
      </c>
      <c r="W87" s="17" t="str">
        <f t="shared" si="1"/>
        <v/>
      </c>
      <c r="X87" s="2"/>
      <c r="Y87" s="2"/>
      <c r="Z87" s="2"/>
    </row>
    <row r="88" spans="1:26" ht="15.75" customHeight="1" x14ac:dyDescent="0.3">
      <c r="A88" s="15"/>
      <c r="B88" s="15"/>
      <c r="C88" s="16"/>
      <c r="D88" s="16"/>
      <c r="E88" s="16"/>
      <c r="F88" s="17" t="str">
        <f>IF($A88="","",IF($K88&lt;Settings!$B$14,"",IF($P88=0,"",IFERROR(_xludf.MINIFS(Trade_Reports!$I$3:$I$502,Trade_Reports!$H$3:$H$502,$A88,Trade_Reports!$M$3:$M$502,"APPROVED",Trade_Reports!$Q$3:$Q$502,"&lt;="&amp;Settings!$B$4,Trade_Reports!$W$3:$W$502,"&gt;="&amp;0.5*$P88),""))))</f>
        <v/>
      </c>
      <c r="G88" s="17" t="str">
        <f>IF($A88="","",IF($K88=0,"",IFERROR(_xludf.MINIFS(Trade_Reports!$I$3:$I$502,Trade_Reports!$H$3:$H$502,$A88,Trade_Reports!$M$3:$M$502,"APPROVED",Trade_Reports!$Q$3:$Q$502,"&lt;="&amp;Settings!$B$4),"")))</f>
        <v/>
      </c>
      <c r="H88" s="17" t="str">
        <f>IF($A88="","",IF($K88=0,"",IFERROR(_xludf.MAXIFS(Trade_Reports!$I$3:$I$502,Trade_Reports!$H$3:$H$502,$A88,Trade_Reports!$M$3:$M$502,"APPROVED",Trade_Reports!$Q$3:$Q$502,"&lt;="&amp;Settings!$B$4),"")))</f>
        <v/>
      </c>
      <c r="I88" s="17" t="str">
        <f>IF($A88="","",IF($F88="","",IF($Q88="","",IF(ABS($F88-$Q88)/$Q88&lt;=Settings!$B$18,"STABLE",IF($F88&gt;$Q88,"UP","DOWN")))))</f>
        <v/>
      </c>
      <c r="J88" s="18" t="str">
        <f>IF($A88="","",IF($K88=0,"",MIN(100,ROUND($K88/Settings!$B$14*100,0))))</f>
        <v/>
      </c>
      <c r="K88" s="17" t="str">
        <f>IF($A88="","",COUNTIFS(Trade_Reports!$H$3:$H$502,$A88,Trade_Reports!$M$3:$M$502,"APPROVED",Trade_Reports!$Q$3:$Q$502,"&lt;="&amp;Settings!$B$4))</f>
        <v/>
      </c>
      <c r="L88" s="19" t="str">
        <f>IF($A88="","",IF($K88=0,"",IFERROR(_xludf.MAXIFS(Trade_Reports!$O$3:$O$502,Trade_Reports!$H$3:$H$502,$A88,Trade_Reports!$M$3:$M$502,"APPROVED"),"")))</f>
        <v/>
      </c>
      <c r="M88" s="16" t="s">
        <v>46</v>
      </c>
      <c r="N88" s="15"/>
      <c r="O88" s="9" t="str">
        <f t="shared" si="0"/>
        <v/>
      </c>
      <c r="P88" s="2" t="str">
        <f>IF($A88="","",SUMIFS(Trade_Reports!$U$3:$U$502,Trade_Reports!$H$3:$H$502,$A88,Trade_Reports!$M$3:$M$502,"APPROVED",Trade_Reports!$Q$3:$Q$502,"&lt;="&amp;Settings!$B$4))</f>
        <v/>
      </c>
      <c r="Q88" s="2" t="str">
        <f>IF($A88="","",SUMIFS(Trade_Reports!$U$3:$U$502,Trade_Reports!$H$3:$H$502,$A88,Trade_Reports!$M$3:$M$502,"APPROVED",Trade_Reports!$Q$3:$Q$502,"&lt;="&amp;Settings!$B$5))</f>
        <v/>
      </c>
      <c r="R88" s="2" t="str">
        <f>IF($A88="","",IF($Q88=0,"",IFERROR(_xludf.MINIFS(Trade_Reports!$I$3:$I$502,Trade_Reports!$H$3:$H$502,$A88,Trade_Reports!$M$3:$M$502,"APPROVED",Trade_Reports!$Q$3:$Q$502,"&lt;="&amp;Settings!$B$5,Trade_Reports!$X$3:$X$502,"&gt;="&amp;0.5*$Q88),"")))</f>
        <v/>
      </c>
      <c r="S88" s="2" t="str">
        <f>IF($A88="","",COUNTIFS(Trade_Reports!$H$3:$H$502,$A88,Trade_Reports!$M$3:$M$502,"APPROVED",Trade_Reports!$Q$3:$Q$502,"&lt;="&amp;Settings!$B$5))</f>
        <v/>
      </c>
      <c r="T88" s="2"/>
      <c r="U88" s="2"/>
      <c r="V88" s="21" t="str">
        <f>IF(OR($A88="",ISERROR(SEARCH("_",$A88))),"",IFERROR(SUMIFS(Trade_Reports!$Z$3:$Z$502,Trade_Reports!$H$3:$H$502,$A88,Trade_Reports!$M$3:$M$502,"APPROVED")/SUMIFS(Trade_Reports!$U$3:$U$502,Trade_Reports!$H$3:$H$502,$A88,Trade_Reports!$M$3:$M$502,"APPROVED"),""))</f>
        <v/>
      </c>
      <c r="W88" s="17" t="str">
        <f t="shared" si="1"/>
        <v/>
      </c>
      <c r="X88" s="2"/>
      <c r="Y88" s="2"/>
      <c r="Z88" s="2"/>
    </row>
    <row r="89" spans="1:26" ht="15.75" customHeight="1" x14ac:dyDescent="0.3">
      <c r="A89" s="15"/>
      <c r="B89" s="15"/>
      <c r="C89" s="16"/>
      <c r="D89" s="16"/>
      <c r="E89" s="16"/>
      <c r="F89" s="17" t="str">
        <f>IF($A89="","",IF($K89&lt;Settings!$B$14,"",IF($P89=0,"",IFERROR(_xludf.MINIFS(Trade_Reports!$I$3:$I$502,Trade_Reports!$H$3:$H$502,$A89,Trade_Reports!$M$3:$M$502,"APPROVED",Trade_Reports!$Q$3:$Q$502,"&lt;="&amp;Settings!$B$4,Trade_Reports!$W$3:$W$502,"&gt;="&amp;0.5*$P89),""))))</f>
        <v/>
      </c>
      <c r="G89" s="17" t="str">
        <f>IF($A89="","",IF($K89=0,"",IFERROR(_xludf.MINIFS(Trade_Reports!$I$3:$I$502,Trade_Reports!$H$3:$H$502,$A89,Trade_Reports!$M$3:$M$502,"APPROVED",Trade_Reports!$Q$3:$Q$502,"&lt;="&amp;Settings!$B$4),"")))</f>
        <v/>
      </c>
      <c r="H89" s="17" t="str">
        <f>IF($A89="","",IF($K89=0,"",IFERROR(_xludf.MAXIFS(Trade_Reports!$I$3:$I$502,Trade_Reports!$H$3:$H$502,$A89,Trade_Reports!$M$3:$M$502,"APPROVED",Trade_Reports!$Q$3:$Q$502,"&lt;="&amp;Settings!$B$4),"")))</f>
        <v/>
      </c>
      <c r="I89" s="17" t="str">
        <f>IF($A89="","",IF($F89="","",IF($Q89="","",IF(ABS($F89-$Q89)/$Q89&lt;=Settings!$B$18,"STABLE",IF($F89&gt;$Q89,"UP","DOWN")))))</f>
        <v/>
      </c>
      <c r="J89" s="18" t="str">
        <f>IF($A89="","",IF($K89=0,"",MIN(100,ROUND($K89/Settings!$B$14*100,0))))</f>
        <v/>
      </c>
      <c r="K89" s="17" t="str">
        <f>IF($A89="","",COUNTIFS(Trade_Reports!$H$3:$H$502,$A89,Trade_Reports!$M$3:$M$502,"APPROVED",Trade_Reports!$Q$3:$Q$502,"&lt;="&amp;Settings!$B$4))</f>
        <v/>
      </c>
      <c r="L89" s="19" t="str">
        <f>IF($A89="","",IF($K89=0,"",IFERROR(_xludf.MAXIFS(Trade_Reports!$O$3:$O$502,Trade_Reports!$H$3:$H$502,$A89,Trade_Reports!$M$3:$M$502,"APPROVED"),"")))</f>
        <v/>
      </c>
      <c r="M89" s="16" t="s">
        <v>46</v>
      </c>
      <c r="N89" s="15"/>
      <c r="O89" s="9" t="str">
        <f t="shared" si="0"/>
        <v/>
      </c>
      <c r="P89" s="2" t="str">
        <f>IF($A89="","",SUMIFS(Trade_Reports!$U$3:$U$502,Trade_Reports!$H$3:$H$502,$A89,Trade_Reports!$M$3:$M$502,"APPROVED",Trade_Reports!$Q$3:$Q$502,"&lt;="&amp;Settings!$B$4))</f>
        <v/>
      </c>
      <c r="Q89" s="2" t="str">
        <f>IF($A89="","",SUMIFS(Trade_Reports!$U$3:$U$502,Trade_Reports!$H$3:$H$502,$A89,Trade_Reports!$M$3:$M$502,"APPROVED",Trade_Reports!$Q$3:$Q$502,"&lt;="&amp;Settings!$B$5))</f>
        <v/>
      </c>
      <c r="R89" s="2" t="str">
        <f>IF($A89="","",IF($Q89=0,"",IFERROR(_xludf.MINIFS(Trade_Reports!$I$3:$I$502,Trade_Reports!$H$3:$H$502,$A89,Trade_Reports!$M$3:$M$502,"APPROVED",Trade_Reports!$Q$3:$Q$502,"&lt;="&amp;Settings!$B$5,Trade_Reports!$X$3:$X$502,"&gt;="&amp;0.5*$Q89),"")))</f>
        <v/>
      </c>
      <c r="S89" s="2" t="str">
        <f>IF($A89="","",COUNTIFS(Trade_Reports!$H$3:$H$502,$A89,Trade_Reports!$M$3:$M$502,"APPROVED",Trade_Reports!$Q$3:$Q$502,"&lt;="&amp;Settings!$B$5))</f>
        <v/>
      </c>
      <c r="T89" s="2"/>
      <c r="U89" s="2"/>
      <c r="V89" s="21" t="str">
        <f>IF(OR($A89="",ISERROR(SEARCH("_",$A89))),"",IFERROR(SUMIFS(Trade_Reports!$Z$3:$Z$502,Trade_Reports!$H$3:$H$502,$A89,Trade_Reports!$M$3:$M$502,"APPROVED")/SUMIFS(Trade_Reports!$U$3:$U$502,Trade_Reports!$H$3:$H$502,$A89,Trade_Reports!$M$3:$M$502,"APPROVED"),""))</f>
        <v/>
      </c>
      <c r="W89" s="17" t="str">
        <f t="shared" si="1"/>
        <v/>
      </c>
      <c r="X89" s="2"/>
      <c r="Y89" s="2"/>
      <c r="Z89" s="2"/>
    </row>
    <row r="90" spans="1:26" ht="15.75" customHeight="1" x14ac:dyDescent="0.3">
      <c r="A90" s="22" t="s">
        <v>133</v>
      </c>
      <c r="B90" s="15"/>
      <c r="C90" s="16"/>
      <c r="D90" s="16"/>
      <c r="E90" s="16"/>
      <c r="F90" s="17" t="str">
        <f>IF($A90="","",IF($K90&lt;Settings!$B$14,"",IF($P90=0,"",IFERROR(_xludf.MINIFS(Trade_Reports!$I$3:$I$502,Trade_Reports!$H$3:$H$502,$A90,Trade_Reports!$M$3:$M$502,"APPROVED",Trade_Reports!$Q$3:$Q$502,"&lt;="&amp;Settings!$B$4,Trade_Reports!$W$3:$W$502,"&gt;="&amp;0.5*$P90),""))))</f>
        <v/>
      </c>
      <c r="G90" s="17" t="str">
        <f>IF($A90="","",IF($K90=0,"",IFERROR(_xludf.MINIFS(Trade_Reports!$I$3:$I$502,Trade_Reports!$H$3:$H$502,$A90,Trade_Reports!$M$3:$M$502,"APPROVED",Trade_Reports!$Q$3:$Q$502,"&lt;="&amp;Settings!$B$4),"")))</f>
        <v/>
      </c>
      <c r="H90" s="17" t="str">
        <f>IF($A90="","",IF($K90=0,"",IFERROR(_xludf.MAXIFS(Trade_Reports!$I$3:$I$502,Trade_Reports!$H$3:$H$502,$A90,Trade_Reports!$M$3:$M$502,"APPROVED",Trade_Reports!$Q$3:$Q$502,"&lt;="&amp;Settings!$B$4),"")))</f>
        <v/>
      </c>
      <c r="I90" s="17" t="str">
        <f>IF($A90="","",IF($F90="","",IF($Q90="","",IF(ABS($F90-$Q90)/$Q90&lt;=Settings!$B$18,"STABLE",IF($F90&gt;$Q90,"UP","DOWN")))))</f>
        <v/>
      </c>
      <c r="J90" s="18" t="str">
        <f>IF($A90="","",IF($K90=0,"",MIN(100,ROUND($K90/Settings!$B$14*100,0))))</f>
        <v/>
      </c>
      <c r="K90" s="17">
        <f>IF($A90="","",COUNTIFS(Trade_Reports!$H$3:$H$502,$A90,Trade_Reports!$M$3:$M$502,"APPROVED",Trade_Reports!$Q$3:$Q$502,"&lt;="&amp;Settings!$B$4))</f>
        <v>0</v>
      </c>
      <c r="L90" s="19" t="str">
        <f>IF($A90="","",IF($K90=0,"",IFERROR(_xludf.MAXIFS(Trade_Reports!$O$3:$O$502,Trade_Reports!$H$3:$H$502,$A90,Trade_Reports!$M$3:$M$502,"APPROVED"),"")))</f>
        <v/>
      </c>
      <c r="M90" s="16" t="s">
        <v>46</v>
      </c>
      <c r="N90" s="15"/>
      <c r="O90" s="9" t="str">
        <f t="shared" si="0"/>
        <v/>
      </c>
      <c r="P90" s="2">
        <f>IF($A90="","",SUMIFS(Trade_Reports!$U$3:$U$502,Trade_Reports!$H$3:$H$502,$A90,Trade_Reports!$M$3:$M$502,"APPROVED",Trade_Reports!$Q$3:$Q$502,"&lt;="&amp;Settings!$B$4))</f>
        <v>0</v>
      </c>
      <c r="Q90" s="2">
        <f>IF($A90="","",SUMIFS(Trade_Reports!$U$3:$U$502,Trade_Reports!$H$3:$H$502,$A90,Trade_Reports!$M$3:$M$502,"APPROVED",Trade_Reports!$Q$3:$Q$502,"&lt;="&amp;Settings!$B$5))</f>
        <v>0</v>
      </c>
      <c r="R90" s="2" t="str">
        <f>IF($A90="","",IF($Q90=0,"",IFERROR(_xludf.MINIFS(Trade_Reports!$I$3:$I$502,Trade_Reports!$H$3:$H$502,$A90,Trade_Reports!$M$3:$M$502,"APPROVED",Trade_Reports!$Q$3:$Q$502,"&lt;="&amp;Settings!$B$5,Trade_Reports!$X$3:$X$502,"&gt;="&amp;0.5*$Q90),"")))</f>
        <v/>
      </c>
      <c r="S90" s="2">
        <f>IF($A90="","",COUNTIFS(Trade_Reports!$H$3:$H$502,$A90,Trade_Reports!$M$3:$M$502,"APPROVED",Trade_Reports!$Q$3:$Q$502,"&lt;="&amp;Settings!$B$5))</f>
        <v>0</v>
      </c>
      <c r="T90" s="2"/>
      <c r="U90" s="2"/>
      <c r="V90" s="21" t="str">
        <f>IF(OR($A90="",ISERROR(SEARCH("_",$A90))),"",IFERROR(SUMIFS(Trade_Reports!$Z$3:$Z$502,Trade_Reports!$H$3:$H$502,$A90,Trade_Reports!$M$3:$M$502,"APPROVED")/SUMIFS(Trade_Reports!$U$3:$U$502,Trade_Reports!$H$3:$H$502,$A90,Trade_Reports!$M$3:$M$502,"APPROVED"),""))</f>
        <v/>
      </c>
      <c r="W90" s="17" t="str">
        <f t="shared" si="1"/>
        <v/>
      </c>
      <c r="X90" s="2"/>
      <c r="Y90" s="2"/>
      <c r="Z90" s="2"/>
    </row>
    <row r="91" spans="1:26" ht="15.75" customHeight="1" x14ac:dyDescent="0.3">
      <c r="A91" s="15" t="s">
        <v>134</v>
      </c>
      <c r="B91" s="15"/>
      <c r="C91" s="16"/>
      <c r="D91" s="16"/>
      <c r="E91" s="16"/>
      <c r="F91" s="17" t="str">
        <f>IF($A91="","",IF($K91&lt;Settings!$B$14,"",IF($P91=0,"",IFERROR(_xludf.MINIFS(Trade_Reports!$I$3:$I$502,Trade_Reports!$H$3:$H$502,$A91,Trade_Reports!$M$3:$M$502,"APPROVED",Trade_Reports!$Q$3:$Q$502,"&lt;="&amp;Settings!$B$4,Trade_Reports!$W$3:$W$502,"&gt;="&amp;0.5*$P91),""))))</f>
        <v/>
      </c>
      <c r="G91" s="17" t="str">
        <f>IF($A91="","",IF($K91=0,"",IFERROR(_xludf.MINIFS(Trade_Reports!$I$3:$I$502,Trade_Reports!$H$3:$H$502,$A91,Trade_Reports!$M$3:$M$502,"APPROVED",Trade_Reports!$Q$3:$Q$502,"&lt;="&amp;Settings!$B$4),"")))</f>
        <v/>
      </c>
      <c r="H91" s="17" t="str">
        <f>IF($A91="","",IF($K91=0,"",IFERROR(_xludf.MAXIFS(Trade_Reports!$I$3:$I$502,Trade_Reports!$H$3:$H$502,$A91,Trade_Reports!$M$3:$M$502,"APPROVED",Trade_Reports!$Q$3:$Q$502,"&lt;="&amp;Settings!$B$4),"")))</f>
        <v/>
      </c>
      <c r="I91" s="17" t="str">
        <f>IF($A91="","",IF($F91="","",IF($Q91="","",IF(ABS($F91-$Q91)/$Q91&lt;=Settings!$B$18,"STABLE",IF($F91&gt;$Q91,"UP","DOWN")))))</f>
        <v/>
      </c>
      <c r="J91" s="18" t="str">
        <f>IF($A91="","",IF($K91=0,"",MIN(100,ROUND($K91/Settings!$B$14*100,0))))</f>
        <v/>
      </c>
      <c r="K91" s="17">
        <f>IF($A91="","",COUNTIFS(Trade_Reports!$H$3:$H$502,$A91,Trade_Reports!$M$3:$M$502,"APPROVED",Trade_Reports!$Q$3:$Q$502,"&lt;="&amp;Settings!$B$4))</f>
        <v>0</v>
      </c>
      <c r="L91" s="19" t="str">
        <f>IF($A91="","",IF($K91=0,"",IFERROR(_xludf.MAXIFS(Trade_Reports!$O$3:$O$502,Trade_Reports!$H$3:$H$502,$A91,Trade_Reports!$M$3:$M$502,"APPROVED"),"")))</f>
        <v/>
      </c>
      <c r="M91" s="16" t="s">
        <v>46</v>
      </c>
      <c r="N91" s="15"/>
      <c r="O91" s="9" t="str">
        <f t="shared" si="0"/>
        <v/>
      </c>
      <c r="P91" s="2">
        <f>IF($A91="","",SUMIFS(Trade_Reports!$U$3:$U$502,Trade_Reports!$H$3:$H$502,$A91,Trade_Reports!$M$3:$M$502,"APPROVED",Trade_Reports!$Q$3:$Q$502,"&lt;="&amp;Settings!$B$4))</f>
        <v>0</v>
      </c>
      <c r="Q91" s="2">
        <f>IF($A91="","",SUMIFS(Trade_Reports!$U$3:$U$502,Trade_Reports!$H$3:$H$502,$A91,Trade_Reports!$M$3:$M$502,"APPROVED",Trade_Reports!$Q$3:$Q$502,"&lt;="&amp;Settings!$B$5))</f>
        <v>0</v>
      </c>
      <c r="R91" s="2" t="str">
        <f>IF($A91="","",IF($Q91=0,"",IFERROR(_xludf.MINIFS(Trade_Reports!$I$3:$I$502,Trade_Reports!$H$3:$H$502,$A91,Trade_Reports!$M$3:$M$502,"APPROVED",Trade_Reports!$Q$3:$Q$502,"&lt;="&amp;Settings!$B$5,Trade_Reports!$X$3:$X$502,"&gt;="&amp;0.5*$Q91),"")))</f>
        <v/>
      </c>
      <c r="S91" s="2">
        <f>IF($A91="","",COUNTIFS(Trade_Reports!$H$3:$H$502,$A91,Trade_Reports!$M$3:$M$502,"APPROVED",Trade_Reports!$Q$3:$Q$502,"&lt;="&amp;Settings!$B$5))</f>
        <v>0</v>
      </c>
      <c r="T91" s="2"/>
      <c r="U91" s="2"/>
      <c r="V91" s="21" t="str">
        <f>IF(OR($A91="",ISERROR(SEARCH("_",$A91))),"",IFERROR(SUMIFS(Trade_Reports!$Z$3:$Z$502,Trade_Reports!$H$3:$H$502,$A91,Trade_Reports!$M$3:$M$502,"APPROVED")/SUMIFS(Trade_Reports!$U$3:$U$502,Trade_Reports!$H$3:$H$502,$A91,Trade_Reports!$M$3:$M$502,"APPROVED"),""))</f>
        <v/>
      </c>
      <c r="W91" s="17" t="str">
        <f t="shared" si="1"/>
        <v/>
      </c>
      <c r="X91" s="2"/>
      <c r="Y91" s="2"/>
      <c r="Z91" s="2"/>
    </row>
    <row r="92" spans="1:26" ht="15.75" customHeight="1" x14ac:dyDescent="0.3">
      <c r="A92" s="15" t="s">
        <v>135</v>
      </c>
      <c r="B92" s="15"/>
      <c r="C92" s="16"/>
      <c r="D92" s="16"/>
      <c r="E92" s="16"/>
      <c r="F92" s="17" t="str">
        <f>IF($A92="","",IF($K92&lt;Settings!$B$14,"",IF($P92=0,"",IFERROR(_xludf.MINIFS(Trade_Reports!$I$3:$I$502,Trade_Reports!$H$3:$H$502,$A92,Trade_Reports!$M$3:$M$502,"APPROVED",Trade_Reports!$Q$3:$Q$502,"&lt;="&amp;Settings!$B$4,Trade_Reports!$W$3:$W$502,"&gt;="&amp;0.5*$P92),""))))</f>
        <v/>
      </c>
      <c r="G92" s="17" t="str">
        <f>IF($A92="","",IF($K92=0,"",IFERROR(_xludf.MINIFS(Trade_Reports!$I$3:$I$502,Trade_Reports!$H$3:$H$502,$A92,Trade_Reports!$M$3:$M$502,"APPROVED",Trade_Reports!$Q$3:$Q$502,"&lt;="&amp;Settings!$B$4),"")))</f>
        <v/>
      </c>
      <c r="H92" s="17" t="str">
        <f>IF($A92="","",IF($K92=0,"",IFERROR(_xludf.MAXIFS(Trade_Reports!$I$3:$I$502,Trade_Reports!$H$3:$H$502,$A92,Trade_Reports!$M$3:$M$502,"APPROVED",Trade_Reports!$Q$3:$Q$502,"&lt;="&amp;Settings!$B$4),"")))</f>
        <v/>
      </c>
      <c r="I92" s="17" t="str">
        <f>IF($A92="","",IF($F92="","",IF($Q92="","",IF(ABS($F92-$Q92)/$Q92&lt;=Settings!$B$18,"STABLE",IF($F92&gt;$Q92,"UP","DOWN")))))</f>
        <v/>
      </c>
      <c r="J92" s="18" t="str">
        <f>IF($A92="","",IF($K92=0,"",MIN(100,ROUND($K92/Settings!$B$14*100,0))))</f>
        <v/>
      </c>
      <c r="K92" s="17">
        <f>IF($A92="","",COUNTIFS(Trade_Reports!$H$3:$H$502,$A92,Trade_Reports!$M$3:$M$502,"APPROVED",Trade_Reports!$Q$3:$Q$502,"&lt;="&amp;Settings!$B$4))</f>
        <v>0</v>
      </c>
      <c r="L92" s="19" t="str">
        <f>IF($A92="","",IF($K92=0,"",IFERROR(_xludf.MAXIFS(Trade_Reports!$O$3:$O$502,Trade_Reports!$H$3:$H$502,$A92,Trade_Reports!$M$3:$M$502,"APPROVED"),"")))</f>
        <v/>
      </c>
      <c r="M92" s="16" t="s">
        <v>46</v>
      </c>
      <c r="N92" s="15"/>
      <c r="O92" s="9" t="str">
        <f t="shared" si="0"/>
        <v/>
      </c>
      <c r="P92" s="2">
        <f>IF($A92="","",SUMIFS(Trade_Reports!$U$3:$U$502,Trade_Reports!$H$3:$H$502,$A92,Trade_Reports!$M$3:$M$502,"APPROVED",Trade_Reports!$Q$3:$Q$502,"&lt;="&amp;Settings!$B$4))</f>
        <v>0</v>
      </c>
      <c r="Q92" s="2">
        <f>IF($A92="","",SUMIFS(Trade_Reports!$U$3:$U$502,Trade_Reports!$H$3:$H$502,$A92,Trade_Reports!$M$3:$M$502,"APPROVED",Trade_Reports!$Q$3:$Q$502,"&lt;="&amp;Settings!$B$5))</f>
        <v>0</v>
      </c>
      <c r="R92" s="2" t="str">
        <f>IF($A92="","",IF($Q92=0,"",IFERROR(_xludf.MINIFS(Trade_Reports!$I$3:$I$502,Trade_Reports!$H$3:$H$502,$A92,Trade_Reports!$M$3:$M$502,"APPROVED",Trade_Reports!$Q$3:$Q$502,"&lt;="&amp;Settings!$B$5,Trade_Reports!$X$3:$X$502,"&gt;="&amp;0.5*$Q92),"")))</f>
        <v/>
      </c>
      <c r="S92" s="2">
        <f>IF($A92="","",COUNTIFS(Trade_Reports!$H$3:$H$502,$A92,Trade_Reports!$M$3:$M$502,"APPROVED",Trade_Reports!$Q$3:$Q$502,"&lt;="&amp;Settings!$B$5))</f>
        <v>0</v>
      </c>
      <c r="T92" s="2"/>
      <c r="U92" s="2"/>
      <c r="V92" s="21" t="str">
        <f>IF(OR($A92="",ISERROR(SEARCH("_",$A92))),"",IFERROR(SUMIFS(Trade_Reports!$Z$3:$Z$502,Trade_Reports!$H$3:$H$502,$A92,Trade_Reports!$M$3:$M$502,"APPROVED")/SUMIFS(Trade_Reports!$U$3:$U$502,Trade_Reports!$H$3:$H$502,$A92,Trade_Reports!$M$3:$M$502,"APPROVED"),""))</f>
        <v/>
      </c>
      <c r="W92" s="17" t="str">
        <f t="shared" si="1"/>
        <v/>
      </c>
      <c r="X92" s="2"/>
      <c r="Y92" s="2"/>
      <c r="Z92" s="2"/>
    </row>
    <row r="93" spans="1:26" ht="15.75" customHeight="1" x14ac:dyDescent="0.3">
      <c r="A93" s="15" t="s">
        <v>136</v>
      </c>
      <c r="B93" s="15"/>
      <c r="C93" s="16"/>
      <c r="D93" s="16"/>
      <c r="E93" s="16"/>
      <c r="F93" s="17" t="str">
        <f>IF($A93="","",IF($K93&lt;Settings!$B$14,"",IF($P93=0,"",IFERROR(_xludf.MINIFS(Trade_Reports!$I$3:$I$502,Trade_Reports!$H$3:$H$502,$A93,Trade_Reports!$M$3:$M$502,"APPROVED",Trade_Reports!$Q$3:$Q$502,"&lt;="&amp;Settings!$B$4,Trade_Reports!$W$3:$W$502,"&gt;="&amp;0.5*$P93),""))))</f>
        <v/>
      </c>
      <c r="G93" s="17" t="str">
        <f>IF($A93="","",IF($K93=0,"",IFERROR(_xludf.MINIFS(Trade_Reports!$I$3:$I$502,Trade_Reports!$H$3:$H$502,$A93,Trade_Reports!$M$3:$M$502,"APPROVED",Trade_Reports!$Q$3:$Q$502,"&lt;="&amp;Settings!$B$4),"")))</f>
        <v/>
      </c>
      <c r="H93" s="17" t="str">
        <f>IF($A93="","",IF($K93=0,"",IFERROR(_xludf.MAXIFS(Trade_Reports!$I$3:$I$502,Trade_Reports!$H$3:$H$502,$A93,Trade_Reports!$M$3:$M$502,"APPROVED",Trade_Reports!$Q$3:$Q$502,"&lt;="&amp;Settings!$B$4),"")))</f>
        <v/>
      </c>
      <c r="I93" s="17" t="str">
        <f>IF($A93="","",IF($F93="","",IF($Q93="","",IF(ABS($F93-$Q93)/$Q93&lt;=Settings!$B$18,"STABLE",IF($F93&gt;$Q93,"UP","DOWN")))))</f>
        <v/>
      </c>
      <c r="J93" s="18" t="str">
        <f>IF($A93="","",IF($K93=0,"",MIN(100,ROUND($K93/Settings!$B$14*100,0))))</f>
        <v/>
      </c>
      <c r="K93" s="17">
        <f>IF($A93="","",COUNTIFS(Trade_Reports!$H$3:$H$502,$A93,Trade_Reports!$M$3:$M$502,"APPROVED",Trade_Reports!$Q$3:$Q$502,"&lt;="&amp;Settings!$B$4))</f>
        <v>0</v>
      </c>
      <c r="L93" s="19" t="str">
        <f>IF($A93="","",IF($K93=0,"",IFERROR(_xludf.MAXIFS(Trade_Reports!$O$3:$O$502,Trade_Reports!$H$3:$H$502,$A93,Trade_Reports!$M$3:$M$502,"APPROVED"),"")))</f>
        <v/>
      </c>
      <c r="M93" s="16" t="s">
        <v>46</v>
      </c>
      <c r="N93" s="15"/>
      <c r="O93" s="9" t="str">
        <f t="shared" si="0"/>
        <v/>
      </c>
      <c r="P93" s="2">
        <f>IF($A93="","",SUMIFS(Trade_Reports!$U$3:$U$502,Trade_Reports!$H$3:$H$502,$A93,Trade_Reports!$M$3:$M$502,"APPROVED",Trade_Reports!$Q$3:$Q$502,"&lt;="&amp;Settings!$B$4))</f>
        <v>0</v>
      </c>
      <c r="Q93" s="2">
        <f>IF($A93="","",SUMIFS(Trade_Reports!$U$3:$U$502,Trade_Reports!$H$3:$H$502,$A93,Trade_Reports!$M$3:$M$502,"APPROVED",Trade_Reports!$Q$3:$Q$502,"&lt;="&amp;Settings!$B$5))</f>
        <v>0</v>
      </c>
      <c r="R93" s="2" t="str">
        <f>IF($A93="","",IF($Q93=0,"",IFERROR(_xludf.MINIFS(Trade_Reports!$I$3:$I$502,Trade_Reports!$H$3:$H$502,$A93,Trade_Reports!$M$3:$M$502,"APPROVED",Trade_Reports!$Q$3:$Q$502,"&lt;="&amp;Settings!$B$5,Trade_Reports!$X$3:$X$502,"&gt;="&amp;0.5*$Q93),"")))</f>
        <v/>
      </c>
      <c r="S93" s="2">
        <f>IF($A93="","",COUNTIFS(Trade_Reports!$H$3:$H$502,$A93,Trade_Reports!$M$3:$M$502,"APPROVED",Trade_Reports!$Q$3:$Q$502,"&lt;="&amp;Settings!$B$5))</f>
        <v>0</v>
      </c>
      <c r="T93" s="2"/>
      <c r="U93" s="2"/>
      <c r="V93" s="21" t="str">
        <f>IF(OR($A93="",ISERROR(SEARCH("_",$A93))),"",IFERROR(SUMIFS(Trade_Reports!$Z$3:$Z$502,Trade_Reports!$H$3:$H$502,$A93,Trade_Reports!$M$3:$M$502,"APPROVED")/SUMIFS(Trade_Reports!$U$3:$U$502,Trade_Reports!$H$3:$H$502,$A93,Trade_Reports!$M$3:$M$502,"APPROVED"),""))</f>
        <v/>
      </c>
      <c r="W93" s="17" t="str">
        <f t="shared" si="1"/>
        <v/>
      </c>
      <c r="X93" s="2"/>
      <c r="Y93" s="2"/>
      <c r="Z93" s="2"/>
    </row>
    <row r="94" spans="1:26" ht="15.75" customHeight="1" x14ac:dyDescent="0.3">
      <c r="A94" s="15" t="s">
        <v>87</v>
      </c>
      <c r="B94" s="15"/>
      <c r="C94" s="16"/>
      <c r="D94" s="16"/>
      <c r="E94" s="16"/>
      <c r="F94" s="17" t="str">
        <f ca="1">IF($A94="","",IF($K94&lt;Settings!$B$14,"",IF($P94=0,"",IFERROR(_xludf.MINIFS(Trade_Reports!$I$3:$I$502,Trade_Reports!$H$3:$H$502,$A94,Trade_Reports!$M$3:$M$502,"APPROVED",Trade_Reports!$Q$3:$Q$502,"&lt;="&amp;Settings!$B$4,Trade_Reports!$W$3:$W$502,"&gt;="&amp;0.5*$P94),""))))</f>
        <v/>
      </c>
      <c r="G94" s="17" t="str">
        <f ca="1">IF($A94="","",IF($K94=0,"",IFERROR(_xludf.MINIFS(Trade_Reports!$I$3:$I$502,Trade_Reports!$H$3:$H$502,$A94,Trade_Reports!$M$3:$M$502,"APPROVED",Trade_Reports!$Q$3:$Q$502,"&lt;="&amp;Settings!$B$4),"")))</f>
        <v/>
      </c>
      <c r="H94" s="17" t="str">
        <f ca="1">IF($A94="","",IF($K94=0,"",IFERROR(_xludf.MAXIFS(Trade_Reports!$I$3:$I$502,Trade_Reports!$H$3:$H$502,$A94,Trade_Reports!$M$3:$M$502,"APPROVED",Trade_Reports!$Q$3:$Q$502,"&lt;="&amp;Settings!$B$4),"")))</f>
        <v/>
      </c>
      <c r="I94" s="17" t="str">
        <f ca="1">IF($A94="","",IF($F94="","",IF($Q94="","",IF(ABS($F94-$Q94)/$Q94&lt;=Settings!$B$18,"STABLE",IF($F94&gt;$Q94,"UP","DOWN")))))</f>
        <v/>
      </c>
      <c r="J94" s="18">
        <f ca="1">IF($A94="","",IF($K94=0,"",MIN(100,ROUND($K94/Settings!$B$14*100,0))))</f>
        <v>100</v>
      </c>
      <c r="K94" s="17">
        <f ca="1">IF($A94="","",COUNTIFS(Trade_Reports!$H$3:$H$502,$A94,Trade_Reports!$M$3:$M$502,"APPROVED",Trade_Reports!$Q$3:$Q$502,"&lt;="&amp;Settings!$B$4))</f>
        <v>1</v>
      </c>
      <c r="L94" s="19" t="str">
        <f ca="1">IF($A94="","",IF($K94=0,"",IFERROR(_xludf.MAXIFS(Trade_Reports!$O$3:$O$502,Trade_Reports!$H$3:$H$502,$A94,Trade_Reports!$M$3:$M$502,"APPROVED"),"")))</f>
        <v/>
      </c>
      <c r="M94" s="16" t="s">
        <v>46</v>
      </c>
      <c r="N94" s="15"/>
      <c r="O94" s="9" t="str">
        <f t="shared" ca="1" si="0"/>
        <v>HIGH</v>
      </c>
      <c r="P94" s="2">
        <f ca="1">IF($A94="","",SUMIFS(Trade_Reports!$U$3:$U$502,Trade_Reports!$H$3:$H$502,$A94,Trade_Reports!$M$3:$M$502,"APPROVED",Trade_Reports!$Q$3:$Q$502,"&lt;="&amp;Settings!$B$4))</f>
        <v>1.0499999999999998</v>
      </c>
      <c r="Q94" s="2">
        <f ca="1">IF($A94="","",SUMIFS(Trade_Reports!$U$3:$U$502,Trade_Reports!$H$3:$H$502,$A94,Trade_Reports!$M$3:$M$502,"APPROVED",Trade_Reports!$Q$3:$Q$502,"&lt;="&amp;Settings!$B$5))</f>
        <v>1.9499999999999997</v>
      </c>
      <c r="R94" s="2" t="str">
        <f ca="1">IF($A94="","",IF($Q94=0,"",IFERROR(_xludf.MINIFS(Trade_Reports!$I$3:$I$502,Trade_Reports!$H$3:$H$502,$A94,Trade_Reports!$M$3:$M$502,"APPROVED",Trade_Reports!$Q$3:$Q$502,"&lt;="&amp;Settings!$B$5,Trade_Reports!$X$3:$X$502,"&gt;="&amp;0.5*$Q94),"")))</f>
        <v/>
      </c>
      <c r="S94" s="2">
        <f ca="1">IF($A94="","",COUNTIFS(Trade_Reports!$H$3:$H$502,$A94,Trade_Reports!$M$3:$M$502,"APPROVED",Trade_Reports!$Q$3:$Q$502,"&lt;="&amp;Settings!$B$5))</f>
        <v>2</v>
      </c>
      <c r="T94" s="2"/>
      <c r="U94" s="2"/>
      <c r="V94" s="21">
        <f ca="1">IF(OR($A94="",ISERROR(SEARCH("_",$A94))),"",IFERROR(SUMIFS(Trade_Reports!$Z$3:$Z$502,Trade_Reports!$H$3:$H$502,$A94,Trade_Reports!$M$3:$M$502,"APPROVED")/SUMIFS(Trade_Reports!$U$3:$U$502,Trade_Reports!$H$3:$H$502,$A94,Trade_Reports!$M$3:$M$502,"APPROVED"),""))</f>
        <v>3.0000000000000004</v>
      </c>
      <c r="W94" s="17" t="str">
        <f t="shared" ca="1" si="1"/>
        <v>HIGH</v>
      </c>
      <c r="X94" s="2"/>
      <c r="Y94" s="2"/>
      <c r="Z94" s="2"/>
    </row>
    <row r="95" spans="1:26" ht="15.75" customHeight="1" x14ac:dyDescent="0.3">
      <c r="A95" s="15" t="s">
        <v>137</v>
      </c>
      <c r="B95" s="15"/>
      <c r="C95" s="16"/>
      <c r="D95" s="16"/>
      <c r="E95" s="16"/>
      <c r="F95" s="17" t="str">
        <f>IF($A95="","",IF($K95&lt;Settings!$B$14,"",IF($P95=0,"",IFERROR(_xludf.MINIFS(Trade_Reports!$I$3:$I$502,Trade_Reports!$H$3:$H$502,$A95,Trade_Reports!$M$3:$M$502,"APPROVED",Trade_Reports!$Q$3:$Q$502,"&lt;="&amp;Settings!$B$4,Trade_Reports!$W$3:$W$502,"&gt;="&amp;0.5*$P95),""))))</f>
        <v/>
      </c>
      <c r="G95" s="17" t="str">
        <f>IF($A95="","",IF($K95=0,"",IFERROR(_xludf.MINIFS(Trade_Reports!$I$3:$I$502,Trade_Reports!$H$3:$H$502,$A95,Trade_Reports!$M$3:$M$502,"APPROVED",Trade_Reports!$Q$3:$Q$502,"&lt;="&amp;Settings!$B$4),"")))</f>
        <v/>
      </c>
      <c r="H95" s="17" t="str">
        <f>IF($A95="","",IF($K95=0,"",IFERROR(_xludf.MAXIFS(Trade_Reports!$I$3:$I$502,Trade_Reports!$H$3:$H$502,$A95,Trade_Reports!$M$3:$M$502,"APPROVED",Trade_Reports!$Q$3:$Q$502,"&lt;="&amp;Settings!$B$4),"")))</f>
        <v/>
      </c>
      <c r="I95" s="17" t="str">
        <f>IF($A95="","",IF($F95="","",IF($Q95="","",IF(ABS($F95-$Q95)/$Q95&lt;=Settings!$B$18,"STABLE",IF($F95&gt;$Q95,"UP","DOWN")))))</f>
        <v/>
      </c>
      <c r="J95" s="18" t="str">
        <f>IF($A95="","",IF($K95=0,"",MIN(100,ROUND($K95/Settings!$B$14*100,0))))</f>
        <v/>
      </c>
      <c r="K95" s="17">
        <f>IF($A95="","",COUNTIFS(Trade_Reports!$H$3:$H$502,$A95,Trade_Reports!$M$3:$M$502,"APPROVED",Trade_Reports!$Q$3:$Q$502,"&lt;="&amp;Settings!$B$4))</f>
        <v>0</v>
      </c>
      <c r="L95" s="19" t="str">
        <f>IF($A95="","",IF($K95=0,"",IFERROR(_xludf.MAXIFS(Trade_Reports!$O$3:$O$502,Trade_Reports!$H$3:$H$502,$A95,Trade_Reports!$M$3:$M$502,"APPROVED"),"")))</f>
        <v/>
      </c>
      <c r="M95" s="16" t="s">
        <v>46</v>
      </c>
      <c r="N95" s="15"/>
      <c r="O95" s="9" t="str">
        <f t="shared" si="0"/>
        <v/>
      </c>
      <c r="P95" s="2">
        <f>IF($A95="","",SUMIFS(Trade_Reports!$U$3:$U$502,Trade_Reports!$H$3:$H$502,$A95,Trade_Reports!$M$3:$M$502,"APPROVED",Trade_Reports!$Q$3:$Q$502,"&lt;="&amp;Settings!$B$4))</f>
        <v>0</v>
      </c>
      <c r="Q95" s="2">
        <f>IF($A95="","",SUMIFS(Trade_Reports!$U$3:$U$502,Trade_Reports!$H$3:$H$502,$A95,Trade_Reports!$M$3:$M$502,"APPROVED",Trade_Reports!$Q$3:$Q$502,"&lt;="&amp;Settings!$B$5))</f>
        <v>0</v>
      </c>
      <c r="R95" s="2" t="str">
        <f>IF($A95="","",IF($Q95=0,"",IFERROR(_xludf.MINIFS(Trade_Reports!$I$3:$I$502,Trade_Reports!$H$3:$H$502,$A95,Trade_Reports!$M$3:$M$502,"APPROVED",Trade_Reports!$Q$3:$Q$502,"&lt;="&amp;Settings!$B$5,Trade_Reports!$X$3:$X$502,"&gt;="&amp;0.5*$Q95),"")))</f>
        <v/>
      </c>
      <c r="S95" s="2">
        <f>IF($A95="","",COUNTIFS(Trade_Reports!$H$3:$H$502,$A95,Trade_Reports!$M$3:$M$502,"APPROVED",Trade_Reports!$Q$3:$Q$502,"&lt;="&amp;Settings!$B$5))</f>
        <v>0</v>
      </c>
      <c r="T95" s="2"/>
      <c r="U95" s="2"/>
      <c r="V95" s="21" t="str">
        <f>IF(OR($A95="",ISERROR(SEARCH("_",$A95))),"",IFERROR(SUMIFS(Trade_Reports!$Z$3:$Z$502,Trade_Reports!$H$3:$H$502,$A95,Trade_Reports!$M$3:$M$502,"APPROVED")/SUMIFS(Trade_Reports!$U$3:$U$502,Trade_Reports!$H$3:$H$502,$A95,Trade_Reports!$M$3:$M$502,"APPROVED"),""))</f>
        <v/>
      </c>
      <c r="W95" s="17" t="str">
        <f t="shared" si="1"/>
        <v/>
      </c>
      <c r="X95" s="2"/>
      <c r="Y95" s="2"/>
      <c r="Z95" s="2"/>
    </row>
    <row r="96" spans="1:26" ht="15.75" customHeight="1" x14ac:dyDescent="0.3">
      <c r="A96" s="15" t="s">
        <v>138</v>
      </c>
      <c r="B96" s="15"/>
      <c r="C96" s="16"/>
      <c r="D96" s="16"/>
      <c r="E96" s="16"/>
      <c r="F96" s="17" t="str">
        <f>IF($A96="","",IF($K96&lt;Settings!$B$14,"",IF($P96=0,"",IFERROR(_xludf.MINIFS(Trade_Reports!$I$3:$I$502,Trade_Reports!$H$3:$H$502,$A96,Trade_Reports!$M$3:$M$502,"APPROVED",Trade_Reports!$Q$3:$Q$502,"&lt;="&amp;Settings!$B$4,Trade_Reports!$W$3:$W$502,"&gt;="&amp;0.5*$P96),""))))</f>
        <v/>
      </c>
      <c r="G96" s="17" t="str">
        <f>IF($A96="","",IF($K96=0,"",IFERROR(_xludf.MINIFS(Trade_Reports!$I$3:$I$502,Trade_Reports!$H$3:$H$502,$A96,Trade_Reports!$M$3:$M$502,"APPROVED",Trade_Reports!$Q$3:$Q$502,"&lt;="&amp;Settings!$B$4),"")))</f>
        <v/>
      </c>
      <c r="H96" s="17" t="str">
        <f>IF($A96="","",IF($K96=0,"",IFERROR(_xludf.MAXIFS(Trade_Reports!$I$3:$I$502,Trade_Reports!$H$3:$H$502,$A96,Trade_Reports!$M$3:$M$502,"APPROVED",Trade_Reports!$Q$3:$Q$502,"&lt;="&amp;Settings!$B$4),"")))</f>
        <v/>
      </c>
      <c r="I96" s="17" t="str">
        <f>IF($A96="","",IF($F96="","",IF($Q96="","",IF(ABS($F96-$Q96)/$Q96&lt;=Settings!$B$18,"STABLE",IF($F96&gt;$Q96,"UP","DOWN")))))</f>
        <v/>
      </c>
      <c r="J96" s="18" t="str">
        <f>IF($A96="","",IF($K96=0,"",MIN(100,ROUND($K96/Settings!$B$14*100,0))))</f>
        <v/>
      </c>
      <c r="K96" s="17">
        <f>IF($A96="","",COUNTIFS(Trade_Reports!$H$3:$H$502,$A96,Trade_Reports!$M$3:$M$502,"APPROVED",Trade_Reports!$Q$3:$Q$502,"&lt;="&amp;Settings!$B$4))</f>
        <v>0</v>
      </c>
      <c r="L96" s="19" t="str">
        <f>IF($A96="","",IF($K96=0,"",IFERROR(_xludf.MAXIFS(Trade_Reports!$O$3:$O$502,Trade_Reports!$H$3:$H$502,$A96,Trade_Reports!$M$3:$M$502,"APPROVED"),"")))</f>
        <v/>
      </c>
      <c r="M96" s="16" t="s">
        <v>46</v>
      </c>
      <c r="N96" s="15"/>
      <c r="O96" s="9" t="str">
        <f t="shared" si="0"/>
        <v/>
      </c>
      <c r="P96" s="2">
        <f>IF($A96="","",SUMIFS(Trade_Reports!$U$3:$U$502,Trade_Reports!$H$3:$H$502,$A96,Trade_Reports!$M$3:$M$502,"APPROVED",Trade_Reports!$Q$3:$Q$502,"&lt;="&amp;Settings!$B$4))</f>
        <v>0</v>
      </c>
      <c r="Q96" s="2">
        <f>IF($A96="","",SUMIFS(Trade_Reports!$U$3:$U$502,Trade_Reports!$H$3:$H$502,$A96,Trade_Reports!$M$3:$M$502,"APPROVED",Trade_Reports!$Q$3:$Q$502,"&lt;="&amp;Settings!$B$5))</f>
        <v>0</v>
      </c>
      <c r="R96" s="2" t="str">
        <f>IF($A96="","",IF($Q96=0,"",IFERROR(_xludf.MINIFS(Trade_Reports!$I$3:$I$502,Trade_Reports!$H$3:$H$502,$A96,Trade_Reports!$M$3:$M$502,"APPROVED",Trade_Reports!$Q$3:$Q$502,"&lt;="&amp;Settings!$B$5,Trade_Reports!$X$3:$X$502,"&gt;="&amp;0.5*$Q96),"")))</f>
        <v/>
      </c>
      <c r="S96" s="2">
        <f>IF($A96="","",COUNTIFS(Trade_Reports!$H$3:$H$502,$A96,Trade_Reports!$M$3:$M$502,"APPROVED",Trade_Reports!$Q$3:$Q$502,"&lt;="&amp;Settings!$B$5))</f>
        <v>0</v>
      </c>
      <c r="T96" s="2"/>
      <c r="U96" s="2"/>
      <c r="V96" s="21" t="str">
        <f>IF(OR($A96="",ISERROR(SEARCH("_",$A96))),"",IFERROR(SUMIFS(Trade_Reports!$Z$3:$Z$502,Trade_Reports!$H$3:$H$502,$A96,Trade_Reports!$M$3:$M$502,"APPROVED")/SUMIFS(Trade_Reports!$U$3:$U$502,Trade_Reports!$H$3:$H$502,$A96,Trade_Reports!$M$3:$M$502,"APPROVED"),""))</f>
        <v/>
      </c>
      <c r="W96" s="17" t="str">
        <f t="shared" si="1"/>
        <v/>
      </c>
      <c r="X96" s="2"/>
      <c r="Y96" s="2"/>
      <c r="Z96" s="2"/>
    </row>
    <row r="97" spans="1:26" ht="15.75" customHeight="1" x14ac:dyDescent="0.3">
      <c r="A97" s="15" t="s">
        <v>139</v>
      </c>
      <c r="B97" s="15"/>
      <c r="C97" s="16"/>
      <c r="D97" s="16"/>
      <c r="E97" s="16"/>
      <c r="F97" s="17" t="str">
        <f>IF($A97="","",IF($K97&lt;Settings!$B$14,"",IF($P97=0,"",IFERROR(_xludf.MINIFS(Trade_Reports!$I$3:$I$502,Trade_Reports!$H$3:$H$502,$A97,Trade_Reports!$M$3:$M$502,"APPROVED",Trade_Reports!$Q$3:$Q$502,"&lt;="&amp;Settings!$B$4,Trade_Reports!$W$3:$W$502,"&gt;="&amp;0.5*$P97),""))))</f>
        <v/>
      </c>
      <c r="G97" s="17" t="str">
        <f>IF($A97="","",IF($K97=0,"",IFERROR(_xludf.MINIFS(Trade_Reports!$I$3:$I$502,Trade_Reports!$H$3:$H$502,$A97,Trade_Reports!$M$3:$M$502,"APPROVED",Trade_Reports!$Q$3:$Q$502,"&lt;="&amp;Settings!$B$4),"")))</f>
        <v/>
      </c>
      <c r="H97" s="17" t="str">
        <f>IF($A97="","",IF($K97=0,"",IFERROR(_xludf.MAXIFS(Trade_Reports!$I$3:$I$502,Trade_Reports!$H$3:$H$502,$A97,Trade_Reports!$M$3:$M$502,"APPROVED",Trade_Reports!$Q$3:$Q$502,"&lt;="&amp;Settings!$B$4),"")))</f>
        <v/>
      </c>
      <c r="I97" s="17" t="str">
        <f>IF($A97="","",IF($F97="","",IF($Q97="","",IF(ABS($F97-$Q97)/$Q97&lt;=Settings!$B$18,"STABLE",IF($F97&gt;$Q97,"UP","DOWN")))))</f>
        <v/>
      </c>
      <c r="J97" s="18" t="str">
        <f>IF($A97="","",IF($K97=0,"",MIN(100,ROUND($K97/Settings!$B$14*100,0))))</f>
        <v/>
      </c>
      <c r="K97" s="17">
        <f>IF($A97="","",COUNTIFS(Trade_Reports!$H$3:$H$502,$A97,Trade_Reports!$M$3:$M$502,"APPROVED",Trade_Reports!$Q$3:$Q$502,"&lt;="&amp;Settings!$B$4))</f>
        <v>0</v>
      </c>
      <c r="L97" s="19" t="str">
        <f>IF($A97="","",IF($K97=0,"",IFERROR(_xludf.MAXIFS(Trade_Reports!$O$3:$O$502,Trade_Reports!$H$3:$H$502,$A97,Trade_Reports!$M$3:$M$502,"APPROVED"),"")))</f>
        <v/>
      </c>
      <c r="M97" s="16" t="s">
        <v>46</v>
      </c>
      <c r="N97" s="15"/>
      <c r="O97" s="9" t="str">
        <f t="shared" si="0"/>
        <v/>
      </c>
      <c r="P97" s="2">
        <f>IF($A97="","",SUMIFS(Trade_Reports!$U$3:$U$502,Trade_Reports!$H$3:$H$502,$A97,Trade_Reports!$M$3:$M$502,"APPROVED",Trade_Reports!$Q$3:$Q$502,"&lt;="&amp;Settings!$B$4))</f>
        <v>0</v>
      </c>
      <c r="Q97" s="2">
        <f>IF($A97="","",SUMIFS(Trade_Reports!$U$3:$U$502,Trade_Reports!$H$3:$H$502,$A97,Trade_Reports!$M$3:$M$502,"APPROVED",Trade_Reports!$Q$3:$Q$502,"&lt;="&amp;Settings!$B$5))</f>
        <v>0</v>
      </c>
      <c r="R97" s="2" t="str">
        <f>IF($A97="","",IF($Q97=0,"",IFERROR(_xludf.MINIFS(Trade_Reports!$I$3:$I$502,Trade_Reports!$H$3:$H$502,$A97,Trade_Reports!$M$3:$M$502,"APPROVED",Trade_Reports!$Q$3:$Q$502,"&lt;="&amp;Settings!$B$5,Trade_Reports!$X$3:$X$502,"&gt;="&amp;0.5*$Q97),"")))</f>
        <v/>
      </c>
      <c r="S97" s="2">
        <f>IF($A97="","",COUNTIFS(Trade_Reports!$H$3:$H$502,$A97,Trade_Reports!$M$3:$M$502,"APPROVED",Trade_Reports!$Q$3:$Q$502,"&lt;="&amp;Settings!$B$5))</f>
        <v>0</v>
      </c>
      <c r="T97" s="2"/>
      <c r="U97" s="2"/>
      <c r="V97" s="21" t="str">
        <f>IF(OR($A97="",ISERROR(SEARCH("_",$A97))),"",IFERROR(SUMIFS(Trade_Reports!$Z$3:$Z$502,Trade_Reports!$H$3:$H$502,$A97,Trade_Reports!$M$3:$M$502,"APPROVED")/SUMIFS(Trade_Reports!$U$3:$U$502,Trade_Reports!$H$3:$H$502,$A97,Trade_Reports!$M$3:$M$502,"APPROVED"),""))</f>
        <v/>
      </c>
      <c r="W97" s="17" t="str">
        <f t="shared" si="1"/>
        <v/>
      </c>
      <c r="X97" s="2"/>
      <c r="Y97" s="2"/>
      <c r="Z97" s="2"/>
    </row>
    <row r="98" spans="1:26" ht="15.75" customHeight="1" x14ac:dyDescent="0.3">
      <c r="A98" s="15" t="s">
        <v>140</v>
      </c>
      <c r="B98" s="15"/>
      <c r="C98" s="16"/>
      <c r="D98" s="16"/>
      <c r="E98" s="16"/>
      <c r="F98" s="17" t="str">
        <f>IF($A98="","",IF($K98&lt;Settings!$B$14,"",IF($P98=0,"",IFERROR(_xludf.MINIFS(Trade_Reports!$I$3:$I$502,Trade_Reports!$H$3:$H$502,$A98,Trade_Reports!$M$3:$M$502,"APPROVED",Trade_Reports!$Q$3:$Q$502,"&lt;="&amp;Settings!$B$4,Trade_Reports!$W$3:$W$502,"&gt;="&amp;0.5*$P98),""))))</f>
        <v/>
      </c>
      <c r="G98" s="17" t="str">
        <f>IF($A98="","",IF($K98=0,"",IFERROR(_xludf.MINIFS(Trade_Reports!$I$3:$I$502,Trade_Reports!$H$3:$H$502,$A98,Trade_Reports!$M$3:$M$502,"APPROVED",Trade_Reports!$Q$3:$Q$502,"&lt;="&amp;Settings!$B$4),"")))</f>
        <v/>
      </c>
      <c r="H98" s="17" t="str">
        <f>IF($A98="","",IF($K98=0,"",IFERROR(_xludf.MAXIFS(Trade_Reports!$I$3:$I$502,Trade_Reports!$H$3:$H$502,$A98,Trade_Reports!$M$3:$M$502,"APPROVED",Trade_Reports!$Q$3:$Q$502,"&lt;="&amp;Settings!$B$4),"")))</f>
        <v/>
      </c>
      <c r="I98" s="17" t="str">
        <f>IF($A98="","",IF($F98="","",IF($Q98="","",IF(ABS($F98-$Q98)/$Q98&lt;=Settings!$B$18,"STABLE",IF($F98&gt;$Q98,"UP","DOWN")))))</f>
        <v/>
      </c>
      <c r="J98" s="18" t="str">
        <f>IF($A98="","",IF($K98=0,"",MIN(100,ROUND($K98/Settings!$B$14*100,0))))</f>
        <v/>
      </c>
      <c r="K98" s="17">
        <f>IF($A98="","",COUNTIFS(Trade_Reports!$H$3:$H$502,$A98,Trade_Reports!$M$3:$M$502,"APPROVED",Trade_Reports!$Q$3:$Q$502,"&lt;="&amp;Settings!$B$4))</f>
        <v>0</v>
      </c>
      <c r="L98" s="19" t="str">
        <f>IF($A98="","",IF($K98=0,"",IFERROR(_xludf.MAXIFS(Trade_Reports!$O$3:$O$502,Trade_Reports!$H$3:$H$502,$A98,Trade_Reports!$M$3:$M$502,"APPROVED"),"")))</f>
        <v/>
      </c>
      <c r="M98" s="16" t="s">
        <v>46</v>
      </c>
      <c r="N98" s="15"/>
      <c r="O98" s="9" t="str">
        <f t="shared" si="0"/>
        <v/>
      </c>
      <c r="P98" s="2">
        <f>IF($A98="","",SUMIFS(Trade_Reports!$U$3:$U$502,Trade_Reports!$H$3:$H$502,$A98,Trade_Reports!$M$3:$M$502,"APPROVED",Trade_Reports!$Q$3:$Q$502,"&lt;="&amp;Settings!$B$4))</f>
        <v>0</v>
      </c>
      <c r="Q98" s="2">
        <f>IF($A98="","",SUMIFS(Trade_Reports!$U$3:$U$502,Trade_Reports!$H$3:$H$502,$A98,Trade_Reports!$M$3:$M$502,"APPROVED",Trade_Reports!$Q$3:$Q$502,"&lt;="&amp;Settings!$B$5))</f>
        <v>0</v>
      </c>
      <c r="R98" s="2" t="str">
        <f>IF($A98="","",IF($Q98=0,"",IFERROR(_xludf.MINIFS(Trade_Reports!$I$3:$I$502,Trade_Reports!$H$3:$H$502,$A98,Trade_Reports!$M$3:$M$502,"APPROVED",Trade_Reports!$Q$3:$Q$502,"&lt;="&amp;Settings!$B$5,Trade_Reports!$X$3:$X$502,"&gt;="&amp;0.5*$Q98),"")))</f>
        <v/>
      </c>
      <c r="S98" s="2">
        <f>IF($A98="","",COUNTIFS(Trade_Reports!$H$3:$H$502,$A98,Trade_Reports!$M$3:$M$502,"APPROVED",Trade_Reports!$Q$3:$Q$502,"&lt;="&amp;Settings!$B$5))</f>
        <v>0</v>
      </c>
      <c r="T98" s="2"/>
      <c r="U98" s="2"/>
      <c r="V98" s="21" t="str">
        <f>IF(OR($A98="",ISERROR(SEARCH("_",$A98))),"",IFERROR(SUMIFS(Trade_Reports!$Z$3:$Z$502,Trade_Reports!$H$3:$H$502,$A98,Trade_Reports!$M$3:$M$502,"APPROVED")/SUMIFS(Trade_Reports!$U$3:$U$502,Trade_Reports!$H$3:$H$502,$A98,Trade_Reports!$M$3:$M$502,"APPROVED"),""))</f>
        <v/>
      </c>
      <c r="W98" s="17" t="str">
        <f t="shared" si="1"/>
        <v/>
      </c>
      <c r="X98" s="2"/>
      <c r="Y98" s="2"/>
      <c r="Z98" s="2"/>
    </row>
    <row r="99" spans="1:26" ht="15.75" customHeight="1" x14ac:dyDescent="0.3">
      <c r="A99" s="15" t="s">
        <v>141</v>
      </c>
      <c r="B99" s="15"/>
      <c r="C99" s="16"/>
      <c r="D99" s="16"/>
      <c r="E99" s="16"/>
      <c r="F99" s="17" t="str">
        <f>IF($A99="","",IF($K99&lt;Settings!$B$14,"",IF($P99=0,"",IFERROR(_xludf.MINIFS(Trade_Reports!$I$3:$I$502,Trade_Reports!$H$3:$H$502,$A99,Trade_Reports!$M$3:$M$502,"APPROVED",Trade_Reports!$Q$3:$Q$502,"&lt;="&amp;Settings!$B$4,Trade_Reports!$W$3:$W$502,"&gt;="&amp;0.5*$P99),""))))</f>
        <v/>
      </c>
      <c r="G99" s="17" t="str">
        <f>IF($A99="","",IF($K99=0,"",IFERROR(_xludf.MINIFS(Trade_Reports!$I$3:$I$502,Trade_Reports!$H$3:$H$502,$A99,Trade_Reports!$M$3:$M$502,"APPROVED",Trade_Reports!$Q$3:$Q$502,"&lt;="&amp;Settings!$B$4),"")))</f>
        <v/>
      </c>
      <c r="H99" s="17" t="str">
        <f>IF($A99="","",IF($K99=0,"",IFERROR(_xludf.MAXIFS(Trade_Reports!$I$3:$I$502,Trade_Reports!$H$3:$H$502,$A99,Trade_Reports!$M$3:$M$502,"APPROVED",Trade_Reports!$Q$3:$Q$502,"&lt;="&amp;Settings!$B$4),"")))</f>
        <v/>
      </c>
      <c r="I99" s="17" t="str">
        <f>IF($A99="","",IF($F99="","",IF($Q99="","",IF(ABS($F99-$Q99)/$Q99&lt;=Settings!$B$18,"STABLE",IF($F99&gt;$Q99,"UP","DOWN")))))</f>
        <v/>
      </c>
      <c r="J99" s="18" t="str">
        <f>IF($A99="","",IF($K99=0,"",MIN(100,ROUND($K99/Settings!$B$14*100,0))))</f>
        <v/>
      </c>
      <c r="K99" s="17">
        <f>IF($A99="","",COUNTIFS(Trade_Reports!$H$3:$H$502,$A99,Trade_Reports!$M$3:$M$502,"APPROVED",Trade_Reports!$Q$3:$Q$502,"&lt;="&amp;Settings!$B$4))</f>
        <v>0</v>
      </c>
      <c r="L99" s="19" t="str">
        <f>IF($A99="","",IF($K99=0,"",IFERROR(_xludf.MAXIFS(Trade_Reports!$O$3:$O$502,Trade_Reports!$H$3:$H$502,$A99,Trade_Reports!$M$3:$M$502,"APPROVED"),"")))</f>
        <v/>
      </c>
      <c r="M99" s="16" t="s">
        <v>46</v>
      </c>
      <c r="N99" s="15"/>
      <c r="O99" s="9" t="str">
        <f t="shared" si="0"/>
        <v/>
      </c>
      <c r="P99" s="2">
        <f>IF($A99="","",SUMIFS(Trade_Reports!$U$3:$U$502,Trade_Reports!$H$3:$H$502,$A99,Trade_Reports!$M$3:$M$502,"APPROVED",Trade_Reports!$Q$3:$Q$502,"&lt;="&amp;Settings!$B$4))</f>
        <v>0</v>
      </c>
      <c r="Q99" s="2">
        <f>IF($A99="","",SUMIFS(Trade_Reports!$U$3:$U$502,Trade_Reports!$H$3:$H$502,$A99,Trade_Reports!$M$3:$M$502,"APPROVED",Trade_Reports!$Q$3:$Q$502,"&lt;="&amp;Settings!$B$5))</f>
        <v>0</v>
      </c>
      <c r="R99" s="2" t="str">
        <f>IF($A99="","",IF($Q99=0,"",IFERROR(_xludf.MINIFS(Trade_Reports!$I$3:$I$502,Trade_Reports!$H$3:$H$502,$A99,Trade_Reports!$M$3:$M$502,"APPROVED",Trade_Reports!$Q$3:$Q$502,"&lt;="&amp;Settings!$B$5,Trade_Reports!$X$3:$X$502,"&gt;="&amp;0.5*$Q99),"")))</f>
        <v/>
      </c>
      <c r="S99" s="2">
        <f>IF($A99="","",COUNTIFS(Trade_Reports!$H$3:$H$502,$A99,Trade_Reports!$M$3:$M$502,"APPROVED",Trade_Reports!$Q$3:$Q$502,"&lt;="&amp;Settings!$B$5))</f>
        <v>0</v>
      </c>
      <c r="T99" s="2"/>
      <c r="U99" s="2"/>
      <c r="V99" s="21" t="str">
        <f>IF(OR($A99="",ISERROR(SEARCH("_",$A99))),"",IFERROR(SUMIFS(Trade_Reports!$Z$3:$Z$502,Trade_Reports!$H$3:$H$502,$A99,Trade_Reports!$M$3:$M$502,"APPROVED")/SUMIFS(Trade_Reports!$U$3:$U$502,Trade_Reports!$H$3:$H$502,$A99,Trade_Reports!$M$3:$M$502,"APPROVED"),""))</f>
        <v/>
      </c>
      <c r="W99" s="17" t="str">
        <f t="shared" si="1"/>
        <v/>
      </c>
      <c r="X99" s="2"/>
      <c r="Y99" s="2"/>
      <c r="Z99" s="2"/>
    </row>
    <row r="100" spans="1:26" ht="15.75" customHeight="1" x14ac:dyDescent="0.3">
      <c r="A100" s="15" t="s">
        <v>142</v>
      </c>
      <c r="B100" s="15"/>
      <c r="C100" s="16"/>
      <c r="D100" s="16"/>
      <c r="E100" s="16"/>
      <c r="F100" s="17" t="str">
        <f>IF($A100="","",IF($K100&lt;Settings!$B$14,"",IF($P100=0,"",IFERROR(_xludf.MINIFS(Trade_Reports!$I$3:$I$502,Trade_Reports!$H$3:$H$502,$A100,Trade_Reports!$M$3:$M$502,"APPROVED",Trade_Reports!$Q$3:$Q$502,"&lt;="&amp;Settings!$B$4,Trade_Reports!$W$3:$W$502,"&gt;="&amp;0.5*$P100),""))))</f>
        <v/>
      </c>
      <c r="G100" s="17" t="str">
        <f>IF($A100="","",IF($K100=0,"",IFERROR(_xludf.MINIFS(Trade_Reports!$I$3:$I$502,Trade_Reports!$H$3:$H$502,$A100,Trade_Reports!$M$3:$M$502,"APPROVED",Trade_Reports!$Q$3:$Q$502,"&lt;="&amp;Settings!$B$4),"")))</f>
        <v/>
      </c>
      <c r="H100" s="17" t="str">
        <f>IF($A100="","",IF($K100=0,"",IFERROR(_xludf.MAXIFS(Trade_Reports!$I$3:$I$502,Trade_Reports!$H$3:$H$502,$A100,Trade_Reports!$M$3:$M$502,"APPROVED",Trade_Reports!$Q$3:$Q$502,"&lt;="&amp;Settings!$B$4),"")))</f>
        <v/>
      </c>
      <c r="I100" s="17" t="str">
        <f>IF($A100="","",IF($F100="","",IF($Q100="","",IF(ABS($F100-$Q100)/$Q100&lt;=Settings!$B$18,"STABLE",IF($F100&gt;$Q100,"UP","DOWN")))))</f>
        <v/>
      </c>
      <c r="J100" s="18" t="str">
        <f>IF($A100="","",IF($K100=0,"",MIN(100,ROUND($K100/Settings!$B$14*100,0))))</f>
        <v/>
      </c>
      <c r="K100" s="17">
        <f>IF($A100="","",COUNTIFS(Trade_Reports!$H$3:$H$502,$A100,Trade_Reports!$M$3:$M$502,"APPROVED",Trade_Reports!$Q$3:$Q$502,"&lt;="&amp;Settings!$B$4))</f>
        <v>0</v>
      </c>
      <c r="L100" s="19" t="str">
        <f>IF($A100="","",IF($K100=0,"",IFERROR(_xludf.MAXIFS(Trade_Reports!$O$3:$O$502,Trade_Reports!$H$3:$H$502,$A100,Trade_Reports!$M$3:$M$502,"APPROVED"),"")))</f>
        <v/>
      </c>
      <c r="M100" s="16" t="s">
        <v>46</v>
      </c>
      <c r="N100" s="15"/>
      <c r="O100" s="9" t="str">
        <f t="shared" si="0"/>
        <v/>
      </c>
      <c r="P100" s="2">
        <f>IF($A100="","",SUMIFS(Trade_Reports!$U$3:$U$502,Trade_Reports!$H$3:$H$502,$A100,Trade_Reports!$M$3:$M$502,"APPROVED",Trade_Reports!$Q$3:$Q$502,"&lt;="&amp;Settings!$B$4))</f>
        <v>0</v>
      </c>
      <c r="Q100" s="2">
        <f>IF($A100="","",SUMIFS(Trade_Reports!$U$3:$U$502,Trade_Reports!$H$3:$H$502,$A100,Trade_Reports!$M$3:$M$502,"APPROVED",Trade_Reports!$Q$3:$Q$502,"&lt;="&amp;Settings!$B$5))</f>
        <v>0</v>
      </c>
      <c r="R100" s="2" t="str">
        <f>IF($A100="","",IF($Q100=0,"",IFERROR(_xludf.MINIFS(Trade_Reports!$I$3:$I$502,Trade_Reports!$H$3:$H$502,$A100,Trade_Reports!$M$3:$M$502,"APPROVED",Trade_Reports!$Q$3:$Q$502,"&lt;="&amp;Settings!$B$5,Trade_Reports!$X$3:$X$502,"&gt;="&amp;0.5*$Q100),"")))</f>
        <v/>
      </c>
      <c r="S100" s="2">
        <f>IF($A100="","",COUNTIFS(Trade_Reports!$H$3:$H$502,$A100,Trade_Reports!$M$3:$M$502,"APPROVED",Trade_Reports!$Q$3:$Q$502,"&lt;="&amp;Settings!$B$5))</f>
        <v>0</v>
      </c>
      <c r="T100" s="2"/>
      <c r="U100" s="2"/>
      <c r="V100" s="21" t="str">
        <f>IF(OR($A100="",ISERROR(SEARCH("_",$A100))),"",IFERROR(SUMIFS(Trade_Reports!$Z$3:$Z$502,Trade_Reports!$H$3:$H$502,$A100,Trade_Reports!$M$3:$M$502,"APPROVED")/SUMIFS(Trade_Reports!$U$3:$U$502,Trade_Reports!$H$3:$H$502,$A100,Trade_Reports!$M$3:$M$502,"APPROVED"),""))</f>
        <v/>
      </c>
      <c r="W100" s="17" t="str">
        <f t="shared" si="1"/>
        <v/>
      </c>
      <c r="X100" s="2"/>
      <c r="Y100" s="2"/>
      <c r="Z100" s="2"/>
    </row>
    <row r="101" spans="1:26" ht="15.75" customHeight="1" x14ac:dyDescent="0.3">
      <c r="A101" s="15" t="s">
        <v>143</v>
      </c>
      <c r="B101" s="15"/>
      <c r="C101" s="16"/>
      <c r="D101" s="16"/>
      <c r="E101" s="16"/>
      <c r="F101" s="17" t="str">
        <f>IF($A101="","",IF($K101&lt;Settings!$B$14,"",IF($P101=0,"",IFERROR(_xludf.MINIFS(Trade_Reports!$I$3:$I$502,Trade_Reports!$H$3:$H$502,$A101,Trade_Reports!$M$3:$M$502,"APPROVED",Trade_Reports!$Q$3:$Q$502,"&lt;="&amp;Settings!$B$4,Trade_Reports!$W$3:$W$502,"&gt;="&amp;0.5*$P101),""))))</f>
        <v/>
      </c>
      <c r="G101" s="17" t="str">
        <f>IF($A101="","",IF($K101=0,"",IFERROR(_xludf.MINIFS(Trade_Reports!$I$3:$I$502,Trade_Reports!$H$3:$H$502,$A101,Trade_Reports!$M$3:$M$502,"APPROVED",Trade_Reports!$Q$3:$Q$502,"&lt;="&amp;Settings!$B$4),"")))</f>
        <v/>
      </c>
      <c r="H101" s="17" t="str">
        <f>IF($A101="","",IF($K101=0,"",IFERROR(_xludf.MAXIFS(Trade_Reports!$I$3:$I$502,Trade_Reports!$H$3:$H$502,$A101,Trade_Reports!$M$3:$M$502,"APPROVED",Trade_Reports!$Q$3:$Q$502,"&lt;="&amp;Settings!$B$4),"")))</f>
        <v/>
      </c>
      <c r="I101" s="17" t="str">
        <f>IF($A101="","",IF($F101="","",IF($Q101="","",IF(ABS($F101-$Q101)/$Q101&lt;=Settings!$B$18,"STABLE",IF($F101&gt;$Q101,"UP","DOWN")))))</f>
        <v/>
      </c>
      <c r="J101" s="18" t="str">
        <f>IF($A101="","",IF($K101=0,"",MIN(100,ROUND($K101/Settings!$B$14*100,0))))</f>
        <v/>
      </c>
      <c r="K101" s="17">
        <f>IF($A101="","",COUNTIFS(Trade_Reports!$H$3:$H$502,$A101,Trade_Reports!$M$3:$M$502,"APPROVED",Trade_Reports!$Q$3:$Q$502,"&lt;="&amp;Settings!$B$4))</f>
        <v>0</v>
      </c>
      <c r="L101" s="19" t="str">
        <f>IF($A101="","",IF($K101=0,"",IFERROR(_xludf.MAXIFS(Trade_Reports!$O$3:$O$502,Trade_Reports!$H$3:$H$502,$A101,Trade_Reports!$M$3:$M$502,"APPROVED"),"")))</f>
        <v/>
      </c>
      <c r="M101" s="16" t="s">
        <v>46</v>
      </c>
      <c r="N101" s="15"/>
      <c r="O101" s="9" t="str">
        <f t="shared" si="0"/>
        <v/>
      </c>
      <c r="P101" s="2">
        <f>IF($A101="","",SUMIFS(Trade_Reports!$U$3:$U$502,Trade_Reports!$H$3:$H$502,$A101,Trade_Reports!$M$3:$M$502,"APPROVED",Trade_Reports!$Q$3:$Q$502,"&lt;="&amp;Settings!$B$4))</f>
        <v>0</v>
      </c>
      <c r="Q101" s="2">
        <f>IF($A101="","",SUMIFS(Trade_Reports!$U$3:$U$502,Trade_Reports!$H$3:$H$502,$A101,Trade_Reports!$M$3:$M$502,"APPROVED",Trade_Reports!$Q$3:$Q$502,"&lt;="&amp;Settings!$B$5))</f>
        <v>0</v>
      </c>
      <c r="R101" s="2" t="str">
        <f>IF($A101="","",IF($Q101=0,"",IFERROR(_xludf.MINIFS(Trade_Reports!$I$3:$I$502,Trade_Reports!$H$3:$H$502,$A101,Trade_Reports!$M$3:$M$502,"APPROVED",Trade_Reports!$Q$3:$Q$502,"&lt;="&amp;Settings!$B$5,Trade_Reports!$X$3:$X$502,"&gt;="&amp;0.5*$Q101),"")))</f>
        <v/>
      </c>
      <c r="S101" s="2">
        <f>IF($A101="","",COUNTIFS(Trade_Reports!$H$3:$H$502,$A101,Trade_Reports!$M$3:$M$502,"APPROVED",Trade_Reports!$Q$3:$Q$502,"&lt;="&amp;Settings!$B$5))</f>
        <v>0</v>
      </c>
      <c r="T101" s="2"/>
      <c r="U101" s="2"/>
      <c r="V101" s="21" t="str">
        <f>IF(OR($A101="",ISERROR(SEARCH("_",$A101))),"",IFERROR(SUMIFS(Trade_Reports!$Z$3:$Z$502,Trade_Reports!$H$3:$H$502,$A101,Trade_Reports!$M$3:$M$502,"APPROVED")/SUMIFS(Trade_Reports!$U$3:$U$502,Trade_Reports!$H$3:$H$502,$A101,Trade_Reports!$M$3:$M$502,"APPROVED"),""))</f>
        <v/>
      </c>
      <c r="W101" s="17" t="str">
        <f t="shared" si="1"/>
        <v/>
      </c>
      <c r="X101" s="2"/>
      <c r="Y101" s="2"/>
      <c r="Z101" s="2"/>
    </row>
    <row r="102" spans="1:26" ht="15.75" customHeight="1" x14ac:dyDescent="0.3">
      <c r="A102" s="15" t="s">
        <v>144</v>
      </c>
      <c r="B102" s="15"/>
      <c r="C102" s="16"/>
      <c r="D102" s="16"/>
      <c r="E102" s="16"/>
      <c r="F102" s="17" t="str">
        <f>IF($A102="","",IF($K102&lt;Settings!$B$14,"",IF($P102=0,"",IFERROR(_xludf.MINIFS(Trade_Reports!$I$3:$I$502,Trade_Reports!$H$3:$H$502,$A102,Trade_Reports!$M$3:$M$502,"APPROVED",Trade_Reports!$Q$3:$Q$502,"&lt;="&amp;Settings!$B$4,Trade_Reports!$W$3:$W$502,"&gt;="&amp;0.5*$P102),""))))</f>
        <v/>
      </c>
      <c r="G102" s="17" t="str">
        <f>IF($A102="","",IF($K102=0,"",IFERROR(_xludf.MINIFS(Trade_Reports!$I$3:$I$502,Trade_Reports!$H$3:$H$502,$A102,Trade_Reports!$M$3:$M$502,"APPROVED",Trade_Reports!$Q$3:$Q$502,"&lt;="&amp;Settings!$B$4),"")))</f>
        <v/>
      </c>
      <c r="H102" s="17" t="str">
        <f>IF($A102="","",IF($K102=0,"",IFERROR(_xludf.MAXIFS(Trade_Reports!$I$3:$I$502,Trade_Reports!$H$3:$H$502,$A102,Trade_Reports!$M$3:$M$502,"APPROVED",Trade_Reports!$Q$3:$Q$502,"&lt;="&amp;Settings!$B$4),"")))</f>
        <v/>
      </c>
      <c r="I102" s="17" t="str">
        <f>IF($A102="","",IF($F102="","",IF($Q102="","",IF(ABS($F102-$Q102)/$Q102&lt;=Settings!$B$18,"STABLE",IF($F102&gt;$Q102,"UP","DOWN")))))</f>
        <v/>
      </c>
      <c r="J102" s="18" t="str">
        <f>IF($A102="","",IF($K102=0,"",MIN(100,ROUND($K102/Settings!$B$14*100,0))))</f>
        <v/>
      </c>
      <c r="K102" s="17">
        <f>IF($A102="","",COUNTIFS(Trade_Reports!$H$3:$H$502,$A102,Trade_Reports!$M$3:$M$502,"APPROVED",Trade_Reports!$Q$3:$Q$502,"&lt;="&amp;Settings!$B$4))</f>
        <v>0</v>
      </c>
      <c r="L102" s="19" t="str">
        <f>IF($A102="","",IF($K102=0,"",IFERROR(_xludf.MAXIFS(Trade_Reports!$O$3:$O$502,Trade_Reports!$H$3:$H$502,$A102,Trade_Reports!$M$3:$M$502,"APPROVED"),"")))</f>
        <v/>
      </c>
      <c r="M102" s="16" t="s">
        <v>46</v>
      </c>
      <c r="N102" s="15"/>
      <c r="O102" s="9" t="str">
        <f t="shared" si="0"/>
        <v/>
      </c>
      <c r="P102" s="2">
        <f>IF($A102="","",SUMIFS(Trade_Reports!$U$3:$U$502,Trade_Reports!$H$3:$H$502,$A102,Trade_Reports!$M$3:$M$502,"APPROVED",Trade_Reports!$Q$3:$Q$502,"&lt;="&amp;Settings!$B$4))</f>
        <v>0</v>
      </c>
      <c r="Q102" s="2">
        <f>IF($A102="","",SUMIFS(Trade_Reports!$U$3:$U$502,Trade_Reports!$H$3:$H$502,$A102,Trade_Reports!$M$3:$M$502,"APPROVED",Trade_Reports!$Q$3:$Q$502,"&lt;="&amp;Settings!$B$5))</f>
        <v>0</v>
      </c>
      <c r="R102" s="2" t="str">
        <f>IF($A102="","",IF($Q102=0,"",IFERROR(_xludf.MINIFS(Trade_Reports!$I$3:$I$502,Trade_Reports!$H$3:$H$502,$A102,Trade_Reports!$M$3:$M$502,"APPROVED",Trade_Reports!$Q$3:$Q$502,"&lt;="&amp;Settings!$B$5,Trade_Reports!$X$3:$X$502,"&gt;="&amp;0.5*$Q102),"")))</f>
        <v/>
      </c>
      <c r="S102" s="2">
        <f>IF($A102="","",COUNTIFS(Trade_Reports!$H$3:$H$502,$A102,Trade_Reports!$M$3:$M$502,"APPROVED",Trade_Reports!$Q$3:$Q$502,"&lt;="&amp;Settings!$B$5))</f>
        <v>0</v>
      </c>
      <c r="T102" s="2"/>
      <c r="U102" s="2"/>
      <c r="V102" s="21" t="str">
        <f>IF(OR($A102="",ISERROR(SEARCH("_",$A102))),"",IFERROR(SUMIFS(Trade_Reports!$Z$3:$Z$502,Trade_Reports!$H$3:$H$502,$A102,Trade_Reports!$M$3:$M$502,"APPROVED")/SUMIFS(Trade_Reports!$U$3:$U$502,Trade_Reports!$H$3:$H$502,$A102,Trade_Reports!$M$3:$M$502,"APPROVED"),""))</f>
        <v/>
      </c>
      <c r="W102" s="17" t="str">
        <f t="shared" si="1"/>
        <v/>
      </c>
      <c r="X102" s="2"/>
      <c r="Y102" s="2"/>
      <c r="Z102" s="2"/>
    </row>
    <row r="103" spans="1:26" ht="15.75" customHeight="1" x14ac:dyDescent="0.3">
      <c r="A103" s="15" t="s">
        <v>145</v>
      </c>
      <c r="B103" s="15"/>
      <c r="C103" s="16"/>
      <c r="D103" s="16"/>
      <c r="E103" s="16"/>
      <c r="F103" s="17" t="str">
        <f>IF($A103="","",IF($K103&lt;Settings!$B$14,"",IF($P103=0,"",IFERROR(_xludf.MINIFS(Trade_Reports!$I$3:$I$502,Trade_Reports!$H$3:$H$502,$A103,Trade_Reports!$M$3:$M$502,"APPROVED",Trade_Reports!$Q$3:$Q$502,"&lt;="&amp;Settings!$B$4,Trade_Reports!$W$3:$W$502,"&gt;="&amp;0.5*$P103),""))))</f>
        <v/>
      </c>
      <c r="G103" s="17" t="str">
        <f>IF($A103="","",IF($K103=0,"",IFERROR(_xludf.MINIFS(Trade_Reports!$I$3:$I$502,Trade_Reports!$H$3:$H$502,$A103,Trade_Reports!$M$3:$M$502,"APPROVED",Trade_Reports!$Q$3:$Q$502,"&lt;="&amp;Settings!$B$4),"")))</f>
        <v/>
      </c>
      <c r="H103" s="17" t="str">
        <f>IF($A103="","",IF($K103=0,"",IFERROR(_xludf.MAXIFS(Trade_Reports!$I$3:$I$502,Trade_Reports!$H$3:$H$502,$A103,Trade_Reports!$M$3:$M$502,"APPROVED",Trade_Reports!$Q$3:$Q$502,"&lt;="&amp;Settings!$B$4),"")))</f>
        <v/>
      </c>
      <c r="I103" s="17" t="str">
        <f>IF($A103="","",IF($F103="","",IF($Q103="","",IF(ABS($F103-$Q103)/$Q103&lt;=Settings!$B$18,"STABLE",IF($F103&gt;$Q103,"UP","DOWN")))))</f>
        <v/>
      </c>
      <c r="J103" s="18" t="str">
        <f>IF($A103="","",IF($K103=0,"",MIN(100,ROUND($K103/Settings!$B$14*100,0))))</f>
        <v/>
      </c>
      <c r="K103" s="17">
        <f>IF($A103="","",COUNTIFS(Trade_Reports!$H$3:$H$502,$A103,Trade_Reports!$M$3:$M$502,"APPROVED",Trade_Reports!$Q$3:$Q$502,"&lt;="&amp;Settings!$B$4))</f>
        <v>0</v>
      </c>
      <c r="L103" s="19" t="str">
        <f>IF($A103="","",IF($K103=0,"",IFERROR(_xludf.MAXIFS(Trade_Reports!$O$3:$O$502,Trade_Reports!$H$3:$H$502,$A103,Trade_Reports!$M$3:$M$502,"APPROVED"),"")))</f>
        <v/>
      </c>
      <c r="M103" s="16" t="s">
        <v>46</v>
      </c>
      <c r="N103" s="15"/>
      <c r="O103" s="9" t="str">
        <f t="shared" si="0"/>
        <v/>
      </c>
      <c r="P103" s="2">
        <f>IF($A103="","",SUMIFS(Trade_Reports!$U$3:$U$502,Trade_Reports!$H$3:$H$502,$A103,Trade_Reports!$M$3:$M$502,"APPROVED",Trade_Reports!$Q$3:$Q$502,"&lt;="&amp;Settings!$B$4))</f>
        <v>0</v>
      </c>
      <c r="Q103" s="2">
        <f>IF($A103="","",SUMIFS(Trade_Reports!$U$3:$U$502,Trade_Reports!$H$3:$H$502,$A103,Trade_Reports!$M$3:$M$502,"APPROVED",Trade_Reports!$Q$3:$Q$502,"&lt;="&amp;Settings!$B$5))</f>
        <v>0</v>
      </c>
      <c r="R103" s="2" t="str">
        <f>IF($A103="","",IF($Q103=0,"",IFERROR(_xludf.MINIFS(Trade_Reports!$I$3:$I$502,Trade_Reports!$H$3:$H$502,$A103,Trade_Reports!$M$3:$M$502,"APPROVED",Trade_Reports!$Q$3:$Q$502,"&lt;="&amp;Settings!$B$5,Trade_Reports!$X$3:$X$502,"&gt;="&amp;0.5*$Q103),"")))</f>
        <v/>
      </c>
      <c r="S103" s="2">
        <f>IF($A103="","",COUNTIFS(Trade_Reports!$H$3:$H$502,$A103,Trade_Reports!$M$3:$M$502,"APPROVED",Trade_Reports!$Q$3:$Q$502,"&lt;="&amp;Settings!$B$5))</f>
        <v>0</v>
      </c>
      <c r="T103" s="2"/>
      <c r="U103" s="2"/>
      <c r="V103" s="21" t="str">
        <f>IF(OR($A103="",ISERROR(SEARCH("_",$A103))),"",IFERROR(SUMIFS(Trade_Reports!$Z$3:$Z$502,Trade_Reports!$H$3:$H$502,$A103,Trade_Reports!$M$3:$M$502,"APPROVED")/SUMIFS(Trade_Reports!$U$3:$U$502,Trade_Reports!$H$3:$H$502,$A103,Trade_Reports!$M$3:$M$502,"APPROVED"),""))</f>
        <v/>
      </c>
      <c r="W103" s="17" t="str">
        <f t="shared" si="1"/>
        <v/>
      </c>
      <c r="X103" s="2"/>
      <c r="Y103" s="2"/>
      <c r="Z103" s="2"/>
    </row>
    <row r="104" spans="1:26" ht="15.75" customHeight="1" x14ac:dyDescent="0.3">
      <c r="A104" s="15" t="s">
        <v>146</v>
      </c>
      <c r="B104" s="15"/>
      <c r="C104" s="16"/>
      <c r="D104" s="16"/>
      <c r="E104" s="16"/>
      <c r="F104" s="17" t="str">
        <f>IF($A104="","",IF($K104&lt;Settings!$B$14,"",IF($P104=0,"",IFERROR(_xludf.MINIFS(Trade_Reports!$I$3:$I$502,Trade_Reports!$H$3:$H$502,$A104,Trade_Reports!$M$3:$M$502,"APPROVED",Trade_Reports!$Q$3:$Q$502,"&lt;="&amp;Settings!$B$4,Trade_Reports!$W$3:$W$502,"&gt;="&amp;0.5*$P104),""))))</f>
        <v/>
      </c>
      <c r="G104" s="17" t="str">
        <f>IF($A104="","",IF($K104=0,"",IFERROR(_xludf.MINIFS(Trade_Reports!$I$3:$I$502,Trade_Reports!$H$3:$H$502,$A104,Trade_Reports!$M$3:$M$502,"APPROVED",Trade_Reports!$Q$3:$Q$502,"&lt;="&amp;Settings!$B$4),"")))</f>
        <v/>
      </c>
      <c r="H104" s="17" t="str">
        <f>IF($A104="","",IF($K104=0,"",IFERROR(_xludf.MAXIFS(Trade_Reports!$I$3:$I$502,Trade_Reports!$H$3:$H$502,$A104,Trade_Reports!$M$3:$M$502,"APPROVED",Trade_Reports!$Q$3:$Q$502,"&lt;="&amp;Settings!$B$4),"")))</f>
        <v/>
      </c>
      <c r="I104" s="17" t="str">
        <f>IF($A104="","",IF($F104="","",IF($Q104="","",IF(ABS($F104-$Q104)/$Q104&lt;=Settings!$B$18,"STABLE",IF($F104&gt;$Q104,"UP","DOWN")))))</f>
        <v/>
      </c>
      <c r="J104" s="18" t="str">
        <f>IF($A104="","",IF($K104=0,"",MIN(100,ROUND($K104/Settings!$B$14*100,0))))</f>
        <v/>
      </c>
      <c r="K104" s="17">
        <f>IF($A104="","",COUNTIFS(Trade_Reports!$H$3:$H$502,$A104,Trade_Reports!$M$3:$M$502,"APPROVED",Trade_Reports!$Q$3:$Q$502,"&lt;="&amp;Settings!$B$4))</f>
        <v>0</v>
      </c>
      <c r="L104" s="19" t="str">
        <f>IF($A104="","",IF($K104=0,"",IFERROR(_xludf.MAXIFS(Trade_Reports!$O$3:$O$502,Trade_Reports!$H$3:$H$502,$A104,Trade_Reports!$M$3:$M$502,"APPROVED"),"")))</f>
        <v/>
      </c>
      <c r="M104" s="16" t="s">
        <v>46</v>
      </c>
      <c r="N104" s="15"/>
      <c r="O104" s="9" t="str">
        <f t="shared" si="0"/>
        <v/>
      </c>
      <c r="P104" s="2">
        <f>IF($A104="","",SUMIFS(Trade_Reports!$U$3:$U$502,Trade_Reports!$H$3:$H$502,$A104,Trade_Reports!$M$3:$M$502,"APPROVED",Trade_Reports!$Q$3:$Q$502,"&lt;="&amp;Settings!$B$4))</f>
        <v>0</v>
      </c>
      <c r="Q104" s="2">
        <f>IF($A104="","",SUMIFS(Trade_Reports!$U$3:$U$502,Trade_Reports!$H$3:$H$502,$A104,Trade_Reports!$M$3:$M$502,"APPROVED",Trade_Reports!$Q$3:$Q$502,"&lt;="&amp;Settings!$B$5))</f>
        <v>0</v>
      </c>
      <c r="R104" s="2" t="str">
        <f>IF($A104="","",IF($Q104=0,"",IFERROR(_xludf.MINIFS(Trade_Reports!$I$3:$I$502,Trade_Reports!$H$3:$H$502,$A104,Trade_Reports!$M$3:$M$502,"APPROVED",Trade_Reports!$Q$3:$Q$502,"&lt;="&amp;Settings!$B$5,Trade_Reports!$X$3:$X$502,"&gt;="&amp;0.5*$Q104),"")))</f>
        <v/>
      </c>
      <c r="S104" s="2">
        <f>IF($A104="","",COUNTIFS(Trade_Reports!$H$3:$H$502,$A104,Trade_Reports!$M$3:$M$502,"APPROVED",Trade_Reports!$Q$3:$Q$502,"&lt;="&amp;Settings!$B$5))</f>
        <v>0</v>
      </c>
      <c r="T104" s="2"/>
      <c r="U104" s="2"/>
      <c r="V104" s="21" t="str">
        <f>IF(OR($A104="",ISERROR(SEARCH("_",$A104))),"",IFERROR(SUMIFS(Trade_Reports!$Z$3:$Z$502,Trade_Reports!$H$3:$H$502,$A104,Trade_Reports!$M$3:$M$502,"APPROVED")/SUMIFS(Trade_Reports!$U$3:$U$502,Trade_Reports!$H$3:$H$502,$A104,Trade_Reports!$M$3:$M$502,"APPROVED"),""))</f>
        <v/>
      </c>
      <c r="W104" s="17" t="str">
        <f t="shared" si="1"/>
        <v/>
      </c>
      <c r="X104" s="2"/>
      <c r="Y104" s="2"/>
      <c r="Z104" s="2"/>
    </row>
    <row r="105" spans="1:26" ht="15.75" customHeight="1" x14ac:dyDescent="0.3">
      <c r="A105" s="15" t="s">
        <v>147</v>
      </c>
      <c r="B105" s="15"/>
      <c r="C105" s="16"/>
      <c r="D105" s="16"/>
      <c r="E105" s="16"/>
      <c r="F105" s="17" t="str">
        <f>IF($A105="","",IF($K105&lt;Settings!$B$14,"",IF($P105=0,"",IFERROR(_xludf.MINIFS(Trade_Reports!$I$3:$I$502,Trade_Reports!$H$3:$H$502,$A105,Trade_Reports!$M$3:$M$502,"APPROVED",Trade_Reports!$Q$3:$Q$502,"&lt;="&amp;Settings!$B$4,Trade_Reports!$W$3:$W$502,"&gt;="&amp;0.5*$P105),""))))</f>
        <v/>
      </c>
      <c r="G105" s="17" t="str">
        <f>IF($A105="","",IF($K105=0,"",IFERROR(_xludf.MINIFS(Trade_Reports!$I$3:$I$502,Trade_Reports!$H$3:$H$502,$A105,Trade_Reports!$M$3:$M$502,"APPROVED",Trade_Reports!$Q$3:$Q$502,"&lt;="&amp;Settings!$B$4),"")))</f>
        <v/>
      </c>
      <c r="H105" s="17" t="str">
        <f>IF($A105="","",IF($K105=0,"",IFERROR(_xludf.MAXIFS(Trade_Reports!$I$3:$I$502,Trade_Reports!$H$3:$H$502,$A105,Trade_Reports!$M$3:$M$502,"APPROVED",Trade_Reports!$Q$3:$Q$502,"&lt;="&amp;Settings!$B$4),"")))</f>
        <v/>
      </c>
      <c r="I105" s="17" t="str">
        <f>IF($A105="","",IF($F105="","",IF($Q105="","",IF(ABS($F105-$Q105)/$Q105&lt;=Settings!$B$18,"STABLE",IF($F105&gt;$Q105,"UP","DOWN")))))</f>
        <v/>
      </c>
      <c r="J105" s="18" t="str">
        <f>IF($A105="","",IF($K105=0,"",MIN(100,ROUND($K105/Settings!$B$14*100,0))))</f>
        <v/>
      </c>
      <c r="K105" s="17">
        <f>IF($A105="","",COUNTIFS(Trade_Reports!$H$3:$H$502,$A105,Trade_Reports!$M$3:$M$502,"APPROVED",Trade_Reports!$Q$3:$Q$502,"&lt;="&amp;Settings!$B$4))</f>
        <v>0</v>
      </c>
      <c r="L105" s="19" t="str">
        <f>IF($A105="","",IF($K105=0,"",IFERROR(_xludf.MAXIFS(Trade_Reports!$O$3:$O$502,Trade_Reports!$H$3:$H$502,$A105,Trade_Reports!$M$3:$M$502,"APPROVED"),"")))</f>
        <v/>
      </c>
      <c r="M105" s="16" t="s">
        <v>46</v>
      </c>
      <c r="N105" s="15"/>
      <c r="O105" s="9" t="str">
        <f t="shared" si="0"/>
        <v/>
      </c>
      <c r="P105" s="2">
        <f>IF($A105="","",SUMIFS(Trade_Reports!$U$3:$U$502,Trade_Reports!$H$3:$H$502,$A105,Trade_Reports!$M$3:$M$502,"APPROVED",Trade_Reports!$Q$3:$Q$502,"&lt;="&amp;Settings!$B$4))</f>
        <v>0</v>
      </c>
      <c r="Q105" s="2">
        <f>IF($A105="","",SUMIFS(Trade_Reports!$U$3:$U$502,Trade_Reports!$H$3:$H$502,$A105,Trade_Reports!$M$3:$M$502,"APPROVED",Trade_Reports!$Q$3:$Q$502,"&lt;="&amp;Settings!$B$5))</f>
        <v>0</v>
      </c>
      <c r="R105" s="2" t="str">
        <f>IF($A105="","",IF($Q105=0,"",IFERROR(_xludf.MINIFS(Trade_Reports!$I$3:$I$502,Trade_Reports!$H$3:$H$502,$A105,Trade_Reports!$M$3:$M$502,"APPROVED",Trade_Reports!$Q$3:$Q$502,"&lt;="&amp;Settings!$B$5,Trade_Reports!$X$3:$X$502,"&gt;="&amp;0.5*$Q105),"")))</f>
        <v/>
      </c>
      <c r="S105" s="2">
        <f>IF($A105="","",COUNTIFS(Trade_Reports!$H$3:$H$502,$A105,Trade_Reports!$M$3:$M$502,"APPROVED",Trade_Reports!$Q$3:$Q$502,"&lt;="&amp;Settings!$B$5))</f>
        <v>0</v>
      </c>
      <c r="T105" s="2"/>
      <c r="U105" s="2"/>
      <c r="V105" s="21" t="str">
        <f>IF(OR($A105="",ISERROR(SEARCH("_",$A105))),"",IFERROR(SUMIFS(Trade_Reports!$Z$3:$Z$502,Trade_Reports!$H$3:$H$502,$A105,Trade_Reports!$M$3:$M$502,"APPROVED")/SUMIFS(Trade_Reports!$U$3:$U$502,Trade_Reports!$H$3:$H$502,$A105,Trade_Reports!$M$3:$M$502,"APPROVED"),""))</f>
        <v/>
      </c>
      <c r="W105" s="17" t="str">
        <f t="shared" si="1"/>
        <v/>
      </c>
      <c r="X105" s="2"/>
      <c r="Y105" s="2"/>
      <c r="Z105" s="2"/>
    </row>
    <row r="106" spans="1:26" ht="15.75" customHeight="1" x14ac:dyDescent="0.3">
      <c r="A106" s="15" t="s">
        <v>148</v>
      </c>
      <c r="B106" s="15"/>
      <c r="C106" s="16"/>
      <c r="D106" s="16"/>
      <c r="E106" s="16"/>
      <c r="F106" s="17" t="str">
        <f>IF($A106="","",IF($K106&lt;Settings!$B$14,"",IF($P106=0,"",IFERROR(_xludf.MINIFS(Trade_Reports!$I$3:$I$502,Trade_Reports!$H$3:$H$502,$A106,Trade_Reports!$M$3:$M$502,"APPROVED",Trade_Reports!$Q$3:$Q$502,"&lt;="&amp;Settings!$B$4,Trade_Reports!$W$3:$W$502,"&gt;="&amp;0.5*$P106),""))))</f>
        <v/>
      </c>
      <c r="G106" s="17" t="str">
        <f>IF($A106="","",IF($K106=0,"",IFERROR(_xludf.MINIFS(Trade_Reports!$I$3:$I$502,Trade_Reports!$H$3:$H$502,$A106,Trade_Reports!$M$3:$M$502,"APPROVED",Trade_Reports!$Q$3:$Q$502,"&lt;="&amp;Settings!$B$4),"")))</f>
        <v/>
      </c>
      <c r="H106" s="17" t="str">
        <f>IF($A106="","",IF($K106=0,"",IFERROR(_xludf.MAXIFS(Trade_Reports!$I$3:$I$502,Trade_Reports!$H$3:$H$502,$A106,Trade_Reports!$M$3:$M$502,"APPROVED",Trade_Reports!$Q$3:$Q$502,"&lt;="&amp;Settings!$B$4),"")))</f>
        <v/>
      </c>
      <c r="I106" s="17" t="str">
        <f>IF($A106="","",IF($F106="","",IF($Q106="","",IF(ABS($F106-$Q106)/$Q106&lt;=Settings!$B$18,"STABLE",IF($F106&gt;$Q106,"UP","DOWN")))))</f>
        <v/>
      </c>
      <c r="J106" s="18" t="str">
        <f>IF($A106="","",IF($K106=0,"",MIN(100,ROUND($K106/Settings!$B$14*100,0))))</f>
        <v/>
      </c>
      <c r="K106" s="17">
        <f>IF($A106="","",COUNTIFS(Trade_Reports!$H$3:$H$502,$A106,Trade_Reports!$M$3:$M$502,"APPROVED",Trade_Reports!$Q$3:$Q$502,"&lt;="&amp;Settings!$B$4))</f>
        <v>0</v>
      </c>
      <c r="L106" s="19" t="str">
        <f>IF($A106="","",IF($K106=0,"",IFERROR(_xludf.MAXIFS(Trade_Reports!$O$3:$O$502,Trade_Reports!$H$3:$H$502,$A106,Trade_Reports!$M$3:$M$502,"APPROVED"),"")))</f>
        <v/>
      </c>
      <c r="M106" s="16" t="s">
        <v>46</v>
      </c>
      <c r="N106" s="15"/>
      <c r="O106" s="9" t="str">
        <f t="shared" si="0"/>
        <v/>
      </c>
      <c r="P106" s="2">
        <f>IF($A106="","",SUMIFS(Trade_Reports!$U$3:$U$502,Trade_Reports!$H$3:$H$502,$A106,Trade_Reports!$M$3:$M$502,"APPROVED",Trade_Reports!$Q$3:$Q$502,"&lt;="&amp;Settings!$B$4))</f>
        <v>0</v>
      </c>
      <c r="Q106" s="2">
        <f>IF($A106="","",SUMIFS(Trade_Reports!$U$3:$U$502,Trade_Reports!$H$3:$H$502,$A106,Trade_Reports!$M$3:$M$502,"APPROVED",Trade_Reports!$Q$3:$Q$502,"&lt;="&amp;Settings!$B$5))</f>
        <v>0</v>
      </c>
      <c r="R106" s="2" t="str">
        <f>IF($A106="","",IF($Q106=0,"",IFERROR(_xludf.MINIFS(Trade_Reports!$I$3:$I$502,Trade_Reports!$H$3:$H$502,$A106,Trade_Reports!$M$3:$M$502,"APPROVED",Trade_Reports!$Q$3:$Q$502,"&lt;="&amp;Settings!$B$5,Trade_Reports!$X$3:$X$502,"&gt;="&amp;0.5*$Q106),"")))</f>
        <v/>
      </c>
      <c r="S106" s="2">
        <f>IF($A106="","",COUNTIFS(Trade_Reports!$H$3:$H$502,$A106,Trade_Reports!$M$3:$M$502,"APPROVED",Trade_Reports!$Q$3:$Q$502,"&lt;="&amp;Settings!$B$5))</f>
        <v>0</v>
      </c>
      <c r="T106" s="2"/>
      <c r="U106" s="2"/>
      <c r="V106" s="21" t="str">
        <f>IF(OR($A106="",ISERROR(SEARCH("_",$A106))),"",IFERROR(SUMIFS(Trade_Reports!$Z$3:$Z$502,Trade_Reports!$H$3:$H$502,$A106,Trade_Reports!$M$3:$M$502,"APPROVED")/SUMIFS(Trade_Reports!$U$3:$U$502,Trade_Reports!$H$3:$H$502,$A106,Trade_Reports!$M$3:$M$502,"APPROVED"),""))</f>
        <v/>
      </c>
      <c r="W106" s="17" t="str">
        <f t="shared" si="1"/>
        <v/>
      </c>
      <c r="X106" s="2"/>
      <c r="Y106" s="2"/>
      <c r="Z106" s="2"/>
    </row>
    <row r="107" spans="1:26" ht="15.75" customHeight="1" x14ac:dyDescent="0.3">
      <c r="A107" s="15"/>
      <c r="B107" s="15"/>
      <c r="C107" s="16"/>
      <c r="D107" s="16"/>
      <c r="E107" s="16"/>
      <c r="F107" s="17" t="str">
        <f>IF($A107="","",IF($K107&lt;Settings!$B$14,"",IF($P107=0,"",IFERROR(_xludf.MINIFS(Trade_Reports!$I$3:$I$502,Trade_Reports!$H$3:$H$502,$A107,Trade_Reports!$M$3:$M$502,"APPROVED",Trade_Reports!$Q$3:$Q$502,"&lt;="&amp;Settings!$B$4,Trade_Reports!$W$3:$W$502,"&gt;="&amp;0.5*$P107),""))))</f>
        <v/>
      </c>
      <c r="G107" s="17" t="str">
        <f>IF($A107="","",IF($K107=0,"",IFERROR(_xludf.MINIFS(Trade_Reports!$I$3:$I$502,Trade_Reports!$H$3:$H$502,$A107,Trade_Reports!$M$3:$M$502,"APPROVED",Trade_Reports!$Q$3:$Q$502,"&lt;="&amp;Settings!$B$4),"")))</f>
        <v/>
      </c>
      <c r="H107" s="17" t="str">
        <f>IF($A107="","",IF($K107=0,"",IFERROR(_xludf.MAXIFS(Trade_Reports!$I$3:$I$502,Trade_Reports!$H$3:$H$502,$A107,Trade_Reports!$M$3:$M$502,"APPROVED",Trade_Reports!$Q$3:$Q$502,"&lt;="&amp;Settings!$B$4),"")))</f>
        <v/>
      </c>
      <c r="I107" s="17" t="str">
        <f>IF($A107="","",IF($F107="","",IF($Q107="","",IF(ABS($F107-$Q107)/$Q107&lt;=Settings!$B$18,"STABLE",IF($F107&gt;$Q107,"UP","DOWN")))))</f>
        <v/>
      </c>
      <c r="J107" s="18" t="str">
        <f>IF($A107="","",IF($K107=0,"",MIN(100,ROUND($K107/Settings!$B$14*100,0))))</f>
        <v/>
      </c>
      <c r="K107" s="17" t="str">
        <f>IF($A107="","",COUNTIFS(Trade_Reports!$H$3:$H$502,$A107,Trade_Reports!$M$3:$M$502,"APPROVED",Trade_Reports!$Q$3:$Q$502,"&lt;="&amp;Settings!$B$4))</f>
        <v/>
      </c>
      <c r="L107" s="19" t="str">
        <f>IF($A107="","",IF($K107=0,"",IFERROR(_xludf.MAXIFS(Trade_Reports!$O$3:$O$502,Trade_Reports!$H$3:$H$502,$A107,Trade_Reports!$M$3:$M$502,"APPROVED"),"")))</f>
        <v/>
      </c>
      <c r="M107" s="16" t="s">
        <v>46</v>
      </c>
      <c r="N107" s="15"/>
      <c r="O107" s="9" t="str">
        <f t="shared" si="0"/>
        <v/>
      </c>
      <c r="P107" s="2" t="str">
        <f>IF($A107="","",SUMIFS(Trade_Reports!$U$3:$U$502,Trade_Reports!$H$3:$H$502,$A107,Trade_Reports!$M$3:$M$502,"APPROVED",Trade_Reports!$Q$3:$Q$502,"&lt;="&amp;Settings!$B$4))</f>
        <v/>
      </c>
      <c r="Q107" s="2" t="str">
        <f>IF($A107="","",SUMIFS(Trade_Reports!$U$3:$U$502,Trade_Reports!$H$3:$H$502,$A107,Trade_Reports!$M$3:$M$502,"APPROVED",Trade_Reports!$Q$3:$Q$502,"&lt;="&amp;Settings!$B$5))</f>
        <v/>
      </c>
      <c r="R107" s="2" t="str">
        <f>IF($A107="","",IF($Q107=0,"",IFERROR(_xludf.MINIFS(Trade_Reports!$I$3:$I$502,Trade_Reports!$H$3:$H$502,$A107,Trade_Reports!$M$3:$M$502,"APPROVED",Trade_Reports!$Q$3:$Q$502,"&lt;="&amp;Settings!$B$5,Trade_Reports!$X$3:$X$502,"&gt;="&amp;0.5*$Q107),"")))</f>
        <v/>
      </c>
      <c r="S107" s="2" t="str">
        <f>IF($A107="","",COUNTIFS(Trade_Reports!$H$3:$H$502,$A107,Trade_Reports!$M$3:$M$502,"APPROVED",Trade_Reports!$Q$3:$Q$502,"&lt;="&amp;Settings!$B$5))</f>
        <v/>
      </c>
      <c r="T107" s="2"/>
      <c r="U107" s="2"/>
      <c r="V107" s="21" t="str">
        <f>IF(OR($A107="",ISERROR(SEARCH("_",$A107))),"",IFERROR(SUMIFS(Trade_Reports!$Z$3:$Z$502,Trade_Reports!$H$3:$H$502,$A107,Trade_Reports!$M$3:$M$502,"APPROVED")/SUMIFS(Trade_Reports!$U$3:$U$502,Trade_Reports!$H$3:$H$502,$A107,Trade_Reports!$M$3:$M$502,"APPROVED"),""))</f>
        <v/>
      </c>
      <c r="W107" s="17" t="str">
        <f t="shared" si="1"/>
        <v/>
      </c>
      <c r="X107" s="2"/>
      <c r="Y107" s="2"/>
      <c r="Z107" s="2"/>
    </row>
    <row r="108" spans="1:26" ht="15.75" customHeight="1" x14ac:dyDescent="0.3">
      <c r="A108" s="15"/>
      <c r="B108" s="15"/>
      <c r="C108" s="16"/>
      <c r="D108" s="16"/>
      <c r="E108" s="16"/>
      <c r="F108" s="17" t="str">
        <f>IF($A108="","",IF($K108&lt;Settings!$B$14,"",IF($P108=0,"",IFERROR(_xludf.MINIFS(Trade_Reports!$I$3:$I$502,Trade_Reports!$H$3:$H$502,$A108,Trade_Reports!$M$3:$M$502,"APPROVED",Trade_Reports!$Q$3:$Q$502,"&lt;="&amp;Settings!$B$4,Trade_Reports!$W$3:$W$502,"&gt;="&amp;0.5*$P108),""))))</f>
        <v/>
      </c>
      <c r="G108" s="17" t="str">
        <f>IF($A108="","",IF($K108=0,"",IFERROR(_xludf.MINIFS(Trade_Reports!$I$3:$I$502,Trade_Reports!$H$3:$H$502,$A108,Trade_Reports!$M$3:$M$502,"APPROVED",Trade_Reports!$Q$3:$Q$502,"&lt;="&amp;Settings!$B$4),"")))</f>
        <v/>
      </c>
      <c r="H108" s="17" t="str">
        <f>IF($A108="","",IF($K108=0,"",IFERROR(_xludf.MAXIFS(Trade_Reports!$I$3:$I$502,Trade_Reports!$H$3:$H$502,$A108,Trade_Reports!$M$3:$M$502,"APPROVED",Trade_Reports!$Q$3:$Q$502,"&lt;="&amp;Settings!$B$4),"")))</f>
        <v/>
      </c>
      <c r="I108" s="17" t="str">
        <f>IF($A108="","",IF($F108="","",IF($Q108="","",IF(ABS($F108-$Q108)/$Q108&lt;=Settings!$B$18,"STABLE",IF($F108&gt;$Q108,"UP","DOWN")))))</f>
        <v/>
      </c>
      <c r="J108" s="18" t="str">
        <f>IF($A108="","",IF($K108=0,"",MIN(100,ROUND($K108/Settings!$B$14*100,0))))</f>
        <v/>
      </c>
      <c r="K108" s="17" t="str">
        <f>IF($A108="","",COUNTIFS(Trade_Reports!$H$3:$H$502,$A108,Trade_Reports!$M$3:$M$502,"APPROVED",Trade_Reports!$Q$3:$Q$502,"&lt;="&amp;Settings!$B$4))</f>
        <v/>
      </c>
      <c r="L108" s="19" t="str">
        <f>IF($A108="","",IF($K108=0,"",IFERROR(_xludf.MAXIFS(Trade_Reports!$O$3:$O$502,Trade_Reports!$H$3:$H$502,$A108,Trade_Reports!$M$3:$M$502,"APPROVED"),"")))</f>
        <v/>
      </c>
      <c r="M108" s="16" t="s">
        <v>46</v>
      </c>
      <c r="N108" s="15"/>
      <c r="O108" s="9" t="str">
        <f t="shared" si="0"/>
        <v/>
      </c>
      <c r="P108" s="2" t="str">
        <f>IF($A108="","",SUMIFS(Trade_Reports!$U$3:$U$502,Trade_Reports!$H$3:$H$502,$A108,Trade_Reports!$M$3:$M$502,"APPROVED",Trade_Reports!$Q$3:$Q$502,"&lt;="&amp;Settings!$B$4))</f>
        <v/>
      </c>
      <c r="Q108" s="2" t="str">
        <f>IF($A108="","",SUMIFS(Trade_Reports!$U$3:$U$502,Trade_Reports!$H$3:$H$502,$A108,Trade_Reports!$M$3:$M$502,"APPROVED",Trade_Reports!$Q$3:$Q$502,"&lt;="&amp;Settings!$B$5))</f>
        <v/>
      </c>
      <c r="R108" s="2" t="str">
        <f>IF($A108="","",IF($Q108=0,"",IFERROR(_xludf.MINIFS(Trade_Reports!$I$3:$I$502,Trade_Reports!$H$3:$H$502,$A108,Trade_Reports!$M$3:$M$502,"APPROVED",Trade_Reports!$Q$3:$Q$502,"&lt;="&amp;Settings!$B$5,Trade_Reports!$X$3:$X$502,"&gt;="&amp;0.5*$Q108),"")))</f>
        <v/>
      </c>
      <c r="S108" s="2" t="str">
        <f>IF($A108="","",COUNTIFS(Trade_Reports!$H$3:$H$502,$A108,Trade_Reports!$M$3:$M$502,"APPROVED",Trade_Reports!$Q$3:$Q$502,"&lt;="&amp;Settings!$B$5))</f>
        <v/>
      </c>
      <c r="T108" s="2"/>
      <c r="U108" s="2"/>
      <c r="V108" s="21" t="str">
        <f>IF(OR($A108="",ISERROR(SEARCH("_",$A108))),"",IFERROR(SUMIFS(Trade_Reports!$Z$3:$Z$502,Trade_Reports!$H$3:$H$502,$A108,Trade_Reports!$M$3:$M$502,"APPROVED")/SUMIFS(Trade_Reports!$U$3:$U$502,Trade_Reports!$H$3:$H$502,$A108,Trade_Reports!$M$3:$M$502,"APPROVED"),""))</f>
        <v/>
      </c>
      <c r="W108" s="17" t="str">
        <f t="shared" si="1"/>
        <v/>
      </c>
      <c r="X108" s="2"/>
      <c r="Y108" s="2"/>
      <c r="Z108" s="2"/>
    </row>
    <row r="109" spans="1:26" ht="15.75" customHeight="1" x14ac:dyDescent="0.3">
      <c r="A109" s="15"/>
      <c r="B109" s="15"/>
      <c r="C109" s="16"/>
      <c r="D109" s="16"/>
      <c r="E109" s="16"/>
      <c r="F109" s="17" t="str">
        <f>IF($A109="","",IF($K109&lt;Settings!$B$14,"",IF($P109=0,"",IFERROR(_xludf.MINIFS(Trade_Reports!$I$3:$I$502,Trade_Reports!$H$3:$H$502,$A109,Trade_Reports!$M$3:$M$502,"APPROVED",Trade_Reports!$Q$3:$Q$502,"&lt;="&amp;Settings!$B$4,Trade_Reports!$W$3:$W$502,"&gt;="&amp;0.5*$P109),""))))</f>
        <v/>
      </c>
      <c r="G109" s="17" t="str">
        <f>IF($A109="","",IF($K109=0,"",IFERROR(_xludf.MINIFS(Trade_Reports!$I$3:$I$502,Trade_Reports!$H$3:$H$502,$A109,Trade_Reports!$M$3:$M$502,"APPROVED",Trade_Reports!$Q$3:$Q$502,"&lt;="&amp;Settings!$B$4),"")))</f>
        <v/>
      </c>
      <c r="H109" s="17" t="str">
        <f>IF($A109="","",IF($K109=0,"",IFERROR(_xludf.MAXIFS(Trade_Reports!$I$3:$I$502,Trade_Reports!$H$3:$H$502,$A109,Trade_Reports!$M$3:$M$502,"APPROVED",Trade_Reports!$Q$3:$Q$502,"&lt;="&amp;Settings!$B$4),"")))</f>
        <v/>
      </c>
      <c r="I109" s="17" t="str">
        <f>IF($A109="","",IF($F109="","",IF($Q109="","",IF(ABS($F109-$Q109)/$Q109&lt;=Settings!$B$18,"STABLE",IF($F109&gt;$Q109,"UP","DOWN")))))</f>
        <v/>
      </c>
      <c r="J109" s="18" t="str">
        <f>IF($A109="","",IF($K109=0,"",MIN(100,ROUND($K109/Settings!$B$14*100,0))))</f>
        <v/>
      </c>
      <c r="K109" s="17" t="str">
        <f>IF($A109="","",COUNTIFS(Trade_Reports!$H$3:$H$502,$A109,Trade_Reports!$M$3:$M$502,"APPROVED",Trade_Reports!$Q$3:$Q$502,"&lt;="&amp;Settings!$B$4))</f>
        <v/>
      </c>
      <c r="L109" s="19" t="str">
        <f>IF($A109="","",IF($K109=0,"",IFERROR(_xludf.MAXIFS(Trade_Reports!$O$3:$O$502,Trade_Reports!$H$3:$H$502,$A109,Trade_Reports!$M$3:$M$502,"APPROVED"),"")))</f>
        <v/>
      </c>
      <c r="M109" s="16" t="s">
        <v>46</v>
      </c>
      <c r="N109" s="15"/>
      <c r="O109" s="9" t="str">
        <f t="shared" si="0"/>
        <v/>
      </c>
      <c r="P109" s="2" t="str">
        <f>IF($A109="","",SUMIFS(Trade_Reports!$U$3:$U$502,Trade_Reports!$H$3:$H$502,$A109,Trade_Reports!$M$3:$M$502,"APPROVED",Trade_Reports!$Q$3:$Q$502,"&lt;="&amp;Settings!$B$4))</f>
        <v/>
      </c>
      <c r="Q109" s="2" t="str">
        <f>IF($A109="","",SUMIFS(Trade_Reports!$U$3:$U$502,Trade_Reports!$H$3:$H$502,$A109,Trade_Reports!$M$3:$M$502,"APPROVED",Trade_Reports!$Q$3:$Q$502,"&lt;="&amp;Settings!$B$5))</f>
        <v/>
      </c>
      <c r="R109" s="2" t="str">
        <f>IF($A109="","",IF($Q109=0,"",IFERROR(_xludf.MINIFS(Trade_Reports!$I$3:$I$502,Trade_Reports!$H$3:$H$502,$A109,Trade_Reports!$M$3:$M$502,"APPROVED",Trade_Reports!$Q$3:$Q$502,"&lt;="&amp;Settings!$B$5,Trade_Reports!$X$3:$X$502,"&gt;="&amp;0.5*$Q109),"")))</f>
        <v/>
      </c>
      <c r="S109" s="2" t="str">
        <f>IF($A109="","",COUNTIFS(Trade_Reports!$H$3:$H$502,$A109,Trade_Reports!$M$3:$M$502,"APPROVED",Trade_Reports!$Q$3:$Q$502,"&lt;="&amp;Settings!$B$5))</f>
        <v/>
      </c>
      <c r="T109" s="2"/>
      <c r="U109" s="2"/>
      <c r="V109" s="21" t="str">
        <f>IF(OR($A109="",ISERROR(SEARCH("_",$A109))),"",IFERROR(SUMIFS(Trade_Reports!$Z$3:$Z$502,Trade_Reports!$H$3:$H$502,$A109,Trade_Reports!$M$3:$M$502,"APPROVED")/SUMIFS(Trade_Reports!$U$3:$U$502,Trade_Reports!$H$3:$H$502,$A109,Trade_Reports!$M$3:$M$502,"APPROVED"),""))</f>
        <v/>
      </c>
      <c r="W109" s="17" t="str">
        <f t="shared" si="1"/>
        <v/>
      </c>
      <c r="X109" s="2"/>
      <c r="Y109" s="2"/>
      <c r="Z109" s="2"/>
    </row>
    <row r="110" spans="1:26" ht="15.75" customHeight="1" x14ac:dyDescent="0.3">
      <c r="A110" s="15"/>
      <c r="B110" s="15"/>
      <c r="C110" s="16"/>
      <c r="D110" s="16"/>
      <c r="E110" s="16"/>
      <c r="F110" s="17" t="str">
        <f>IF($A110="","",IF($K110&lt;Settings!$B$14,"",IF($P110=0,"",IFERROR(_xludf.MINIFS(Trade_Reports!$I$3:$I$502,Trade_Reports!$H$3:$H$502,$A110,Trade_Reports!$M$3:$M$502,"APPROVED",Trade_Reports!$Q$3:$Q$502,"&lt;="&amp;Settings!$B$4,Trade_Reports!$W$3:$W$502,"&gt;="&amp;0.5*$P110),""))))</f>
        <v/>
      </c>
      <c r="G110" s="17" t="str">
        <f>IF($A110="","",IF($K110=0,"",IFERROR(_xludf.MINIFS(Trade_Reports!$I$3:$I$502,Trade_Reports!$H$3:$H$502,$A110,Trade_Reports!$M$3:$M$502,"APPROVED",Trade_Reports!$Q$3:$Q$502,"&lt;="&amp;Settings!$B$4),"")))</f>
        <v/>
      </c>
      <c r="H110" s="17" t="str">
        <f>IF($A110="","",IF($K110=0,"",IFERROR(_xludf.MAXIFS(Trade_Reports!$I$3:$I$502,Trade_Reports!$H$3:$H$502,$A110,Trade_Reports!$M$3:$M$502,"APPROVED",Trade_Reports!$Q$3:$Q$502,"&lt;="&amp;Settings!$B$4),"")))</f>
        <v/>
      </c>
      <c r="I110" s="17" t="str">
        <f>IF($A110="","",IF($F110="","",IF($Q110="","",IF(ABS($F110-$Q110)/$Q110&lt;=Settings!$B$18,"STABLE",IF($F110&gt;$Q110,"UP","DOWN")))))</f>
        <v/>
      </c>
      <c r="J110" s="18" t="str">
        <f>IF($A110="","",IF($K110=0,"",MIN(100,ROUND($K110/Settings!$B$14*100,0))))</f>
        <v/>
      </c>
      <c r="K110" s="17" t="str">
        <f>IF($A110="","",COUNTIFS(Trade_Reports!$H$3:$H$502,$A110,Trade_Reports!$M$3:$M$502,"APPROVED",Trade_Reports!$Q$3:$Q$502,"&lt;="&amp;Settings!$B$4))</f>
        <v/>
      </c>
      <c r="L110" s="19" t="str">
        <f>IF($A110="","",IF($K110=0,"",IFERROR(_xludf.MAXIFS(Trade_Reports!$O$3:$O$502,Trade_Reports!$H$3:$H$502,$A110,Trade_Reports!$M$3:$M$502,"APPROVED"),"")))</f>
        <v/>
      </c>
      <c r="M110" s="16" t="s">
        <v>46</v>
      </c>
      <c r="N110" s="15"/>
      <c r="O110" s="9" t="str">
        <f t="shared" si="0"/>
        <v/>
      </c>
      <c r="P110" s="2" t="str">
        <f>IF($A110="","",SUMIFS(Trade_Reports!$U$3:$U$502,Trade_Reports!$H$3:$H$502,$A110,Trade_Reports!$M$3:$M$502,"APPROVED",Trade_Reports!$Q$3:$Q$502,"&lt;="&amp;Settings!$B$4))</f>
        <v/>
      </c>
      <c r="Q110" s="2" t="str">
        <f>IF($A110="","",SUMIFS(Trade_Reports!$U$3:$U$502,Trade_Reports!$H$3:$H$502,$A110,Trade_Reports!$M$3:$M$502,"APPROVED",Trade_Reports!$Q$3:$Q$502,"&lt;="&amp;Settings!$B$5))</f>
        <v/>
      </c>
      <c r="R110" s="2" t="str">
        <f>IF($A110="","",IF($Q110=0,"",IFERROR(_xludf.MINIFS(Trade_Reports!$I$3:$I$502,Trade_Reports!$H$3:$H$502,$A110,Trade_Reports!$M$3:$M$502,"APPROVED",Trade_Reports!$Q$3:$Q$502,"&lt;="&amp;Settings!$B$5,Trade_Reports!$X$3:$X$502,"&gt;="&amp;0.5*$Q110),"")))</f>
        <v/>
      </c>
      <c r="S110" s="2" t="str">
        <f>IF($A110="","",COUNTIFS(Trade_Reports!$H$3:$H$502,$A110,Trade_Reports!$M$3:$M$502,"APPROVED",Trade_Reports!$Q$3:$Q$502,"&lt;="&amp;Settings!$B$5))</f>
        <v/>
      </c>
      <c r="T110" s="2"/>
      <c r="U110" s="2"/>
      <c r="V110" s="21" t="str">
        <f>IF(OR($A110="",ISERROR(SEARCH("_",$A110))),"",IFERROR(SUMIFS(Trade_Reports!$Z$3:$Z$502,Trade_Reports!$H$3:$H$502,$A110,Trade_Reports!$M$3:$M$502,"APPROVED")/SUMIFS(Trade_Reports!$U$3:$U$502,Trade_Reports!$H$3:$H$502,$A110,Trade_Reports!$M$3:$M$502,"APPROVED"),""))</f>
        <v/>
      </c>
      <c r="W110" s="17" t="str">
        <f t="shared" si="1"/>
        <v/>
      </c>
      <c r="X110" s="2"/>
      <c r="Y110" s="2"/>
      <c r="Z110" s="2"/>
    </row>
    <row r="111" spans="1:26" ht="15.75" customHeight="1" x14ac:dyDescent="0.3">
      <c r="A111" s="15"/>
      <c r="B111" s="15"/>
      <c r="C111" s="16"/>
      <c r="D111" s="16"/>
      <c r="E111" s="16"/>
      <c r="F111" s="17" t="str">
        <f>IF($A111="","",IF($K111&lt;Settings!$B$14,"",IF($P111=0,"",IFERROR(_xludf.MINIFS(Trade_Reports!$I$3:$I$502,Trade_Reports!$H$3:$H$502,$A111,Trade_Reports!$M$3:$M$502,"APPROVED",Trade_Reports!$Q$3:$Q$502,"&lt;="&amp;Settings!$B$4,Trade_Reports!$W$3:$W$502,"&gt;="&amp;0.5*$P111),""))))</f>
        <v/>
      </c>
      <c r="G111" s="17" t="str">
        <f>IF($A111="","",IF($K111=0,"",IFERROR(_xludf.MINIFS(Trade_Reports!$I$3:$I$502,Trade_Reports!$H$3:$H$502,$A111,Trade_Reports!$M$3:$M$502,"APPROVED",Trade_Reports!$Q$3:$Q$502,"&lt;="&amp;Settings!$B$4),"")))</f>
        <v/>
      </c>
      <c r="H111" s="17" t="str">
        <f>IF($A111="","",IF($K111=0,"",IFERROR(_xludf.MAXIFS(Trade_Reports!$I$3:$I$502,Trade_Reports!$H$3:$H$502,$A111,Trade_Reports!$M$3:$M$502,"APPROVED",Trade_Reports!$Q$3:$Q$502,"&lt;="&amp;Settings!$B$4),"")))</f>
        <v/>
      </c>
      <c r="I111" s="17" t="str">
        <f>IF($A111="","",IF($F111="","",IF($Q111="","",IF(ABS($F111-$Q111)/$Q111&lt;=Settings!$B$18,"STABLE",IF($F111&gt;$Q111,"UP","DOWN")))))</f>
        <v/>
      </c>
      <c r="J111" s="18" t="str">
        <f>IF($A111="","",IF($K111=0,"",MIN(100,ROUND($K111/Settings!$B$14*100,0))))</f>
        <v/>
      </c>
      <c r="K111" s="17" t="str">
        <f>IF($A111="","",COUNTIFS(Trade_Reports!$H$3:$H$502,$A111,Trade_Reports!$M$3:$M$502,"APPROVED",Trade_Reports!$Q$3:$Q$502,"&lt;="&amp;Settings!$B$4))</f>
        <v/>
      </c>
      <c r="L111" s="19" t="str">
        <f>IF($A111="","",IF($K111=0,"",IFERROR(_xludf.MAXIFS(Trade_Reports!$O$3:$O$502,Trade_Reports!$H$3:$H$502,$A111,Trade_Reports!$M$3:$M$502,"APPROVED"),"")))</f>
        <v/>
      </c>
      <c r="M111" s="16" t="s">
        <v>46</v>
      </c>
      <c r="N111" s="15"/>
      <c r="O111" s="9" t="str">
        <f t="shared" si="0"/>
        <v/>
      </c>
      <c r="P111" s="2" t="str">
        <f>IF($A111="","",SUMIFS(Trade_Reports!$U$3:$U$502,Trade_Reports!$H$3:$H$502,$A111,Trade_Reports!$M$3:$M$502,"APPROVED",Trade_Reports!$Q$3:$Q$502,"&lt;="&amp;Settings!$B$4))</f>
        <v/>
      </c>
      <c r="Q111" s="2" t="str">
        <f>IF($A111="","",SUMIFS(Trade_Reports!$U$3:$U$502,Trade_Reports!$H$3:$H$502,$A111,Trade_Reports!$M$3:$M$502,"APPROVED",Trade_Reports!$Q$3:$Q$502,"&lt;="&amp;Settings!$B$5))</f>
        <v/>
      </c>
      <c r="R111" s="2" t="str">
        <f>IF($A111="","",IF($Q111=0,"",IFERROR(_xludf.MINIFS(Trade_Reports!$I$3:$I$502,Trade_Reports!$H$3:$H$502,$A111,Trade_Reports!$M$3:$M$502,"APPROVED",Trade_Reports!$Q$3:$Q$502,"&lt;="&amp;Settings!$B$5,Trade_Reports!$X$3:$X$502,"&gt;="&amp;0.5*$Q111),"")))</f>
        <v/>
      </c>
      <c r="S111" s="2" t="str">
        <f>IF($A111="","",COUNTIFS(Trade_Reports!$H$3:$H$502,$A111,Trade_Reports!$M$3:$M$502,"APPROVED",Trade_Reports!$Q$3:$Q$502,"&lt;="&amp;Settings!$B$5))</f>
        <v/>
      </c>
      <c r="T111" s="2"/>
      <c r="U111" s="2"/>
      <c r="V111" s="21" t="str">
        <f>IF(OR($A111="",ISERROR(SEARCH("_",$A111))),"",IFERROR(SUMIFS(Trade_Reports!$Z$3:$Z$502,Trade_Reports!$H$3:$H$502,$A111,Trade_Reports!$M$3:$M$502,"APPROVED")/SUMIFS(Trade_Reports!$U$3:$U$502,Trade_Reports!$H$3:$H$502,$A111,Trade_Reports!$M$3:$M$502,"APPROVED"),""))</f>
        <v/>
      </c>
      <c r="W111" s="17" t="str">
        <f t="shared" si="1"/>
        <v/>
      </c>
      <c r="X111" s="2"/>
      <c r="Y111" s="2"/>
      <c r="Z111" s="2"/>
    </row>
    <row r="112" spans="1:26" ht="15.75" customHeight="1" x14ac:dyDescent="0.3">
      <c r="A112" s="15"/>
      <c r="B112" s="15"/>
      <c r="C112" s="16"/>
      <c r="D112" s="16"/>
      <c r="E112" s="16"/>
      <c r="F112" s="17" t="str">
        <f>IF($A112="","",IF($K112&lt;Settings!$B$14,"",IF($P112=0,"",IFERROR(_xludf.MINIFS(Trade_Reports!$I$3:$I$502,Trade_Reports!$H$3:$H$502,$A112,Trade_Reports!$M$3:$M$502,"APPROVED",Trade_Reports!$Q$3:$Q$502,"&lt;="&amp;Settings!$B$4,Trade_Reports!$W$3:$W$502,"&gt;="&amp;0.5*$P112),""))))</f>
        <v/>
      </c>
      <c r="G112" s="17" t="str">
        <f>IF($A112="","",IF($K112=0,"",IFERROR(_xludf.MINIFS(Trade_Reports!$I$3:$I$502,Trade_Reports!$H$3:$H$502,$A112,Trade_Reports!$M$3:$M$502,"APPROVED",Trade_Reports!$Q$3:$Q$502,"&lt;="&amp;Settings!$B$4),"")))</f>
        <v/>
      </c>
      <c r="H112" s="17" t="str">
        <f>IF($A112="","",IF($K112=0,"",IFERROR(_xludf.MAXIFS(Trade_Reports!$I$3:$I$502,Trade_Reports!$H$3:$H$502,$A112,Trade_Reports!$M$3:$M$502,"APPROVED",Trade_Reports!$Q$3:$Q$502,"&lt;="&amp;Settings!$B$4),"")))</f>
        <v/>
      </c>
      <c r="I112" s="17" t="str">
        <f>IF($A112="","",IF($F112="","",IF($Q112="","",IF(ABS($F112-$Q112)/$Q112&lt;=Settings!$B$18,"STABLE",IF($F112&gt;$Q112,"UP","DOWN")))))</f>
        <v/>
      </c>
      <c r="J112" s="18" t="str">
        <f>IF($A112="","",IF($K112=0,"",MIN(100,ROUND($K112/Settings!$B$14*100,0))))</f>
        <v/>
      </c>
      <c r="K112" s="17" t="str">
        <f>IF($A112="","",COUNTIFS(Trade_Reports!$H$3:$H$502,$A112,Trade_Reports!$M$3:$M$502,"APPROVED",Trade_Reports!$Q$3:$Q$502,"&lt;="&amp;Settings!$B$4))</f>
        <v/>
      </c>
      <c r="L112" s="19" t="str">
        <f>IF($A112="","",IF($K112=0,"",IFERROR(_xludf.MAXIFS(Trade_Reports!$O$3:$O$502,Trade_Reports!$H$3:$H$502,$A112,Trade_Reports!$M$3:$M$502,"APPROVED"),"")))</f>
        <v/>
      </c>
      <c r="M112" s="16" t="s">
        <v>46</v>
      </c>
      <c r="N112" s="15"/>
      <c r="O112" s="9" t="str">
        <f t="shared" si="0"/>
        <v/>
      </c>
      <c r="P112" s="2" t="str">
        <f>IF($A112="","",SUMIFS(Trade_Reports!$U$3:$U$502,Trade_Reports!$H$3:$H$502,$A112,Trade_Reports!$M$3:$M$502,"APPROVED",Trade_Reports!$Q$3:$Q$502,"&lt;="&amp;Settings!$B$4))</f>
        <v/>
      </c>
      <c r="Q112" s="2" t="str">
        <f>IF($A112="","",SUMIFS(Trade_Reports!$U$3:$U$502,Trade_Reports!$H$3:$H$502,$A112,Trade_Reports!$M$3:$M$502,"APPROVED",Trade_Reports!$Q$3:$Q$502,"&lt;="&amp;Settings!$B$5))</f>
        <v/>
      </c>
      <c r="R112" s="2" t="str">
        <f>IF($A112="","",IF($Q112=0,"",IFERROR(_xludf.MINIFS(Trade_Reports!$I$3:$I$502,Trade_Reports!$H$3:$H$502,$A112,Trade_Reports!$M$3:$M$502,"APPROVED",Trade_Reports!$Q$3:$Q$502,"&lt;="&amp;Settings!$B$5,Trade_Reports!$X$3:$X$502,"&gt;="&amp;0.5*$Q112),"")))</f>
        <v/>
      </c>
      <c r="S112" s="2" t="str">
        <f>IF($A112="","",COUNTIFS(Trade_Reports!$H$3:$H$502,$A112,Trade_Reports!$M$3:$M$502,"APPROVED",Trade_Reports!$Q$3:$Q$502,"&lt;="&amp;Settings!$B$5))</f>
        <v/>
      </c>
      <c r="T112" s="2"/>
      <c r="U112" s="2"/>
      <c r="V112" s="21" t="str">
        <f>IF(OR($A112="",ISERROR(SEARCH("_",$A112))),"",IFERROR(SUMIFS(Trade_Reports!$Z$3:$Z$502,Trade_Reports!$H$3:$H$502,$A112,Trade_Reports!$M$3:$M$502,"APPROVED")/SUMIFS(Trade_Reports!$U$3:$U$502,Trade_Reports!$H$3:$H$502,$A112,Trade_Reports!$M$3:$M$502,"APPROVED"),""))</f>
        <v/>
      </c>
      <c r="W112" s="17" t="str">
        <f t="shared" si="1"/>
        <v/>
      </c>
      <c r="X112" s="2"/>
      <c r="Y112" s="2"/>
      <c r="Z112" s="2"/>
    </row>
    <row r="113" spans="1:26" ht="15.75" customHeight="1" x14ac:dyDescent="0.3">
      <c r="A113" s="15"/>
      <c r="B113" s="15"/>
      <c r="C113" s="16"/>
      <c r="D113" s="16"/>
      <c r="E113" s="16"/>
      <c r="F113" s="17" t="str">
        <f>IF($A113="","",IF($K113&lt;Settings!$B$14,"",IF($P113=0,"",IFERROR(_xludf.MINIFS(Trade_Reports!$I$3:$I$502,Trade_Reports!$H$3:$H$502,$A113,Trade_Reports!$M$3:$M$502,"APPROVED",Trade_Reports!$Q$3:$Q$502,"&lt;="&amp;Settings!$B$4,Trade_Reports!$W$3:$W$502,"&gt;="&amp;0.5*$P113),""))))</f>
        <v/>
      </c>
      <c r="G113" s="17" t="str">
        <f>IF($A113="","",IF($K113=0,"",IFERROR(_xludf.MINIFS(Trade_Reports!$I$3:$I$502,Trade_Reports!$H$3:$H$502,$A113,Trade_Reports!$M$3:$M$502,"APPROVED",Trade_Reports!$Q$3:$Q$502,"&lt;="&amp;Settings!$B$4),"")))</f>
        <v/>
      </c>
      <c r="H113" s="17" t="str">
        <f>IF($A113="","",IF($K113=0,"",IFERROR(_xludf.MAXIFS(Trade_Reports!$I$3:$I$502,Trade_Reports!$H$3:$H$502,$A113,Trade_Reports!$M$3:$M$502,"APPROVED",Trade_Reports!$Q$3:$Q$502,"&lt;="&amp;Settings!$B$4),"")))</f>
        <v/>
      </c>
      <c r="I113" s="17" t="str">
        <f>IF($A113="","",IF($F113="","",IF($Q113="","",IF(ABS($F113-$Q113)/$Q113&lt;=Settings!$B$18,"STABLE",IF($F113&gt;$Q113,"UP","DOWN")))))</f>
        <v/>
      </c>
      <c r="J113" s="18" t="str">
        <f>IF($A113="","",IF($K113=0,"",MIN(100,ROUND($K113/Settings!$B$14*100,0))))</f>
        <v/>
      </c>
      <c r="K113" s="17" t="str">
        <f>IF($A113="","",COUNTIFS(Trade_Reports!$H$3:$H$502,$A113,Trade_Reports!$M$3:$M$502,"APPROVED",Trade_Reports!$Q$3:$Q$502,"&lt;="&amp;Settings!$B$4))</f>
        <v/>
      </c>
      <c r="L113" s="19" t="str">
        <f>IF($A113="","",IF($K113=0,"",IFERROR(_xludf.MAXIFS(Trade_Reports!$O$3:$O$502,Trade_Reports!$H$3:$H$502,$A113,Trade_Reports!$M$3:$M$502,"APPROVED"),"")))</f>
        <v/>
      </c>
      <c r="M113" s="16" t="s">
        <v>46</v>
      </c>
      <c r="N113" s="15"/>
      <c r="O113" s="9" t="str">
        <f t="shared" si="0"/>
        <v/>
      </c>
      <c r="P113" s="2" t="str">
        <f>IF($A113="","",SUMIFS(Trade_Reports!$U$3:$U$502,Trade_Reports!$H$3:$H$502,$A113,Trade_Reports!$M$3:$M$502,"APPROVED",Trade_Reports!$Q$3:$Q$502,"&lt;="&amp;Settings!$B$4))</f>
        <v/>
      </c>
      <c r="Q113" s="2" t="str">
        <f>IF($A113="","",SUMIFS(Trade_Reports!$U$3:$U$502,Trade_Reports!$H$3:$H$502,$A113,Trade_Reports!$M$3:$M$502,"APPROVED",Trade_Reports!$Q$3:$Q$502,"&lt;="&amp;Settings!$B$5))</f>
        <v/>
      </c>
      <c r="R113" s="2" t="str">
        <f>IF($A113="","",IF($Q113=0,"",IFERROR(_xludf.MINIFS(Trade_Reports!$I$3:$I$502,Trade_Reports!$H$3:$H$502,$A113,Trade_Reports!$M$3:$M$502,"APPROVED",Trade_Reports!$Q$3:$Q$502,"&lt;="&amp;Settings!$B$5,Trade_Reports!$X$3:$X$502,"&gt;="&amp;0.5*$Q113),"")))</f>
        <v/>
      </c>
      <c r="S113" s="2" t="str">
        <f>IF($A113="","",COUNTIFS(Trade_Reports!$H$3:$H$502,$A113,Trade_Reports!$M$3:$M$502,"APPROVED",Trade_Reports!$Q$3:$Q$502,"&lt;="&amp;Settings!$B$5))</f>
        <v/>
      </c>
      <c r="T113" s="2"/>
      <c r="U113" s="2"/>
      <c r="V113" s="21" t="str">
        <f>IF(OR($A113="",ISERROR(SEARCH("_",$A113))),"",IFERROR(SUMIFS(Trade_Reports!$Z$3:$Z$502,Trade_Reports!$H$3:$H$502,$A113,Trade_Reports!$M$3:$M$502,"APPROVED")/SUMIFS(Trade_Reports!$U$3:$U$502,Trade_Reports!$H$3:$H$502,$A113,Trade_Reports!$M$3:$M$502,"APPROVED"),""))</f>
        <v/>
      </c>
      <c r="W113" s="17" t="str">
        <f t="shared" si="1"/>
        <v/>
      </c>
      <c r="X113" s="2"/>
      <c r="Y113" s="2"/>
      <c r="Z113" s="2"/>
    </row>
    <row r="114" spans="1:26" ht="15.75" customHeight="1" x14ac:dyDescent="0.3">
      <c r="A114" s="15"/>
      <c r="B114" s="15"/>
      <c r="C114" s="16"/>
      <c r="D114" s="16"/>
      <c r="E114" s="16"/>
      <c r="F114" s="17" t="str">
        <f>IF($A114="","",IF($K114&lt;Settings!$B$14,"",IF($P114=0,"",IFERROR(_xludf.MINIFS(Trade_Reports!$I$3:$I$502,Trade_Reports!$H$3:$H$502,$A114,Trade_Reports!$M$3:$M$502,"APPROVED",Trade_Reports!$Q$3:$Q$502,"&lt;="&amp;Settings!$B$4,Trade_Reports!$W$3:$W$502,"&gt;="&amp;0.5*$P114),""))))</f>
        <v/>
      </c>
      <c r="G114" s="17" t="str">
        <f>IF($A114="","",IF($K114=0,"",IFERROR(_xludf.MINIFS(Trade_Reports!$I$3:$I$502,Trade_Reports!$H$3:$H$502,$A114,Trade_Reports!$M$3:$M$502,"APPROVED",Trade_Reports!$Q$3:$Q$502,"&lt;="&amp;Settings!$B$4),"")))</f>
        <v/>
      </c>
      <c r="H114" s="17" t="str">
        <f>IF($A114="","",IF($K114=0,"",IFERROR(_xludf.MAXIFS(Trade_Reports!$I$3:$I$502,Trade_Reports!$H$3:$H$502,$A114,Trade_Reports!$M$3:$M$502,"APPROVED",Trade_Reports!$Q$3:$Q$502,"&lt;="&amp;Settings!$B$4),"")))</f>
        <v/>
      </c>
      <c r="I114" s="17" t="str">
        <f>IF($A114="","",IF($F114="","",IF($Q114="","",IF(ABS($F114-$Q114)/$Q114&lt;=Settings!$B$18,"STABLE",IF($F114&gt;$Q114,"UP","DOWN")))))</f>
        <v/>
      </c>
      <c r="J114" s="18" t="str">
        <f>IF($A114="","",IF($K114=0,"",MIN(100,ROUND($K114/Settings!$B$14*100,0))))</f>
        <v/>
      </c>
      <c r="K114" s="17" t="str">
        <f>IF($A114="","",COUNTIFS(Trade_Reports!$H$3:$H$502,$A114,Trade_Reports!$M$3:$M$502,"APPROVED",Trade_Reports!$Q$3:$Q$502,"&lt;="&amp;Settings!$B$4))</f>
        <v/>
      </c>
      <c r="L114" s="19" t="str">
        <f>IF($A114="","",IF($K114=0,"",IFERROR(_xludf.MAXIFS(Trade_Reports!$O$3:$O$502,Trade_Reports!$H$3:$H$502,$A114,Trade_Reports!$M$3:$M$502,"APPROVED"),"")))</f>
        <v/>
      </c>
      <c r="M114" s="16" t="s">
        <v>46</v>
      </c>
      <c r="N114" s="15"/>
      <c r="O114" s="9" t="str">
        <f t="shared" si="0"/>
        <v/>
      </c>
      <c r="P114" s="2" t="str">
        <f>IF($A114="","",SUMIFS(Trade_Reports!$U$3:$U$502,Trade_Reports!$H$3:$H$502,$A114,Trade_Reports!$M$3:$M$502,"APPROVED",Trade_Reports!$Q$3:$Q$502,"&lt;="&amp;Settings!$B$4))</f>
        <v/>
      </c>
      <c r="Q114" s="2" t="str">
        <f>IF($A114="","",SUMIFS(Trade_Reports!$U$3:$U$502,Trade_Reports!$H$3:$H$502,$A114,Trade_Reports!$M$3:$M$502,"APPROVED",Trade_Reports!$Q$3:$Q$502,"&lt;="&amp;Settings!$B$5))</f>
        <v/>
      </c>
      <c r="R114" s="2" t="str">
        <f>IF($A114="","",IF($Q114=0,"",IFERROR(_xludf.MINIFS(Trade_Reports!$I$3:$I$502,Trade_Reports!$H$3:$H$502,$A114,Trade_Reports!$M$3:$M$502,"APPROVED",Trade_Reports!$Q$3:$Q$502,"&lt;="&amp;Settings!$B$5,Trade_Reports!$X$3:$X$502,"&gt;="&amp;0.5*$Q114),"")))</f>
        <v/>
      </c>
      <c r="S114" s="2" t="str">
        <f>IF($A114="","",COUNTIFS(Trade_Reports!$H$3:$H$502,$A114,Trade_Reports!$M$3:$M$502,"APPROVED",Trade_Reports!$Q$3:$Q$502,"&lt;="&amp;Settings!$B$5))</f>
        <v/>
      </c>
      <c r="T114" s="2"/>
      <c r="U114" s="2"/>
      <c r="V114" s="21" t="str">
        <f>IF(OR($A114="",ISERROR(SEARCH("_",$A114))),"",IFERROR(SUMIFS(Trade_Reports!$Z$3:$Z$502,Trade_Reports!$H$3:$H$502,$A114,Trade_Reports!$M$3:$M$502,"APPROVED")/SUMIFS(Trade_Reports!$U$3:$U$502,Trade_Reports!$H$3:$H$502,$A114,Trade_Reports!$M$3:$M$502,"APPROVED"),""))</f>
        <v/>
      </c>
      <c r="W114" s="17" t="str">
        <f t="shared" si="1"/>
        <v/>
      </c>
      <c r="X114" s="2"/>
      <c r="Y114" s="2"/>
      <c r="Z114" s="2"/>
    </row>
    <row r="115" spans="1:26" ht="15.75" customHeight="1" x14ac:dyDescent="0.3">
      <c r="A115" s="15"/>
      <c r="B115" s="15"/>
      <c r="C115" s="16"/>
      <c r="D115" s="16"/>
      <c r="E115" s="16"/>
      <c r="F115" s="17" t="str">
        <f>IF($A115="","",IF($K115&lt;Settings!$B$14,"",IF($P115=0,"",IFERROR(_xludf.MINIFS(Trade_Reports!$I$3:$I$502,Trade_Reports!$H$3:$H$502,$A115,Trade_Reports!$M$3:$M$502,"APPROVED",Trade_Reports!$Q$3:$Q$502,"&lt;="&amp;Settings!$B$4,Trade_Reports!$W$3:$W$502,"&gt;="&amp;0.5*$P115),""))))</f>
        <v/>
      </c>
      <c r="G115" s="17" t="str">
        <f>IF($A115="","",IF($K115=0,"",IFERROR(_xludf.MINIFS(Trade_Reports!$I$3:$I$502,Trade_Reports!$H$3:$H$502,$A115,Trade_Reports!$M$3:$M$502,"APPROVED",Trade_Reports!$Q$3:$Q$502,"&lt;="&amp;Settings!$B$4),"")))</f>
        <v/>
      </c>
      <c r="H115" s="17" t="str">
        <f>IF($A115="","",IF($K115=0,"",IFERROR(_xludf.MAXIFS(Trade_Reports!$I$3:$I$502,Trade_Reports!$H$3:$H$502,$A115,Trade_Reports!$M$3:$M$502,"APPROVED",Trade_Reports!$Q$3:$Q$502,"&lt;="&amp;Settings!$B$4),"")))</f>
        <v/>
      </c>
      <c r="I115" s="17" t="str">
        <f>IF($A115="","",IF($F115="","",IF($Q115="","",IF(ABS($F115-$Q115)/$Q115&lt;=Settings!$B$18,"STABLE",IF($F115&gt;$Q115,"UP","DOWN")))))</f>
        <v/>
      </c>
      <c r="J115" s="18" t="str">
        <f>IF($A115="","",IF($K115=0,"",MIN(100,ROUND($K115/Settings!$B$14*100,0))))</f>
        <v/>
      </c>
      <c r="K115" s="17" t="str">
        <f>IF($A115="","",COUNTIFS(Trade_Reports!$H$3:$H$502,$A115,Trade_Reports!$M$3:$M$502,"APPROVED",Trade_Reports!$Q$3:$Q$502,"&lt;="&amp;Settings!$B$4))</f>
        <v/>
      </c>
      <c r="L115" s="19" t="str">
        <f>IF($A115="","",IF($K115=0,"",IFERROR(_xludf.MAXIFS(Trade_Reports!$O$3:$O$502,Trade_Reports!$H$3:$H$502,$A115,Trade_Reports!$M$3:$M$502,"APPROVED"),"")))</f>
        <v/>
      </c>
      <c r="M115" s="16" t="s">
        <v>46</v>
      </c>
      <c r="N115" s="15"/>
      <c r="O115" s="9" t="str">
        <f t="shared" si="0"/>
        <v/>
      </c>
      <c r="P115" s="2" t="str">
        <f>IF($A115="","",SUMIFS(Trade_Reports!$U$3:$U$502,Trade_Reports!$H$3:$H$502,$A115,Trade_Reports!$M$3:$M$502,"APPROVED",Trade_Reports!$Q$3:$Q$502,"&lt;="&amp;Settings!$B$4))</f>
        <v/>
      </c>
      <c r="Q115" s="2" t="str">
        <f>IF($A115="","",SUMIFS(Trade_Reports!$U$3:$U$502,Trade_Reports!$H$3:$H$502,$A115,Trade_Reports!$M$3:$M$502,"APPROVED",Trade_Reports!$Q$3:$Q$502,"&lt;="&amp;Settings!$B$5))</f>
        <v/>
      </c>
      <c r="R115" s="2" t="str">
        <f>IF($A115="","",IF($Q115=0,"",IFERROR(_xludf.MINIFS(Trade_Reports!$I$3:$I$502,Trade_Reports!$H$3:$H$502,$A115,Trade_Reports!$M$3:$M$502,"APPROVED",Trade_Reports!$Q$3:$Q$502,"&lt;="&amp;Settings!$B$5,Trade_Reports!$X$3:$X$502,"&gt;="&amp;0.5*$Q115),"")))</f>
        <v/>
      </c>
      <c r="S115" s="2" t="str">
        <f>IF($A115="","",COUNTIFS(Trade_Reports!$H$3:$H$502,$A115,Trade_Reports!$M$3:$M$502,"APPROVED",Trade_Reports!$Q$3:$Q$502,"&lt;="&amp;Settings!$B$5))</f>
        <v/>
      </c>
      <c r="T115" s="2"/>
      <c r="U115" s="2"/>
      <c r="V115" s="21" t="str">
        <f>IF(OR($A115="",ISERROR(SEARCH("_",$A115))),"",IFERROR(SUMIFS(Trade_Reports!$Z$3:$Z$502,Trade_Reports!$H$3:$H$502,$A115,Trade_Reports!$M$3:$M$502,"APPROVED")/SUMIFS(Trade_Reports!$U$3:$U$502,Trade_Reports!$H$3:$H$502,$A115,Trade_Reports!$M$3:$M$502,"APPROVED"),""))</f>
        <v/>
      </c>
      <c r="W115" s="17" t="str">
        <f t="shared" si="1"/>
        <v/>
      </c>
      <c r="X115" s="2"/>
      <c r="Y115" s="2"/>
      <c r="Z115" s="2"/>
    </row>
    <row r="116" spans="1:26" ht="15.75" customHeight="1" x14ac:dyDescent="0.3">
      <c r="A116" s="15"/>
      <c r="B116" s="15"/>
      <c r="C116" s="16"/>
      <c r="D116" s="16"/>
      <c r="E116" s="16"/>
      <c r="F116" s="17" t="str">
        <f>IF($A116="","",IF($K116&lt;Settings!$B$14,"",IF($P116=0,"",IFERROR(_xludf.MINIFS(Trade_Reports!$I$3:$I$502,Trade_Reports!$H$3:$H$502,$A116,Trade_Reports!$M$3:$M$502,"APPROVED",Trade_Reports!$Q$3:$Q$502,"&lt;="&amp;Settings!$B$4,Trade_Reports!$W$3:$W$502,"&gt;="&amp;0.5*$P116),""))))</f>
        <v/>
      </c>
      <c r="G116" s="17" t="str">
        <f>IF($A116="","",IF($K116=0,"",IFERROR(_xludf.MINIFS(Trade_Reports!$I$3:$I$502,Trade_Reports!$H$3:$H$502,$A116,Trade_Reports!$M$3:$M$502,"APPROVED",Trade_Reports!$Q$3:$Q$502,"&lt;="&amp;Settings!$B$4),"")))</f>
        <v/>
      </c>
      <c r="H116" s="17" t="str">
        <f>IF($A116="","",IF($K116=0,"",IFERROR(_xludf.MAXIFS(Trade_Reports!$I$3:$I$502,Trade_Reports!$H$3:$H$502,$A116,Trade_Reports!$M$3:$M$502,"APPROVED",Trade_Reports!$Q$3:$Q$502,"&lt;="&amp;Settings!$B$4),"")))</f>
        <v/>
      </c>
      <c r="I116" s="17" t="str">
        <f>IF($A116="","",IF($F116="","",IF($Q116="","",IF(ABS($F116-$Q116)/$Q116&lt;=Settings!$B$18,"STABLE",IF($F116&gt;$Q116,"UP","DOWN")))))</f>
        <v/>
      </c>
      <c r="J116" s="18" t="str">
        <f>IF($A116="","",IF($K116=0,"",MIN(100,ROUND($K116/Settings!$B$14*100,0))))</f>
        <v/>
      </c>
      <c r="K116" s="17" t="str">
        <f>IF($A116="","",COUNTIFS(Trade_Reports!$H$3:$H$502,$A116,Trade_Reports!$M$3:$M$502,"APPROVED",Trade_Reports!$Q$3:$Q$502,"&lt;="&amp;Settings!$B$4))</f>
        <v/>
      </c>
      <c r="L116" s="19" t="str">
        <f>IF($A116="","",IF($K116=0,"",IFERROR(_xludf.MAXIFS(Trade_Reports!$O$3:$O$502,Trade_Reports!$H$3:$H$502,$A116,Trade_Reports!$M$3:$M$502,"APPROVED"),"")))</f>
        <v/>
      </c>
      <c r="M116" s="16" t="s">
        <v>46</v>
      </c>
      <c r="N116" s="15"/>
      <c r="O116" s="9" t="str">
        <f t="shared" si="0"/>
        <v/>
      </c>
      <c r="P116" s="2" t="str">
        <f>IF($A116="","",SUMIFS(Trade_Reports!$U$3:$U$502,Trade_Reports!$H$3:$H$502,$A116,Trade_Reports!$M$3:$M$502,"APPROVED",Trade_Reports!$Q$3:$Q$502,"&lt;="&amp;Settings!$B$4))</f>
        <v/>
      </c>
      <c r="Q116" s="2" t="str">
        <f>IF($A116="","",SUMIFS(Trade_Reports!$U$3:$U$502,Trade_Reports!$H$3:$H$502,$A116,Trade_Reports!$M$3:$M$502,"APPROVED",Trade_Reports!$Q$3:$Q$502,"&lt;="&amp;Settings!$B$5))</f>
        <v/>
      </c>
      <c r="R116" s="2" t="str">
        <f>IF($A116="","",IF($Q116=0,"",IFERROR(_xludf.MINIFS(Trade_Reports!$I$3:$I$502,Trade_Reports!$H$3:$H$502,$A116,Trade_Reports!$M$3:$M$502,"APPROVED",Trade_Reports!$Q$3:$Q$502,"&lt;="&amp;Settings!$B$5,Trade_Reports!$X$3:$X$502,"&gt;="&amp;0.5*$Q116),"")))</f>
        <v/>
      </c>
      <c r="S116" s="2" t="str">
        <f>IF($A116="","",COUNTIFS(Trade_Reports!$H$3:$H$502,$A116,Trade_Reports!$M$3:$M$502,"APPROVED",Trade_Reports!$Q$3:$Q$502,"&lt;="&amp;Settings!$B$5))</f>
        <v/>
      </c>
      <c r="T116" s="2"/>
      <c r="U116" s="2"/>
      <c r="V116" s="21" t="str">
        <f>IF(OR($A116="",ISERROR(SEARCH("_",$A116))),"",IFERROR(SUMIFS(Trade_Reports!$Z$3:$Z$502,Trade_Reports!$H$3:$H$502,$A116,Trade_Reports!$M$3:$M$502,"APPROVED")/SUMIFS(Trade_Reports!$U$3:$U$502,Trade_Reports!$H$3:$H$502,$A116,Trade_Reports!$M$3:$M$502,"APPROVED"),""))</f>
        <v/>
      </c>
      <c r="W116" s="17" t="str">
        <f t="shared" si="1"/>
        <v/>
      </c>
      <c r="X116" s="2"/>
      <c r="Y116" s="2"/>
      <c r="Z116" s="2"/>
    </row>
    <row r="117" spans="1:26" ht="15.75" customHeight="1" x14ac:dyDescent="0.3">
      <c r="A117" s="15"/>
      <c r="B117" s="15"/>
      <c r="C117" s="16"/>
      <c r="D117" s="16"/>
      <c r="E117" s="16"/>
      <c r="F117" s="17" t="str">
        <f>IF($A117="","",IF($K117&lt;Settings!$B$14,"",IF($P117=0,"",IFERROR(_xludf.MINIFS(Trade_Reports!$I$3:$I$502,Trade_Reports!$H$3:$H$502,$A117,Trade_Reports!$M$3:$M$502,"APPROVED",Trade_Reports!$Q$3:$Q$502,"&lt;="&amp;Settings!$B$4,Trade_Reports!$W$3:$W$502,"&gt;="&amp;0.5*$P117),""))))</f>
        <v/>
      </c>
      <c r="G117" s="17" t="str">
        <f>IF($A117="","",IF($K117=0,"",IFERROR(_xludf.MINIFS(Trade_Reports!$I$3:$I$502,Trade_Reports!$H$3:$H$502,$A117,Trade_Reports!$M$3:$M$502,"APPROVED",Trade_Reports!$Q$3:$Q$502,"&lt;="&amp;Settings!$B$4),"")))</f>
        <v/>
      </c>
      <c r="H117" s="17" t="str">
        <f>IF($A117="","",IF($K117=0,"",IFERROR(_xludf.MAXIFS(Trade_Reports!$I$3:$I$502,Trade_Reports!$H$3:$H$502,$A117,Trade_Reports!$M$3:$M$502,"APPROVED",Trade_Reports!$Q$3:$Q$502,"&lt;="&amp;Settings!$B$4),"")))</f>
        <v/>
      </c>
      <c r="I117" s="17" t="str">
        <f>IF($A117="","",IF($F117="","",IF($Q117="","",IF(ABS($F117-$Q117)/$Q117&lt;=Settings!$B$18,"STABLE",IF($F117&gt;$Q117,"UP","DOWN")))))</f>
        <v/>
      </c>
      <c r="J117" s="18" t="str">
        <f>IF($A117="","",IF($K117=0,"",MIN(100,ROUND($K117/Settings!$B$14*100,0))))</f>
        <v/>
      </c>
      <c r="K117" s="17" t="str">
        <f>IF($A117="","",COUNTIFS(Trade_Reports!$H$3:$H$502,$A117,Trade_Reports!$M$3:$M$502,"APPROVED",Trade_Reports!$Q$3:$Q$502,"&lt;="&amp;Settings!$B$4))</f>
        <v/>
      </c>
      <c r="L117" s="19" t="str">
        <f>IF($A117="","",IF($K117=0,"",IFERROR(_xludf.MAXIFS(Trade_Reports!$O$3:$O$502,Trade_Reports!$H$3:$H$502,$A117,Trade_Reports!$M$3:$M$502,"APPROVED"),"")))</f>
        <v/>
      </c>
      <c r="M117" s="16" t="s">
        <v>46</v>
      </c>
      <c r="N117" s="15"/>
      <c r="O117" s="9" t="str">
        <f t="shared" si="0"/>
        <v/>
      </c>
      <c r="P117" s="2" t="str">
        <f>IF($A117="","",SUMIFS(Trade_Reports!$U$3:$U$502,Trade_Reports!$H$3:$H$502,$A117,Trade_Reports!$M$3:$M$502,"APPROVED",Trade_Reports!$Q$3:$Q$502,"&lt;="&amp;Settings!$B$4))</f>
        <v/>
      </c>
      <c r="Q117" s="2" t="str">
        <f>IF($A117="","",SUMIFS(Trade_Reports!$U$3:$U$502,Trade_Reports!$H$3:$H$502,$A117,Trade_Reports!$M$3:$M$502,"APPROVED",Trade_Reports!$Q$3:$Q$502,"&lt;="&amp;Settings!$B$5))</f>
        <v/>
      </c>
      <c r="R117" s="2" t="str">
        <f>IF($A117="","",IF($Q117=0,"",IFERROR(_xludf.MINIFS(Trade_Reports!$I$3:$I$502,Trade_Reports!$H$3:$H$502,$A117,Trade_Reports!$M$3:$M$502,"APPROVED",Trade_Reports!$Q$3:$Q$502,"&lt;="&amp;Settings!$B$5,Trade_Reports!$X$3:$X$502,"&gt;="&amp;0.5*$Q117),"")))</f>
        <v/>
      </c>
      <c r="S117" s="2" t="str">
        <f>IF($A117="","",COUNTIFS(Trade_Reports!$H$3:$H$502,$A117,Trade_Reports!$M$3:$M$502,"APPROVED",Trade_Reports!$Q$3:$Q$502,"&lt;="&amp;Settings!$B$5))</f>
        <v/>
      </c>
      <c r="T117" s="2"/>
      <c r="U117" s="2"/>
      <c r="V117" s="21" t="str">
        <f>IF(OR($A117="",ISERROR(SEARCH("_",$A117))),"",IFERROR(SUMIFS(Trade_Reports!$Z$3:$Z$502,Trade_Reports!$H$3:$H$502,$A117,Trade_Reports!$M$3:$M$502,"APPROVED")/SUMIFS(Trade_Reports!$U$3:$U$502,Trade_Reports!$H$3:$H$502,$A117,Trade_Reports!$M$3:$M$502,"APPROVED"),""))</f>
        <v/>
      </c>
      <c r="W117" s="17" t="str">
        <f t="shared" si="1"/>
        <v/>
      </c>
      <c r="X117" s="2"/>
      <c r="Y117" s="2"/>
      <c r="Z117" s="2"/>
    </row>
    <row r="118" spans="1:26" ht="15.75" customHeight="1" x14ac:dyDescent="0.3">
      <c r="A118" s="15"/>
      <c r="B118" s="15"/>
      <c r="C118" s="16"/>
      <c r="D118" s="16"/>
      <c r="E118" s="16"/>
      <c r="F118" s="17" t="str">
        <f>IF($A118="","",IF($K118&lt;Settings!$B$14,"",IF($P118=0,"",IFERROR(_xludf.MINIFS(Trade_Reports!$I$3:$I$502,Trade_Reports!$H$3:$H$502,$A118,Trade_Reports!$M$3:$M$502,"APPROVED",Trade_Reports!$Q$3:$Q$502,"&lt;="&amp;Settings!$B$4,Trade_Reports!$W$3:$W$502,"&gt;="&amp;0.5*$P118),""))))</f>
        <v/>
      </c>
      <c r="G118" s="17" t="str">
        <f>IF($A118="","",IF($K118=0,"",IFERROR(_xludf.MINIFS(Trade_Reports!$I$3:$I$502,Trade_Reports!$H$3:$H$502,$A118,Trade_Reports!$M$3:$M$502,"APPROVED",Trade_Reports!$Q$3:$Q$502,"&lt;="&amp;Settings!$B$4),"")))</f>
        <v/>
      </c>
      <c r="H118" s="17" t="str">
        <f>IF($A118="","",IF($K118=0,"",IFERROR(_xludf.MAXIFS(Trade_Reports!$I$3:$I$502,Trade_Reports!$H$3:$H$502,$A118,Trade_Reports!$M$3:$M$502,"APPROVED",Trade_Reports!$Q$3:$Q$502,"&lt;="&amp;Settings!$B$4),"")))</f>
        <v/>
      </c>
      <c r="I118" s="17" t="str">
        <f>IF($A118="","",IF($F118="","",IF($Q118="","",IF(ABS($F118-$Q118)/$Q118&lt;=Settings!$B$18,"STABLE",IF($F118&gt;$Q118,"UP","DOWN")))))</f>
        <v/>
      </c>
      <c r="J118" s="18" t="str">
        <f>IF($A118="","",IF($K118=0,"",MIN(100,ROUND($K118/Settings!$B$14*100,0))))</f>
        <v/>
      </c>
      <c r="K118" s="17" t="str">
        <f>IF($A118="","",COUNTIFS(Trade_Reports!$H$3:$H$502,$A118,Trade_Reports!$M$3:$M$502,"APPROVED",Trade_Reports!$Q$3:$Q$502,"&lt;="&amp;Settings!$B$4))</f>
        <v/>
      </c>
      <c r="L118" s="19" t="str">
        <f>IF($A118="","",IF($K118=0,"",IFERROR(_xludf.MAXIFS(Trade_Reports!$O$3:$O$502,Trade_Reports!$H$3:$H$502,$A118,Trade_Reports!$M$3:$M$502,"APPROVED"),"")))</f>
        <v/>
      </c>
      <c r="M118" s="16" t="s">
        <v>46</v>
      </c>
      <c r="N118" s="15"/>
      <c r="O118" s="9" t="str">
        <f t="shared" si="0"/>
        <v/>
      </c>
      <c r="P118" s="2" t="str">
        <f>IF($A118="","",SUMIFS(Trade_Reports!$U$3:$U$502,Trade_Reports!$H$3:$H$502,$A118,Trade_Reports!$M$3:$M$502,"APPROVED",Trade_Reports!$Q$3:$Q$502,"&lt;="&amp;Settings!$B$4))</f>
        <v/>
      </c>
      <c r="Q118" s="2" t="str">
        <f>IF($A118="","",SUMIFS(Trade_Reports!$U$3:$U$502,Trade_Reports!$H$3:$H$502,$A118,Trade_Reports!$M$3:$M$502,"APPROVED",Trade_Reports!$Q$3:$Q$502,"&lt;="&amp;Settings!$B$5))</f>
        <v/>
      </c>
      <c r="R118" s="2" t="str">
        <f>IF($A118="","",IF($Q118=0,"",IFERROR(_xludf.MINIFS(Trade_Reports!$I$3:$I$502,Trade_Reports!$H$3:$H$502,$A118,Trade_Reports!$M$3:$M$502,"APPROVED",Trade_Reports!$Q$3:$Q$502,"&lt;="&amp;Settings!$B$5,Trade_Reports!$X$3:$X$502,"&gt;="&amp;0.5*$Q118),"")))</f>
        <v/>
      </c>
      <c r="S118" s="2" t="str">
        <f>IF($A118="","",COUNTIFS(Trade_Reports!$H$3:$H$502,$A118,Trade_Reports!$M$3:$M$502,"APPROVED",Trade_Reports!$Q$3:$Q$502,"&lt;="&amp;Settings!$B$5))</f>
        <v/>
      </c>
      <c r="T118" s="2"/>
      <c r="U118" s="2"/>
      <c r="V118" s="21" t="str">
        <f>IF(OR($A118="",ISERROR(SEARCH("_",$A118))),"",IFERROR(SUMIFS(Trade_Reports!$Z$3:$Z$502,Trade_Reports!$H$3:$H$502,$A118,Trade_Reports!$M$3:$M$502,"APPROVED")/SUMIFS(Trade_Reports!$U$3:$U$502,Trade_Reports!$H$3:$H$502,$A118,Trade_Reports!$M$3:$M$502,"APPROVED"),""))</f>
        <v/>
      </c>
      <c r="W118" s="17" t="str">
        <f t="shared" si="1"/>
        <v/>
      </c>
      <c r="X118" s="2"/>
      <c r="Y118" s="2"/>
      <c r="Z118" s="2"/>
    </row>
    <row r="119" spans="1:26" ht="15.75" customHeight="1" x14ac:dyDescent="0.3">
      <c r="A119" s="15"/>
      <c r="B119" s="15"/>
      <c r="C119" s="16"/>
      <c r="D119" s="16"/>
      <c r="E119" s="16"/>
      <c r="F119" s="17" t="str">
        <f>IF($A119="","",IF($K119&lt;Settings!$B$14,"",IF($P119=0,"",IFERROR(_xludf.MINIFS(Trade_Reports!$I$3:$I$502,Trade_Reports!$H$3:$H$502,$A119,Trade_Reports!$M$3:$M$502,"APPROVED",Trade_Reports!$Q$3:$Q$502,"&lt;="&amp;Settings!$B$4,Trade_Reports!$W$3:$W$502,"&gt;="&amp;0.5*$P119),""))))</f>
        <v/>
      </c>
      <c r="G119" s="17" t="str">
        <f>IF($A119="","",IF($K119=0,"",IFERROR(_xludf.MINIFS(Trade_Reports!$I$3:$I$502,Trade_Reports!$H$3:$H$502,$A119,Trade_Reports!$M$3:$M$502,"APPROVED",Trade_Reports!$Q$3:$Q$502,"&lt;="&amp;Settings!$B$4),"")))</f>
        <v/>
      </c>
      <c r="H119" s="17" t="str">
        <f>IF($A119="","",IF($K119=0,"",IFERROR(_xludf.MAXIFS(Trade_Reports!$I$3:$I$502,Trade_Reports!$H$3:$H$502,$A119,Trade_Reports!$M$3:$M$502,"APPROVED",Trade_Reports!$Q$3:$Q$502,"&lt;="&amp;Settings!$B$4),"")))</f>
        <v/>
      </c>
      <c r="I119" s="17" t="str">
        <f>IF($A119="","",IF($F119="","",IF($Q119="","",IF(ABS($F119-$Q119)/$Q119&lt;=Settings!$B$18,"STABLE",IF($F119&gt;$Q119,"UP","DOWN")))))</f>
        <v/>
      </c>
      <c r="J119" s="18" t="str">
        <f>IF($A119="","",IF($K119=0,"",MIN(100,ROUND($K119/Settings!$B$14*100,0))))</f>
        <v/>
      </c>
      <c r="K119" s="17" t="str">
        <f>IF($A119="","",COUNTIFS(Trade_Reports!$H$3:$H$502,$A119,Trade_Reports!$M$3:$M$502,"APPROVED",Trade_Reports!$Q$3:$Q$502,"&lt;="&amp;Settings!$B$4))</f>
        <v/>
      </c>
      <c r="L119" s="19" t="str">
        <f>IF($A119="","",IF($K119=0,"",IFERROR(_xludf.MAXIFS(Trade_Reports!$O$3:$O$502,Trade_Reports!$H$3:$H$502,$A119,Trade_Reports!$M$3:$M$502,"APPROVED"),"")))</f>
        <v/>
      </c>
      <c r="M119" s="16" t="s">
        <v>46</v>
      </c>
      <c r="N119" s="15"/>
      <c r="O119" s="9" t="str">
        <f t="shared" si="0"/>
        <v/>
      </c>
      <c r="P119" s="2" t="str">
        <f>IF($A119="","",SUMIFS(Trade_Reports!$U$3:$U$502,Trade_Reports!$H$3:$H$502,$A119,Trade_Reports!$M$3:$M$502,"APPROVED",Trade_Reports!$Q$3:$Q$502,"&lt;="&amp;Settings!$B$4))</f>
        <v/>
      </c>
      <c r="Q119" s="2" t="str">
        <f>IF($A119="","",SUMIFS(Trade_Reports!$U$3:$U$502,Trade_Reports!$H$3:$H$502,$A119,Trade_Reports!$M$3:$M$502,"APPROVED",Trade_Reports!$Q$3:$Q$502,"&lt;="&amp;Settings!$B$5))</f>
        <v/>
      </c>
      <c r="R119" s="2" t="str">
        <f>IF($A119="","",IF($Q119=0,"",IFERROR(_xludf.MINIFS(Trade_Reports!$I$3:$I$502,Trade_Reports!$H$3:$H$502,$A119,Trade_Reports!$M$3:$M$502,"APPROVED",Trade_Reports!$Q$3:$Q$502,"&lt;="&amp;Settings!$B$5,Trade_Reports!$X$3:$X$502,"&gt;="&amp;0.5*$Q119),"")))</f>
        <v/>
      </c>
      <c r="S119" s="2" t="str">
        <f>IF($A119="","",COUNTIFS(Trade_Reports!$H$3:$H$502,$A119,Trade_Reports!$M$3:$M$502,"APPROVED",Trade_Reports!$Q$3:$Q$502,"&lt;="&amp;Settings!$B$5))</f>
        <v/>
      </c>
      <c r="T119" s="2"/>
      <c r="U119" s="2"/>
      <c r="V119" s="21" t="str">
        <f>IF(OR($A119="",ISERROR(SEARCH("_",$A119))),"",IFERROR(SUMIFS(Trade_Reports!$Z$3:$Z$502,Trade_Reports!$H$3:$H$502,$A119,Trade_Reports!$M$3:$M$502,"APPROVED")/SUMIFS(Trade_Reports!$U$3:$U$502,Trade_Reports!$H$3:$H$502,$A119,Trade_Reports!$M$3:$M$502,"APPROVED"),""))</f>
        <v/>
      </c>
      <c r="W119" s="17" t="str">
        <f t="shared" si="1"/>
        <v/>
      </c>
      <c r="X119" s="2"/>
      <c r="Y119" s="2"/>
      <c r="Z119" s="2"/>
    </row>
    <row r="120" spans="1:26" ht="15.75" customHeight="1" x14ac:dyDescent="0.3">
      <c r="A120" s="15"/>
      <c r="B120" s="15"/>
      <c r="C120" s="16"/>
      <c r="D120" s="16"/>
      <c r="E120" s="16"/>
      <c r="F120" s="17" t="str">
        <f>IF($A120="","",IF($K120&lt;Settings!$B$14,"",IF($P120=0,"",IFERROR(_xludf.MINIFS(Trade_Reports!$I$3:$I$502,Trade_Reports!$H$3:$H$502,$A120,Trade_Reports!$M$3:$M$502,"APPROVED",Trade_Reports!$Q$3:$Q$502,"&lt;="&amp;Settings!$B$4,Trade_Reports!$W$3:$W$502,"&gt;="&amp;0.5*$P120),""))))</f>
        <v/>
      </c>
      <c r="G120" s="17" t="str">
        <f>IF($A120="","",IF($K120=0,"",IFERROR(_xludf.MINIFS(Trade_Reports!$I$3:$I$502,Trade_Reports!$H$3:$H$502,$A120,Trade_Reports!$M$3:$M$502,"APPROVED",Trade_Reports!$Q$3:$Q$502,"&lt;="&amp;Settings!$B$4),"")))</f>
        <v/>
      </c>
      <c r="H120" s="17" t="str">
        <f>IF($A120="","",IF($K120=0,"",IFERROR(_xludf.MAXIFS(Trade_Reports!$I$3:$I$502,Trade_Reports!$H$3:$H$502,$A120,Trade_Reports!$M$3:$M$502,"APPROVED",Trade_Reports!$Q$3:$Q$502,"&lt;="&amp;Settings!$B$4),"")))</f>
        <v/>
      </c>
      <c r="I120" s="17" t="str">
        <f>IF($A120="","",IF($F120="","",IF($Q120="","",IF(ABS($F120-$Q120)/$Q120&lt;=Settings!$B$18,"STABLE",IF($F120&gt;$Q120,"UP","DOWN")))))</f>
        <v/>
      </c>
      <c r="J120" s="18" t="str">
        <f>IF($A120="","",IF($K120=0,"",MIN(100,ROUND($K120/Settings!$B$14*100,0))))</f>
        <v/>
      </c>
      <c r="K120" s="17" t="str">
        <f>IF($A120="","",COUNTIFS(Trade_Reports!$H$3:$H$502,$A120,Trade_Reports!$M$3:$M$502,"APPROVED",Trade_Reports!$Q$3:$Q$502,"&lt;="&amp;Settings!$B$4))</f>
        <v/>
      </c>
      <c r="L120" s="19" t="str">
        <f>IF($A120="","",IF($K120=0,"",IFERROR(_xludf.MAXIFS(Trade_Reports!$O$3:$O$502,Trade_Reports!$H$3:$H$502,$A120,Trade_Reports!$M$3:$M$502,"APPROVED"),"")))</f>
        <v/>
      </c>
      <c r="M120" s="16" t="s">
        <v>46</v>
      </c>
      <c r="N120" s="15"/>
      <c r="O120" s="9" t="str">
        <f t="shared" si="0"/>
        <v/>
      </c>
      <c r="P120" s="2" t="str">
        <f>IF($A120="","",SUMIFS(Trade_Reports!$U$3:$U$502,Trade_Reports!$H$3:$H$502,$A120,Trade_Reports!$M$3:$M$502,"APPROVED",Trade_Reports!$Q$3:$Q$502,"&lt;="&amp;Settings!$B$4))</f>
        <v/>
      </c>
      <c r="Q120" s="2" t="str">
        <f>IF($A120="","",SUMIFS(Trade_Reports!$U$3:$U$502,Trade_Reports!$H$3:$H$502,$A120,Trade_Reports!$M$3:$M$502,"APPROVED",Trade_Reports!$Q$3:$Q$502,"&lt;="&amp;Settings!$B$5))</f>
        <v/>
      </c>
      <c r="R120" s="2" t="str">
        <f>IF($A120="","",IF($Q120=0,"",IFERROR(_xludf.MINIFS(Trade_Reports!$I$3:$I$502,Trade_Reports!$H$3:$H$502,$A120,Trade_Reports!$M$3:$M$502,"APPROVED",Trade_Reports!$Q$3:$Q$502,"&lt;="&amp;Settings!$B$5,Trade_Reports!$X$3:$X$502,"&gt;="&amp;0.5*$Q120),"")))</f>
        <v/>
      </c>
      <c r="S120" s="2" t="str">
        <f>IF($A120="","",COUNTIFS(Trade_Reports!$H$3:$H$502,$A120,Trade_Reports!$M$3:$M$502,"APPROVED",Trade_Reports!$Q$3:$Q$502,"&lt;="&amp;Settings!$B$5))</f>
        <v/>
      </c>
      <c r="T120" s="2"/>
      <c r="U120" s="2"/>
      <c r="V120" s="21" t="str">
        <f>IF(OR($A120="",ISERROR(SEARCH("_",$A120))),"",IFERROR(SUMIFS(Trade_Reports!$Z$3:$Z$502,Trade_Reports!$H$3:$H$502,$A120,Trade_Reports!$M$3:$M$502,"APPROVED")/SUMIFS(Trade_Reports!$U$3:$U$502,Trade_Reports!$H$3:$H$502,$A120,Trade_Reports!$M$3:$M$502,"APPROVED"),""))</f>
        <v/>
      </c>
      <c r="W120" s="17" t="str">
        <f t="shared" si="1"/>
        <v/>
      </c>
      <c r="X120" s="2"/>
      <c r="Y120" s="2"/>
      <c r="Z120" s="2"/>
    </row>
    <row r="121" spans="1:26" ht="15.75" customHeight="1" x14ac:dyDescent="0.3">
      <c r="A121" s="15"/>
      <c r="B121" s="15"/>
      <c r="C121" s="16"/>
      <c r="D121" s="16"/>
      <c r="E121" s="16"/>
      <c r="F121" s="17" t="str">
        <f>IF($A121="","",IF($K121&lt;Settings!$B$14,"",IF($P121=0,"",IFERROR(_xludf.MINIFS(Trade_Reports!$I$3:$I$502,Trade_Reports!$H$3:$H$502,$A121,Trade_Reports!$M$3:$M$502,"APPROVED",Trade_Reports!$Q$3:$Q$502,"&lt;="&amp;Settings!$B$4,Trade_Reports!$W$3:$W$502,"&gt;="&amp;0.5*$P121),""))))</f>
        <v/>
      </c>
      <c r="G121" s="17" t="str">
        <f>IF($A121="","",IF($K121=0,"",IFERROR(_xludf.MINIFS(Trade_Reports!$I$3:$I$502,Trade_Reports!$H$3:$H$502,$A121,Trade_Reports!$M$3:$M$502,"APPROVED",Trade_Reports!$Q$3:$Q$502,"&lt;="&amp;Settings!$B$4),"")))</f>
        <v/>
      </c>
      <c r="H121" s="17" t="str">
        <f>IF($A121="","",IF($K121=0,"",IFERROR(_xludf.MAXIFS(Trade_Reports!$I$3:$I$502,Trade_Reports!$H$3:$H$502,$A121,Trade_Reports!$M$3:$M$502,"APPROVED",Trade_Reports!$Q$3:$Q$502,"&lt;="&amp;Settings!$B$4),"")))</f>
        <v/>
      </c>
      <c r="I121" s="17" t="str">
        <f>IF($A121="","",IF($F121="","",IF($Q121="","",IF(ABS($F121-$Q121)/$Q121&lt;=Settings!$B$18,"STABLE",IF($F121&gt;$Q121,"UP","DOWN")))))</f>
        <v/>
      </c>
      <c r="J121" s="18" t="str">
        <f>IF($A121="","",IF($K121=0,"",MIN(100,ROUND($K121/Settings!$B$14*100,0))))</f>
        <v/>
      </c>
      <c r="K121" s="17" t="str">
        <f>IF($A121="","",COUNTIFS(Trade_Reports!$H$3:$H$502,$A121,Trade_Reports!$M$3:$M$502,"APPROVED",Trade_Reports!$Q$3:$Q$502,"&lt;="&amp;Settings!$B$4))</f>
        <v/>
      </c>
      <c r="L121" s="19" t="str">
        <f>IF($A121="","",IF($K121=0,"",IFERROR(_xludf.MAXIFS(Trade_Reports!$O$3:$O$502,Trade_Reports!$H$3:$H$502,$A121,Trade_Reports!$M$3:$M$502,"APPROVED"),"")))</f>
        <v/>
      </c>
      <c r="M121" s="16" t="s">
        <v>46</v>
      </c>
      <c r="N121" s="15"/>
      <c r="O121" s="9" t="str">
        <f t="shared" si="0"/>
        <v/>
      </c>
      <c r="P121" s="2" t="str">
        <f>IF($A121="","",SUMIFS(Trade_Reports!$U$3:$U$502,Trade_Reports!$H$3:$H$502,$A121,Trade_Reports!$M$3:$M$502,"APPROVED",Trade_Reports!$Q$3:$Q$502,"&lt;="&amp;Settings!$B$4))</f>
        <v/>
      </c>
      <c r="Q121" s="2" t="str">
        <f>IF($A121="","",SUMIFS(Trade_Reports!$U$3:$U$502,Trade_Reports!$H$3:$H$502,$A121,Trade_Reports!$M$3:$M$502,"APPROVED",Trade_Reports!$Q$3:$Q$502,"&lt;="&amp;Settings!$B$5))</f>
        <v/>
      </c>
      <c r="R121" s="2" t="str">
        <f>IF($A121="","",IF($Q121=0,"",IFERROR(_xludf.MINIFS(Trade_Reports!$I$3:$I$502,Trade_Reports!$H$3:$H$502,$A121,Trade_Reports!$M$3:$M$502,"APPROVED",Trade_Reports!$Q$3:$Q$502,"&lt;="&amp;Settings!$B$5,Trade_Reports!$X$3:$X$502,"&gt;="&amp;0.5*$Q121),"")))</f>
        <v/>
      </c>
      <c r="S121" s="2" t="str">
        <f>IF($A121="","",COUNTIFS(Trade_Reports!$H$3:$H$502,$A121,Trade_Reports!$M$3:$M$502,"APPROVED",Trade_Reports!$Q$3:$Q$502,"&lt;="&amp;Settings!$B$5))</f>
        <v/>
      </c>
      <c r="T121" s="2"/>
      <c r="U121" s="2"/>
      <c r="V121" s="21" t="str">
        <f>IF(OR($A121="",ISERROR(SEARCH("_",$A121))),"",IFERROR(SUMIFS(Trade_Reports!$Z$3:$Z$502,Trade_Reports!$H$3:$H$502,$A121,Trade_Reports!$M$3:$M$502,"APPROVED")/SUMIFS(Trade_Reports!$U$3:$U$502,Trade_Reports!$H$3:$H$502,$A121,Trade_Reports!$M$3:$M$502,"APPROVED"),""))</f>
        <v/>
      </c>
      <c r="W121" s="17" t="str">
        <f t="shared" si="1"/>
        <v/>
      </c>
      <c r="X121" s="2"/>
      <c r="Y121" s="2"/>
      <c r="Z121" s="2"/>
    </row>
    <row r="122" spans="1:26" ht="15.75" customHeight="1" x14ac:dyDescent="0.3">
      <c r="A122" s="15"/>
      <c r="B122" s="15"/>
      <c r="C122" s="16"/>
      <c r="D122" s="16"/>
      <c r="E122" s="16"/>
      <c r="F122" s="17" t="str">
        <f>IF($A122="","",IF($K122&lt;Settings!$B$14,"",IF($P122=0,"",IFERROR(_xludf.MINIFS(Trade_Reports!$I$3:$I$502,Trade_Reports!$H$3:$H$502,$A122,Trade_Reports!$M$3:$M$502,"APPROVED",Trade_Reports!$Q$3:$Q$502,"&lt;="&amp;Settings!$B$4,Trade_Reports!$W$3:$W$502,"&gt;="&amp;0.5*$P122),""))))</f>
        <v/>
      </c>
      <c r="G122" s="17" t="str">
        <f>IF($A122="","",IF($K122=0,"",IFERROR(_xludf.MINIFS(Trade_Reports!$I$3:$I$502,Trade_Reports!$H$3:$H$502,$A122,Trade_Reports!$M$3:$M$502,"APPROVED",Trade_Reports!$Q$3:$Q$502,"&lt;="&amp;Settings!$B$4),"")))</f>
        <v/>
      </c>
      <c r="H122" s="17" t="str">
        <f>IF($A122="","",IF($K122=0,"",IFERROR(_xludf.MAXIFS(Trade_Reports!$I$3:$I$502,Trade_Reports!$H$3:$H$502,$A122,Trade_Reports!$M$3:$M$502,"APPROVED",Trade_Reports!$Q$3:$Q$502,"&lt;="&amp;Settings!$B$4),"")))</f>
        <v/>
      </c>
      <c r="I122" s="17" t="str">
        <f>IF($A122="","",IF($F122="","",IF($Q122="","",IF(ABS($F122-$Q122)/$Q122&lt;=Settings!$B$18,"STABLE",IF($F122&gt;$Q122,"UP","DOWN")))))</f>
        <v/>
      </c>
      <c r="J122" s="18" t="str">
        <f>IF($A122="","",IF($K122=0,"",MIN(100,ROUND($K122/Settings!$B$14*100,0))))</f>
        <v/>
      </c>
      <c r="K122" s="17" t="str">
        <f>IF($A122="","",COUNTIFS(Trade_Reports!$H$3:$H$502,$A122,Trade_Reports!$M$3:$M$502,"APPROVED",Trade_Reports!$Q$3:$Q$502,"&lt;="&amp;Settings!$B$4))</f>
        <v/>
      </c>
      <c r="L122" s="19" t="str">
        <f>IF($A122="","",IF($K122=0,"",IFERROR(_xludf.MAXIFS(Trade_Reports!$O$3:$O$502,Trade_Reports!$H$3:$H$502,$A122,Trade_Reports!$M$3:$M$502,"APPROVED"),"")))</f>
        <v/>
      </c>
      <c r="M122" s="16" t="s">
        <v>46</v>
      </c>
      <c r="N122" s="15"/>
      <c r="O122" s="9" t="str">
        <f t="shared" si="0"/>
        <v/>
      </c>
      <c r="P122" s="2" t="str">
        <f>IF($A122="","",SUMIFS(Trade_Reports!$U$3:$U$502,Trade_Reports!$H$3:$H$502,$A122,Trade_Reports!$M$3:$M$502,"APPROVED",Trade_Reports!$Q$3:$Q$502,"&lt;="&amp;Settings!$B$4))</f>
        <v/>
      </c>
      <c r="Q122" s="2" t="str">
        <f>IF($A122="","",SUMIFS(Trade_Reports!$U$3:$U$502,Trade_Reports!$H$3:$H$502,$A122,Trade_Reports!$M$3:$M$502,"APPROVED",Trade_Reports!$Q$3:$Q$502,"&lt;="&amp;Settings!$B$5))</f>
        <v/>
      </c>
      <c r="R122" s="2" t="str">
        <f>IF($A122="","",IF($Q122=0,"",IFERROR(_xludf.MINIFS(Trade_Reports!$I$3:$I$502,Trade_Reports!$H$3:$H$502,$A122,Trade_Reports!$M$3:$M$502,"APPROVED",Trade_Reports!$Q$3:$Q$502,"&lt;="&amp;Settings!$B$5,Trade_Reports!$X$3:$X$502,"&gt;="&amp;0.5*$Q122),"")))</f>
        <v/>
      </c>
      <c r="S122" s="2" t="str">
        <f>IF($A122="","",COUNTIFS(Trade_Reports!$H$3:$H$502,$A122,Trade_Reports!$M$3:$M$502,"APPROVED",Trade_Reports!$Q$3:$Q$502,"&lt;="&amp;Settings!$B$5))</f>
        <v/>
      </c>
      <c r="T122" s="2"/>
      <c r="U122" s="2"/>
      <c r="V122" s="21" t="str">
        <f>IF(OR($A122="",ISERROR(SEARCH("_",$A122))),"",IFERROR(SUMIFS(Trade_Reports!$Z$3:$Z$502,Trade_Reports!$H$3:$H$502,$A122,Trade_Reports!$M$3:$M$502,"APPROVED")/SUMIFS(Trade_Reports!$U$3:$U$502,Trade_Reports!$H$3:$H$502,$A122,Trade_Reports!$M$3:$M$502,"APPROVED"),""))</f>
        <v/>
      </c>
      <c r="W122" s="17" t="str">
        <f t="shared" si="1"/>
        <v/>
      </c>
      <c r="X122" s="2"/>
      <c r="Y122" s="2"/>
      <c r="Z122" s="2"/>
    </row>
    <row r="123" spans="1:26" ht="15.75" customHeight="1" x14ac:dyDescent="0.3">
      <c r="A123" s="15"/>
      <c r="B123" s="15"/>
      <c r="C123" s="16"/>
      <c r="D123" s="16"/>
      <c r="E123" s="16"/>
      <c r="F123" s="17" t="str">
        <f>IF($A123="","",IF($K123&lt;Settings!$B$14,"",IF($P123=0,"",IFERROR(_xludf.MINIFS(Trade_Reports!$I$3:$I$502,Trade_Reports!$H$3:$H$502,$A123,Trade_Reports!$M$3:$M$502,"APPROVED",Trade_Reports!$Q$3:$Q$502,"&lt;="&amp;Settings!$B$4,Trade_Reports!$W$3:$W$502,"&gt;="&amp;0.5*$P123),""))))</f>
        <v/>
      </c>
      <c r="G123" s="17" t="str">
        <f>IF($A123="","",IF($K123=0,"",IFERROR(_xludf.MINIFS(Trade_Reports!$I$3:$I$502,Trade_Reports!$H$3:$H$502,$A123,Trade_Reports!$M$3:$M$502,"APPROVED",Trade_Reports!$Q$3:$Q$502,"&lt;="&amp;Settings!$B$4),"")))</f>
        <v/>
      </c>
      <c r="H123" s="17" t="str">
        <f>IF($A123="","",IF($K123=0,"",IFERROR(_xludf.MAXIFS(Trade_Reports!$I$3:$I$502,Trade_Reports!$H$3:$H$502,$A123,Trade_Reports!$M$3:$M$502,"APPROVED",Trade_Reports!$Q$3:$Q$502,"&lt;="&amp;Settings!$B$4),"")))</f>
        <v/>
      </c>
      <c r="I123" s="17" t="str">
        <f>IF($A123="","",IF($F123="","",IF($Q123="","",IF(ABS($F123-$Q123)/$Q123&lt;=Settings!$B$18,"STABLE",IF($F123&gt;$Q123,"UP","DOWN")))))</f>
        <v/>
      </c>
      <c r="J123" s="18" t="str">
        <f>IF($A123="","",IF($K123=0,"",MIN(100,ROUND($K123/Settings!$B$14*100,0))))</f>
        <v/>
      </c>
      <c r="K123" s="17" t="str">
        <f>IF($A123="","",COUNTIFS(Trade_Reports!$H$3:$H$502,$A123,Trade_Reports!$M$3:$M$502,"APPROVED",Trade_Reports!$Q$3:$Q$502,"&lt;="&amp;Settings!$B$4))</f>
        <v/>
      </c>
      <c r="L123" s="19" t="str">
        <f>IF($A123="","",IF($K123=0,"",IFERROR(_xludf.MAXIFS(Trade_Reports!$O$3:$O$502,Trade_Reports!$H$3:$H$502,$A123,Trade_Reports!$M$3:$M$502,"APPROVED"),"")))</f>
        <v/>
      </c>
      <c r="M123" s="16" t="s">
        <v>46</v>
      </c>
      <c r="N123" s="15"/>
      <c r="O123" s="9" t="str">
        <f t="shared" si="0"/>
        <v/>
      </c>
      <c r="P123" s="2" t="str">
        <f>IF($A123="","",SUMIFS(Trade_Reports!$U$3:$U$502,Trade_Reports!$H$3:$H$502,$A123,Trade_Reports!$M$3:$M$502,"APPROVED",Trade_Reports!$Q$3:$Q$502,"&lt;="&amp;Settings!$B$4))</f>
        <v/>
      </c>
      <c r="Q123" s="2" t="str">
        <f>IF($A123="","",SUMIFS(Trade_Reports!$U$3:$U$502,Trade_Reports!$H$3:$H$502,$A123,Trade_Reports!$M$3:$M$502,"APPROVED",Trade_Reports!$Q$3:$Q$502,"&lt;="&amp;Settings!$B$5))</f>
        <v/>
      </c>
      <c r="R123" s="2" t="str">
        <f>IF($A123="","",IF($Q123=0,"",IFERROR(_xludf.MINIFS(Trade_Reports!$I$3:$I$502,Trade_Reports!$H$3:$H$502,$A123,Trade_Reports!$M$3:$M$502,"APPROVED",Trade_Reports!$Q$3:$Q$502,"&lt;="&amp;Settings!$B$5,Trade_Reports!$X$3:$X$502,"&gt;="&amp;0.5*$Q123),"")))</f>
        <v/>
      </c>
      <c r="S123" s="2" t="str">
        <f>IF($A123="","",COUNTIFS(Trade_Reports!$H$3:$H$502,$A123,Trade_Reports!$M$3:$M$502,"APPROVED",Trade_Reports!$Q$3:$Q$502,"&lt;="&amp;Settings!$B$5))</f>
        <v/>
      </c>
      <c r="T123" s="2"/>
      <c r="U123" s="2"/>
      <c r="V123" s="21" t="str">
        <f>IF(OR($A123="",ISERROR(SEARCH("_",$A123))),"",IFERROR(SUMIFS(Trade_Reports!$Z$3:$Z$502,Trade_Reports!$H$3:$H$502,$A123,Trade_Reports!$M$3:$M$502,"APPROVED")/SUMIFS(Trade_Reports!$U$3:$U$502,Trade_Reports!$H$3:$H$502,$A123,Trade_Reports!$M$3:$M$502,"APPROVED"),""))</f>
        <v/>
      </c>
      <c r="W123" s="17" t="str">
        <f t="shared" si="1"/>
        <v/>
      </c>
      <c r="X123" s="2"/>
      <c r="Y123" s="2"/>
      <c r="Z123" s="2"/>
    </row>
    <row r="124" spans="1:26" ht="15.75" customHeight="1" x14ac:dyDescent="0.3">
      <c r="A124" s="15"/>
      <c r="B124" s="15"/>
      <c r="C124" s="16"/>
      <c r="D124" s="16"/>
      <c r="E124" s="16"/>
      <c r="F124" s="17" t="str">
        <f>IF($A124="","",IF($K124&lt;Settings!$B$14,"",IF($P124=0,"",IFERROR(_xludf.MINIFS(Trade_Reports!$I$3:$I$502,Trade_Reports!$H$3:$H$502,$A124,Trade_Reports!$M$3:$M$502,"APPROVED",Trade_Reports!$Q$3:$Q$502,"&lt;="&amp;Settings!$B$4,Trade_Reports!$W$3:$W$502,"&gt;="&amp;0.5*$P124),""))))</f>
        <v/>
      </c>
      <c r="G124" s="17" t="str">
        <f>IF($A124="","",IF($K124=0,"",IFERROR(_xludf.MINIFS(Trade_Reports!$I$3:$I$502,Trade_Reports!$H$3:$H$502,$A124,Trade_Reports!$M$3:$M$502,"APPROVED",Trade_Reports!$Q$3:$Q$502,"&lt;="&amp;Settings!$B$4),"")))</f>
        <v/>
      </c>
      <c r="H124" s="17" t="str">
        <f>IF($A124="","",IF($K124=0,"",IFERROR(_xludf.MAXIFS(Trade_Reports!$I$3:$I$502,Trade_Reports!$H$3:$H$502,$A124,Trade_Reports!$M$3:$M$502,"APPROVED",Trade_Reports!$Q$3:$Q$502,"&lt;="&amp;Settings!$B$4),"")))</f>
        <v/>
      </c>
      <c r="I124" s="17" t="str">
        <f>IF($A124="","",IF($F124="","",IF($Q124="","",IF(ABS($F124-$Q124)/$Q124&lt;=Settings!$B$18,"STABLE",IF($F124&gt;$Q124,"UP","DOWN")))))</f>
        <v/>
      </c>
      <c r="J124" s="18" t="str">
        <f>IF($A124="","",IF($K124=0,"",MIN(100,ROUND($K124/Settings!$B$14*100,0))))</f>
        <v/>
      </c>
      <c r="K124" s="17" t="str">
        <f>IF($A124="","",COUNTIFS(Trade_Reports!$H$3:$H$502,$A124,Trade_Reports!$M$3:$M$502,"APPROVED",Trade_Reports!$Q$3:$Q$502,"&lt;="&amp;Settings!$B$4))</f>
        <v/>
      </c>
      <c r="L124" s="19" t="str">
        <f>IF($A124="","",IF($K124=0,"",IFERROR(_xludf.MAXIFS(Trade_Reports!$O$3:$O$502,Trade_Reports!$H$3:$H$502,$A124,Trade_Reports!$M$3:$M$502,"APPROVED"),"")))</f>
        <v/>
      </c>
      <c r="M124" s="16" t="s">
        <v>46</v>
      </c>
      <c r="N124" s="15"/>
      <c r="O124" s="9" t="str">
        <f t="shared" si="0"/>
        <v/>
      </c>
      <c r="P124" s="2" t="str">
        <f>IF($A124="","",SUMIFS(Trade_Reports!$U$3:$U$502,Trade_Reports!$H$3:$H$502,$A124,Trade_Reports!$M$3:$M$502,"APPROVED",Trade_Reports!$Q$3:$Q$502,"&lt;="&amp;Settings!$B$4))</f>
        <v/>
      </c>
      <c r="Q124" s="2" t="str">
        <f>IF($A124="","",SUMIFS(Trade_Reports!$U$3:$U$502,Trade_Reports!$H$3:$H$502,$A124,Trade_Reports!$M$3:$M$502,"APPROVED",Trade_Reports!$Q$3:$Q$502,"&lt;="&amp;Settings!$B$5))</f>
        <v/>
      </c>
      <c r="R124" s="2" t="str">
        <f>IF($A124="","",IF($Q124=0,"",IFERROR(_xludf.MINIFS(Trade_Reports!$I$3:$I$502,Trade_Reports!$H$3:$H$502,$A124,Trade_Reports!$M$3:$M$502,"APPROVED",Trade_Reports!$Q$3:$Q$502,"&lt;="&amp;Settings!$B$5,Trade_Reports!$X$3:$X$502,"&gt;="&amp;0.5*$Q124),"")))</f>
        <v/>
      </c>
      <c r="S124" s="2" t="str">
        <f>IF($A124="","",COUNTIFS(Trade_Reports!$H$3:$H$502,$A124,Trade_Reports!$M$3:$M$502,"APPROVED",Trade_Reports!$Q$3:$Q$502,"&lt;="&amp;Settings!$B$5))</f>
        <v/>
      </c>
      <c r="T124" s="2"/>
      <c r="U124" s="2"/>
      <c r="V124" s="21" t="str">
        <f>IF(OR($A124="",ISERROR(SEARCH("_",$A124))),"",IFERROR(SUMIFS(Trade_Reports!$Z$3:$Z$502,Trade_Reports!$H$3:$H$502,$A124,Trade_Reports!$M$3:$M$502,"APPROVED")/SUMIFS(Trade_Reports!$U$3:$U$502,Trade_Reports!$H$3:$H$502,$A124,Trade_Reports!$M$3:$M$502,"APPROVED"),""))</f>
        <v/>
      </c>
      <c r="W124" s="17" t="str">
        <f t="shared" si="1"/>
        <v/>
      </c>
      <c r="X124" s="2"/>
      <c r="Y124" s="2"/>
      <c r="Z124" s="2"/>
    </row>
    <row r="125" spans="1:26" ht="15.75" customHeight="1" x14ac:dyDescent="0.3">
      <c r="A125" s="15"/>
      <c r="B125" s="15"/>
      <c r="C125" s="16"/>
      <c r="D125" s="16"/>
      <c r="E125" s="16"/>
      <c r="F125" s="17" t="str">
        <f>IF($A125="","",IF($K125&lt;Settings!$B$14,"",IF($P125=0,"",IFERROR(_xludf.MINIFS(Trade_Reports!$I$3:$I$502,Trade_Reports!$H$3:$H$502,$A125,Trade_Reports!$M$3:$M$502,"APPROVED",Trade_Reports!$Q$3:$Q$502,"&lt;="&amp;Settings!$B$4,Trade_Reports!$W$3:$W$502,"&gt;="&amp;0.5*$P125),""))))</f>
        <v/>
      </c>
      <c r="G125" s="17" t="str">
        <f>IF($A125="","",IF($K125=0,"",IFERROR(_xludf.MINIFS(Trade_Reports!$I$3:$I$502,Trade_Reports!$H$3:$H$502,$A125,Trade_Reports!$M$3:$M$502,"APPROVED",Trade_Reports!$Q$3:$Q$502,"&lt;="&amp;Settings!$B$4),"")))</f>
        <v/>
      </c>
      <c r="H125" s="17" t="str">
        <f>IF($A125="","",IF($K125=0,"",IFERROR(_xludf.MAXIFS(Trade_Reports!$I$3:$I$502,Trade_Reports!$H$3:$H$502,$A125,Trade_Reports!$M$3:$M$502,"APPROVED",Trade_Reports!$Q$3:$Q$502,"&lt;="&amp;Settings!$B$4),"")))</f>
        <v/>
      </c>
      <c r="I125" s="17" t="str">
        <f>IF($A125="","",IF($F125="","",IF($Q125="","",IF(ABS($F125-$Q125)/$Q125&lt;=Settings!$B$18,"STABLE",IF($F125&gt;$Q125,"UP","DOWN")))))</f>
        <v/>
      </c>
      <c r="J125" s="18" t="str">
        <f>IF($A125="","",IF($K125=0,"",MIN(100,ROUND($K125/Settings!$B$14*100,0))))</f>
        <v/>
      </c>
      <c r="K125" s="17" t="str">
        <f>IF($A125="","",COUNTIFS(Trade_Reports!$H$3:$H$502,$A125,Trade_Reports!$M$3:$M$502,"APPROVED",Trade_Reports!$Q$3:$Q$502,"&lt;="&amp;Settings!$B$4))</f>
        <v/>
      </c>
      <c r="L125" s="19" t="str">
        <f>IF($A125="","",IF($K125=0,"",IFERROR(_xludf.MAXIFS(Trade_Reports!$O$3:$O$502,Trade_Reports!$H$3:$H$502,$A125,Trade_Reports!$M$3:$M$502,"APPROVED"),"")))</f>
        <v/>
      </c>
      <c r="M125" s="16" t="s">
        <v>46</v>
      </c>
      <c r="N125" s="15"/>
      <c r="O125" s="9" t="str">
        <f t="shared" si="0"/>
        <v/>
      </c>
      <c r="P125" s="2" t="str">
        <f>IF($A125="","",SUMIFS(Trade_Reports!$U$3:$U$502,Trade_Reports!$H$3:$H$502,$A125,Trade_Reports!$M$3:$M$502,"APPROVED",Trade_Reports!$Q$3:$Q$502,"&lt;="&amp;Settings!$B$4))</f>
        <v/>
      </c>
      <c r="Q125" s="2" t="str">
        <f>IF($A125="","",SUMIFS(Trade_Reports!$U$3:$U$502,Trade_Reports!$H$3:$H$502,$A125,Trade_Reports!$M$3:$M$502,"APPROVED",Trade_Reports!$Q$3:$Q$502,"&lt;="&amp;Settings!$B$5))</f>
        <v/>
      </c>
      <c r="R125" s="2" t="str">
        <f>IF($A125="","",IF($Q125=0,"",IFERROR(_xludf.MINIFS(Trade_Reports!$I$3:$I$502,Trade_Reports!$H$3:$H$502,$A125,Trade_Reports!$M$3:$M$502,"APPROVED",Trade_Reports!$Q$3:$Q$502,"&lt;="&amp;Settings!$B$5,Trade_Reports!$X$3:$X$502,"&gt;="&amp;0.5*$Q125),"")))</f>
        <v/>
      </c>
      <c r="S125" s="2" t="str">
        <f>IF($A125="","",COUNTIFS(Trade_Reports!$H$3:$H$502,$A125,Trade_Reports!$M$3:$M$502,"APPROVED",Trade_Reports!$Q$3:$Q$502,"&lt;="&amp;Settings!$B$5))</f>
        <v/>
      </c>
      <c r="T125" s="2"/>
      <c r="U125" s="2"/>
      <c r="V125" s="21" t="str">
        <f>IF(OR($A125="",ISERROR(SEARCH("_",$A125))),"",IFERROR(SUMIFS(Trade_Reports!$Z$3:$Z$502,Trade_Reports!$H$3:$H$502,$A125,Trade_Reports!$M$3:$M$502,"APPROVED")/SUMIFS(Trade_Reports!$U$3:$U$502,Trade_Reports!$H$3:$H$502,$A125,Trade_Reports!$M$3:$M$502,"APPROVED"),""))</f>
        <v/>
      </c>
      <c r="W125" s="17" t="str">
        <f t="shared" si="1"/>
        <v/>
      </c>
      <c r="X125" s="2"/>
      <c r="Y125" s="2"/>
      <c r="Z125" s="2"/>
    </row>
    <row r="126" spans="1:26" ht="15.75" customHeight="1" x14ac:dyDescent="0.3">
      <c r="A126" s="15"/>
      <c r="B126" s="15"/>
      <c r="C126" s="16"/>
      <c r="D126" s="16"/>
      <c r="E126" s="16"/>
      <c r="F126" s="17" t="str">
        <f>IF($A126="","",IF($K126&lt;Settings!$B$14,"",IF($P126=0,"",IFERROR(_xludf.MINIFS(Trade_Reports!$I$3:$I$502,Trade_Reports!$H$3:$H$502,$A126,Trade_Reports!$M$3:$M$502,"APPROVED",Trade_Reports!$Q$3:$Q$502,"&lt;="&amp;Settings!$B$4,Trade_Reports!$W$3:$W$502,"&gt;="&amp;0.5*$P126),""))))</f>
        <v/>
      </c>
      <c r="G126" s="17" t="str">
        <f>IF($A126="","",IF($K126=0,"",IFERROR(_xludf.MINIFS(Trade_Reports!$I$3:$I$502,Trade_Reports!$H$3:$H$502,$A126,Trade_Reports!$M$3:$M$502,"APPROVED",Trade_Reports!$Q$3:$Q$502,"&lt;="&amp;Settings!$B$4),"")))</f>
        <v/>
      </c>
      <c r="H126" s="17" t="str">
        <f>IF($A126="","",IF($K126=0,"",IFERROR(_xludf.MAXIFS(Trade_Reports!$I$3:$I$502,Trade_Reports!$H$3:$H$502,$A126,Trade_Reports!$M$3:$M$502,"APPROVED",Trade_Reports!$Q$3:$Q$502,"&lt;="&amp;Settings!$B$4),"")))</f>
        <v/>
      </c>
      <c r="I126" s="17" t="str">
        <f>IF($A126="","",IF($F126="","",IF($Q126="","",IF(ABS($F126-$Q126)/$Q126&lt;=Settings!$B$18,"STABLE",IF($F126&gt;$Q126,"UP","DOWN")))))</f>
        <v/>
      </c>
      <c r="J126" s="18" t="str">
        <f>IF($A126="","",IF($K126=0,"",MIN(100,ROUND($K126/Settings!$B$14*100,0))))</f>
        <v/>
      </c>
      <c r="K126" s="17" t="str">
        <f>IF($A126="","",COUNTIFS(Trade_Reports!$H$3:$H$502,$A126,Trade_Reports!$M$3:$M$502,"APPROVED",Trade_Reports!$Q$3:$Q$502,"&lt;="&amp;Settings!$B$4))</f>
        <v/>
      </c>
      <c r="L126" s="19" t="str">
        <f>IF($A126="","",IF($K126=0,"",IFERROR(_xludf.MAXIFS(Trade_Reports!$O$3:$O$502,Trade_Reports!$H$3:$H$502,$A126,Trade_Reports!$M$3:$M$502,"APPROVED"),"")))</f>
        <v/>
      </c>
      <c r="M126" s="16" t="s">
        <v>46</v>
      </c>
      <c r="N126" s="15"/>
      <c r="O126" s="9" t="str">
        <f t="shared" si="0"/>
        <v/>
      </c>
      <c r="P126" s="2" t="str">
        <f>IF($A126="","",SUMIFS(Trade_Reports!$U$3:$U$502,Trade_Reports!$H$3:$H$502,$A126,Trade_Reports!$M$3:$M$502,"APPROVED",Trade_Reports!$Q$3:$Q$502,"&lt;="&amp;Settings!$B$4))</f>
        <v/>
      </c>
      <c r="Q126" s="2" t="str">
        <f>IF($A126="","",SUMIFS(Trade_Reports!$U$3:$U$502,Trade_Reports!$H$3:$H$502,$A126,Trade_Reports!$M$3:$M$502,"APPROVED",Trade_Reports!$Q$3:$Q$502,"&lt;="&amp;Settings!$B$5))</f>
        <v/>
      </c>
      <c r="R126" s="2" t="str">
        <f>IF($A126="","",IF($Q126=0,"",IFERROR(_xludf.MINIFS(Trade_Reports!$I$3:$I$502,Trade_Reports!$H$3:$H$502,$A126,Trade_Reports!$M$3:$M$502,"APPROVED",Trade_Reports!$Q$3:$Q$502,"&lt;="&amp;Settings!$B$5,Trade_Reports!$X$3:$X$502,"&gt;="&amp;0.5*$Q126),"")))</f>
        <v/>
      </c>
      <c r="S126" s="2" t="str">
        <f>IF($A126="","",COUNTIFS(Trade_Reports!$H$3:$H$502,$A126,Trade_Reports!$M$3:$M$502,"APPROVED",Trade_Reports!$Q$3:$Q$502,"&lt;="&amp;Settings!$B$5))</f>
        <v/>
      </c>
      <c r="T126" s="2"/>
      <c r="U126" s="2"/>
      <c r="V126" s="21" t="str">
        <f>IF(OR($A126="",ISERROR(SEARCH("_",$A126))),"",IFERROR(SUMIFS(Trade_Reports!$Z$3:$Z$502,Trade_Reports!$H$3:$H$502,$A126,Trade_Reports!$M$3:$M$502,"APPROVED")/SUMIFS(Trade_Reports!$U$3:$U$502,Trade_Reports!$H$3:$H$502,$A126,Trade_Reports!$M$3:$M$502,"APPROVED"),""))</f>
        <v/>
      </c>
      <c r="W126" s="17" t="str">
        <f t="shared" si="1"/>
        <v/>
      </c>
      <c r="X126" s="2"/>
      <c r="Y126" s="2"/>
      <c r="Z126" s="2"/>
    </row>
    <row r="127" spans="1:26" ht="15.75" customHeight="1" x14ac:dyDescent="0.3">
      <c r="A127" s="15"/>
      <c r="B127" s="15"/>
      <c r="C127" s="16"/>
      <c r="D127" s="16"/>
      <c r="E127" s="16"/>
      <c r="F127" s="17" t="str">
        <f>IF($A127="","",IF($K127&lt;Settings!$B$14,"",IF($P127=0,"",IFERROR(_xludf.MINIFS(Trade_Reports!$I$3:$I$502,Trade_Reports!$H$3:$H$502,$A127,Trade_Reports!$M$3:$M$502,"APPROVED",Trade_Reports!$Q$3:$Q$502,"&lt;="&amp;Settings!$B$4,Trade_Reports!$W$3:$W$502,"&gt;="&amp;0.5*$P127),""))))</f>
        <v/>
      </c>
      <c r="G127" s="17" t="str">
        <f>IF($A127="","",IF($K127=0,"",IFERROR(_xludf.MINIFS(Trade_Reports!$I$3:$I$502,Trade_Reports!$H$3:$H$502,$A127,Trade_Reports!$M$3:$M$502,"APPROVED",Trade_Reports!$Q$3:$Q$502,"&lt;="&amp;Settings!$B$4),"")))</f>
        <v/>
      </c>
      <c r="H127" s="17" t="str">
        <f>IF($A127="","",IF($K127=0,"",IFERROR(_xludf.MAXIFS(Trade_Reports!$I$3:$I$502,Trade_Reports!$H$3:$H$502,$A127,Trade_Reports!$M$3:$M$502,"APPROVED",Trade_Reports!$Q$3:$Q$502,"&lt;="&amp;Settings!$B$4),"")))</f>
        <v/>
      </c>
      <c r="I127" s="17" t="str">
        <f>IF($A127="","",IF($F127="","",IF($Q127="","",IF(ABS($F127-$Q127)/$Q127&lt;=Settings!$B$18,"STABLE",IF($F127&gt;$Q127,"UP","DOWN")))))</f>
        <v/>
      </c>
      <c r="J127" s="18" t="str">
        <f>IF($A127="","",IF($K127=0,"",MIN(100,ROUND($K127/Settings!$B$14*100,0))))</f>
        <v/>
      </c>
      <c r="K127" s="17" t="str">
        <f>IF($A127="","",COUNTIFS(Trade_Reports!$H$3:$H$502,$A127,Trade_Reports!$M$3:$M$502,"APPROVED",Trade_Reports!$Q$3:$Q$502,"&lt;="&amp;Settings!$B$4))</f>
        <v/>
      </c>
      <c r="L127" s="19" t="str">
        <f>IF($A127="","",IF($K127=0,"",IFERROR(_xludf.MAXIFS(Trade_Reports!$O$3:$O$502,Trade_Reports!$H$3:$H$502,$A127,Trade_Reports!$M$3:$M$502,"APPROVED"),"")))</f>
        <v/>
      </c>
      <c r="M127" s="16" t="s">
        <v>46</v>
      </c>
      <c r="N127" s="15"/>
      <c r="O127" s="9" t="str">
        <f t="shared" si="0"/>
        <v/>
      </c>
      <c r="P127" s="2" t="str">
        <f>IF($A127="","",SUMIFS(Trade_Reports!$U$3:$U$502,Trade_Reports!$H$3:$H$502,$A127,Trade_Reports!$M$3:$M$502,"APPROVED",Trade_Reports!$Q$3:$Q$502,"&lt;="&amp;Settings!$B$4))</f>
        <v/>
      </c>
      <c r="Q127" s="2" t="str">
        <f>IF($A127="","",SUMIFS(Trade_Reports!$U$3:$U$502,Trade_Reports!$H$3:$H$502,$A127,Trade_Reports!$M$3:$M$502,"APPROVED",Trade_Reports!$Q$3:$Q$502,"&lt;="&amp;Settings!$B$5))</f>
        <v/>
      </c>
      <c r="R127" s="2" t="str">
        <f>IF($A127="","",IF($Q127=0,"",IFERROR(_xludf.MINIFS(Trade_Reports!$I$3:$I$502,Trade_Reports!$H$3:$H$502,$A127,Trade_Reports!$M$3:$M$502,"APPROVED",Trade_Reports!$Q$3:$Q$502,"&lt;="&amp;Settings!$B$5,Trade_Reports!$X$3:$X$502,"&gt;="&amp;0.5*$Q127),"")))</f>
        <v/>
      </c>
      <c r="S127" s="2" t="str">
        <f>IF($A127="","",COUNTIFS(Trade_Reports!$H$3:$H$502,$A127,Trade_Reports!$M$3:$M$502,"APPROVED",Trade_Reports!$Q$3:$Q$502,"&lt;="&amp;Settings!$B$5))</f>
        <v/>
      </c>
      <c r="T127" s="2"/>
      <c r="U127" s="2"/>
      <c r="V127" s="21" t="str">
        <f>IF(OR($A127="",ISERROR(SEARCH("_",$A127))),"",IFERROR(SUMIFS(Trade_Reports!$Z$3:$Z$502,Trade_Reports!$H$3:$H$502,$A127,Trade_Reports!$M$3:$M$502,"APPROVED")/SUMIFS(Trade_Reports!$U$3:$U$502,Trade_Reports!$H$3:$H$502,$A127,Trade_Reports!$M$3:$M$502,"APPROVED"),""))</f>
        <v/>
      </c>
      <c r="W127" s="17" t="str">
        <f t="shared" si="1"/>
        <v/>
      </c>
      <c r="X127" s="2"/>
      <c r="Y127" s="2"/>
      <c r="Z127" s="2"/>
    </row>
    <row r="128" spans="1:26" ht="15.75" customHeight="1" x14ac:dyDescent="0.3">
      <c r="A128" s="15"/>
      <c r="B128" s="15"/>
      <c r="C128" s="16"/>
      <c r="D128" s="16"/>
      <c r="E128" s="16"/>
      <c r="F128" s="17" t="str">
        <f>IF($A128="","",IF($K128&lt;Settings!$B$14,"",IF($P128=0,"",IFERROR(_xludf.MINIFS(Trade_Reports!$I$3:$I$502,Trade_Reports!$H$3:$H$502,$A128,Trade_Reports!$M$3:$M$502,"APPROVED",Trade_Reports!$Q$3:$Q$502,"&lt;="&amp;Settings!$B$4,Trade_Reports!$W$3:$W$502,"&gt;="&amp;0.5*$P128),""))))</f>
        <v/>
      </c>
      <c r="G128" s="17" t="str">
        <f>IF($A128="","",IF($K128=0,"",IFERROR(_xludf.MINIFS(Trade_Reports!$I$3:$I$502,Trade_Reports!$H$3:$H$502,$A128,Trade_Reports!$M$3:$M$502,"APPROVED",Trade_Reports!$Q$3:$Q$502,"&lt;="&amp;Settings!$B$4),"")))</f>
        <v/>
      </c>
      <c r="H128" s="17" t="str">
        <f>IF($A128="","",IF($K128=0,"",IFERROR(_xludf.MAXIFS(Trade_Reports!$I$3:$I$502,Trade_Reports!$H$3:$H$502,$A128,Trade_Reports!$M$3:$M$502,"APPROVED",Trade_Reports!$Q$3:$Q$502,"&lt;="&amp;Settings!$B$4),"")))</f>
        <v/>
      </c>
      <c r="I128" s="17" t="str">
        <f>IF($A128="","",IF($F128="","",IF($Q128="","",IF(ABS($F128-$Q128)/$Q128&lt;=Settings!$B$18,"STABLE",IF($F128&gt;$Q128,"UP","DOWN")))))</f>
        <v/>
      </c>
      <c r="J128" s="18" t="str">
        <f>IF($A128="","",IF($K128=0,"",MIN(100,ROUND($K128/Settings!$B$14*100,0))))</f>
        <v/>
      </c>
      <c r="K128" s="17" t="str">
        <f>IF($A128="","",COUNTIFS(Trade_Reports!$H$3:$H$502,$A128,Trade_Reports!$M$3:$M$502,"APPROVED",Trade_Reports!$Q$3:$Q$502,"&lt;="&amp;Settings!$B$4))</f>
        <v/>
      </c>
      <c r="L128" s="19" t="str">
        <f>IF($A128="","",IF($K128=0,"",IFERROR(_xludf.MAXIFS(Trade_Reports!$O$3:$O$502,Trade_Reports!$H$3:$H$502,$A128,Trade_Reports!$M$3:$M$502,"APPROVED"),"")))</f>
        <v/>
      </c>
      <c r="M128" s="16" t="s">
        <v>46</v>
      </c>
      <c r="N128" s="15"/>
      <c r="O128" s="9" t="str">
        <f t="shared" si="0"/>
        <v/>
      </c>
      <c r="P128" s="2" t="str">
        <f>IF($A128="","",SUMIFS(Trade_Reports!$U$3:$U$502,Trade_Reports!$H$3:$H$502,$A128,Trade_Reports!$M$3:$M$502,"APPROVED",Trade_Reports!$Q$3:$Q$502,"&lt;="&amp;Settings!$B$4))</f>
        <v/>
      </c>
      <c r="Q128" s="2" t="str">
        <f>IF($A128="","",SUMIFS(Trade_Reports!$U$3:$U$502,Trade_Reports!$H$3:$H$502,$A128,Trade_Reports!$M$3:$M$502,"APPROVED",Trade_Reports!$Q$3:$Q$502,"&lt;="&amp;Settings!$B$5))</f>
        <v/>
      </c>
      <c r="R128" s="2" t="str">
        <f>IF($A128="","",IF($Q128=0,"",IFERROR(_xludf.MINIFS(Trade_Reports!$I$3:$I$502,Trade_Reports!$H$3:$H$502,$A128,Trade_Reports!$M$3:$M$502,"APPROVED",Trade_Reports!$Q$3:$Q$502,"&lt;="&amp;Settings!$B$5,Trade_Reports!$X$3:$X$502,"&gt;="&amp;0.5*$Q128),"")))</f>
        <v/>
      </c>
      <c r="S128" s="2" t="str">
        <f>IF($A128="","",COUNTIFS(Trade_Reports!$H$3:$H$502,$A128,Trade_Reports!$M$3:$M$502,"APPROVED",Trade_Reports!$Q$3:$Q$502,"&lt;="&amp;Settings!$B$5))</f>
        <v/>
      </c>
      <c r="T128" s="2"/>
      <c r="U128" s="2"/>
      <c r="V128" s="21" t="str">
        <f>IF(OR($A128="",ISERROR(SEARCH("_",$A128))),"",IFERROR(SUMIFS(Trade_Reports!$Z$3:$Z$502,Trade_Reports!$H$3:$H$502,$A128,Trade_Reports!$M$3:$M$502,"APPROVED")/SUMIFS(Trade_Reports!$U$3:$U$502,Trade_Reports!$H$3:$H$502,$A128,Trade_Reports!$M$3:$M$502,"APPROVED"),""))</f>
        <v/>
      </c>
      <c r="W128" s="17" t="str">
        <f t="shared" si="1"/>
        <v/>
      </c>
      <c r="X128" s="2"/>
      <c r="Y128" s="2"/>
      <c r="Z128" s="2"/>
    </row>
    <row r="129" spans="1:26" ht="15.75" customHeight="1" x14ac:dyDescent="0.3">
      <c r="A129" s="15"/>
      <c r="B129" s="15"/>
      <c r="C129" s="16"/>
      <c r="D129" s="16"/>
      <c r="E129" s="16"/>
      <c r="F129" s="17" t="str">
        <f>IF($A129="","",IF($K129&lt;Settings!$B$14,"",IF($P129=0,"",IFERROR(_xludf.MINIFS(Trade_Reports!$I$3:$I$502,Trade_Reports!$H$3:$H$502,$A129,Trade_Reports!$M$3:$M$502,"APPROVED",Trade_Reports!$Q$3:$Q$502,"&lt;="&amp;Settings!$B$4,Trade_Reports!$W$3:$W$502,"&gt;="&amp;0.5*$P129),""))))</f>
        <v/>
      </c>
      <c r="G129" s="17" t="str">
        <f>IF($A129="","",IF($K129=0,"",IFERROR(_xludf.MINIFS(Trade_Reports!$I$3:$I$502,Trade_Reports!$H$3:$H$502,$A129,Trade_Reports!$M$3:$M$502,"APPROVED",Trade_Reports!$Q$3:$Q$502,"&lt;="&amp;Settings!$B$4),"")))</f>
        <v/>
      </c>
      <c r="H129" s="17" t="str">
        <f>IF($A129="","",IF($K129=0,"",IFERROR(_xludf.MAXIFS(Trade_Reports!$I$3:$I$502,Trade_Reports!$H$3:$H$502,$A129,Trade_Reports!$M$3:$M$502,"APPROVED",Trade_Reports!$Q$3:$Q$502,"&lt;="&amp;Settings!$B$4),"")))</f>
        <v/>
      </c>
      <c r="I129" s="17" t="str">
        <f>IF($A129="","",IF($F129="","",IF($Q129="","",IF(ABS($F129-$Q129)/$Q129&lt;=Settings!$B$18,"STABLE",IF($F129&gt;$Q129,"UP","DOWN")))))</f>
        <v/>
      </c>
      <c r="J129" s="18" t="str">
        <f>IF($A129="","",IF($K129=0,"",MIN(100,ROUND($K129/Settings!$B$14*100,0))))</f>
        <v/>
      </c>
      <c r="K129" s="17" t="str">
        <f>IF($A129="","",COUNTIFS(Trade_Reports!$H$3:$H$502,$A129,Trade_Reports!$M$3:$M$502,"APPROVED",Trade_Reports!$Q$3:$Q$502,"&lt;="&amp;Settings!$B$4))</f>
        <v/>
      </c>
      <c r="L129" s="19" t="str">
        <f>IF($A129="","",IF($K129=0,"",IFERROR(_xludf.MAXIFS(Trade_Reports!$O$3:$O$502,Trade_Reports!$H$3:$H$502,$A129,Trade_Reports!$M$3:$M$502,"APPROVED"),"")))</f>
        <v/>
      </c>
      <c r="M129" s="16" t="s">
        <v>46</v>
      </c>
      <c r="N129" s="15"/>
      <c r="O129" s="9" t="str">
        <f t="shared" si="0"/>
        <v/>
      </c>
      <c r="P129" s="2" t="str">
        <f>IF($A129="","",SUMIFS(Trade_Reports!$U$3:$U$502,Trade_Reports!$H$3:$H$502,$A129,Trade_Reports!$M$3:$M$502,"APPROVED",Trade_Reports!$Q$3:$Q$502,"&lt;="&amp;Settings!$B$4))</f>
        <v/>
      </c>
      <c r="Q129" s="2" t="str">
        <f>IF($A129="","",SUMIFS(Trade_Reports!$U$3:$U$502,Trade_Reports!$H$3:$H$502,$A129,Trade_Reports!$M$3:$M$502,"APPROVED",Trade_Reports!$Q$3:$Q$502,"&lt;="&amp;Settings!$B$5))</f>
        <v/>
      </c>
      <c r="R129" s="2" t="str">
        <f>IF($A129="","",IF($Q129=0,"",IFERROR(_xludf.MINIFS(Trade_Reports!$I$3:$I$502,Trade_Reports!$H$3:$H$502,$A129,Trade_Reports!$M$3:$M$502,"APPROVED",Trade_Reports!$Q$3:$Q$502,"&lt;="&amp;Settings!$B$5,Trade_Reports!$X$3:$X$502,"&gt;="&amp;0.5*$Q129),"")))</f>
        <v/>
      </c>
      <c r="S129" s="2" t="str">
        <f>IF($A129="","",COUNTIFS(Trade_Reports!$H$3:$H$502,$A129,Trade_Reports!$M$3:$M$502,"APPROVED",Trade_Reports!$Q$3:$Q$502,"&lt;="&amp;Settings!$B$5))</f>
        <v/>
      </c>
      <c r="T129" s="2"/>
      <c r="U129" s="2"/>
      <c r="V129" s="21" t="str">
        <f>IF(OR($A129="",ISERROR(SEARCH("_",$A129))),"",IFERROR(SUMIFS(Trade_Reports!$Z$3:$Z$502,Trade_Reports!$H$3:$H$502,$A129,Trade_Reports!$M$3:$M$502,"APPROVED")/SUMIFS(Trade_Reports!$U$3:$U$502,Trade_Reports!$H$3:$H$502,$A129,Trade_Reports!$M$3:$M$502,"APPROVED"),""))</f>
        <v/>
      </c>
      <c r="W129" s="17" t="str">
        <f t="shared" si="1"/>
        <v/>
      </c>
      <c r="X129" s="2"/>
      <c r="Y129" s="2"/>
      <c r="Z129" s="2"/>
    </row>
    <row r="130" spans="1:26" ht="15.75" customHeight="1" x14ac:dyDescent="0.3">
      <c r="A130" s="15"/>
      <c r="B130" s="15"/>
      <c r="C130" s="16"/>
      <c r="D130" s="16"/>
      <c r="E130" s="16"/>
      <c r="F130" s="17" t="str">
        <f>IF($A130="","",IF($K130&lt;Settings!$B$14,"",IF($P130=0,"",IFERROR(_xludf.MINIFS(Trade_Reports!$I$3:$I$502,Trade_Reports!$H$3:$H$502,$A130,Trade_Reports!$M$3:$M$502,"APPROVED",Trade_Reports!$Q$3:$Q$502,"&lt;="&amp;Settings!$B$4,Trade_Reports!$W$3:$W$502,"&gt;="&amp;0.5*$P130),""))))</f>
        <v/>
      </c>
      <c r="G130" s="17" t="str">
        <f>IF($A130="","",IF($K130=0,"",IFERROR(_xludf.MINIFS(Trade_Reports!$I$3:$I$502,Trade_Reports!$H$3:$H$502,$A130,Trade_Reports!$M$3:$M$502,"APPROVED",Trade_Reports!$Q$3:$Q$502,"&lt;="&amp;Settings!$B$4),"")))</f>
        <v/>
      </c>
      <c r="H130" s="17" t="str">
        <f>IF($A130="","",IF($K130=0,"",IFERROR(_xludf.MAXIFS(Trade_Reports!$I$3:$I$502,Trade_Reports!$H$3:$H$502,$A130,Trade_Reports!$M$3:$M$502,"APPROVED",Trade_Reports!$Q$3:$Q$502,"&lt;="&amp;Settings!$B$4),"")))</f>
        <v/>
      </c>
      <c r="I130" s="17" t="str">
        <f>IF($A130="","",IF($F130="","",IF($Q130="","",IF(ABS($F130-$Q130)/$Q130&lt;=Settings!$B$18,"STABLE",IF($F130&gt;$Q130,"UP","DOWN")))))</f>
        <v/>
      </c>
      <c r="J130" s="18" t="str">
        <f>IF($A130="","",IF($K130=0,"",MIN(100,ROUND($K130/Settings!$B$14*100,0))))</f>
        <v/>
      </c>
      <c r="K130" s="17" t="str">
        <f>IF($A130="","",COUNTIFS(Trade_Reports!$H$3:$H$502,$A130,Trade_Reports!$M$3:$M$502,"APPROVED",Trade_Reports!$Q$3:$Q$502,"&lt;="&amp;Settings!$B$4))</f>
        <v/>
      </c>
      <c r="L130" s="19" t="str">
        <f>IF($A130="","",IF($K130=0,"",IFERROR(_xludf.MAXIFS(Trade_Reports!$O$3:$O$502,Trade_Reports!$H$3:$H$502,$A130,Trade_Reports!$M$3:$M$502,"APPROVED"),"")))</f>
        <v/>
      </c>
      <c r="M130" s="16" t="s">
        <v>46</v>
      </c>
      <c r="N130" s="15"/>
      <c r="O130" s="9" t="str">
        <f t="shared" si="0"/>
        <v/>
      </c>
      <c r="P130" s="2" t="str">
        <f>IF($A130="","",SUMIFS(Trade_Reports!$U$3:$U$502,Trade_Reports!$H$3:$H$502,$A130,Trade_Reports!$M$3:$M$502,"APPROVED",Trade_Reports!$Q$3:$Q$502,"&lt;="&amp;Settings!$B$4))</f>
        <v/>
      </c>
      <c r="Q130" s="2" t="str">
        <f>IF($A130="","",SUMIFS(Trade_Reports!$U$3:$U$502,Trade_Reports!$H$3:$H$502,$A130,Trade_Reports!$M$3:$M$502,"APPROVED",Trade_Reports!$Q$3:$Q$502,"&lt;="&amp;Settings!$B$5))</f>
        <v/>
      </c>
      <c r="R130" s="2" t="str">
        <f>IF($A130="","",IF($Q130=0,"",IFERROR(_xludf.MINIFS(Trade_Reports!$I$3:$I$502,Trade_Reports!$H$3:$H$502,$A130,Trade_Reports!$M$3:$M$502,"APPROVED",Trade_Reports!$Q$3:$Q$502,"&lt;="&amp;Settings!$B$5,Trade_Reports!$X$3:$X$502,"&gt;="&amp;0.5*$Q130),"")))</f>
        <v/>
      </c>
      <c r="S130" s="2" t="str">
        <f>IF($A130="","",COUNTIFS(Trade_Reports!$H$3:$H$502,$A130,Trade_Reports!$M$3:$M$502,"APPROVED",Trade_Reports!$Q$3:$Q$502,"&lt;="&amp;Settings!$B$5))</f>
        <v/>
      </c>
      <c r="T130" s="2"/>
      <c r="U130" s="2"/>
      <c r="V130" s="21" t="str">
        <f>IF(OR($A130="",ISERROR(SEARCH("_",$A130))),"",IFERROR(SUMIFS(Trade_Reports!$Z$3:$Z$502,Trade_Reports!$H$3:$H$502,$A130,Trade_Reports!$M$3:$M$502,"APPROVED")/SUMIFS(Trade_Reports!$U$3:$U$502,Trade_Reports!$H$3:$H$502,$A130,Trade_Reports!$M$3:$M$502,"APPROVED"),""))</f>
        <v/>
      </c>
      <c r="W130" s="17" t="str">
        <f t="shared" si="1"/>
        <v/>
      </c>
      <c r="X130" s="2"/>
      <c r="Y130" s="2"/>
      <c r="Z130" s="2"/>
    </row>
    <row r="131" spans="1:26" ht="15.75" customHeight="1" x14ac:dyDescent="0.3">
      <c r="A131" s="15"/>
      <c r="B131" s="15"/>
      <c r="C131" s="16"/>
      <c r="D131" s="16"/>
      <c r="E131" s="16"/>
      <c r="F131" s="17" t="str">
        <f>IF($A131="","",IF($K131&lt;Settings!$B$14,"",IF($P131=0,"",IFERROR(_xludf.MINIFS(Trade_Reports!$I$3:$I$502,Trade_Reports!$H$3:$H$502,$A131,Trade_Reports!$M$3:$M$502,"APPROVED",Trade_Reports!$Q$3:$Q$502,"&lt;="&amp;Settings!$B$4,Trade_Reports!$W$3:$W$502,"&gt;="&amp;0.5*$P131),""))))</f>
        <v/>
      </c>
      <c r="G131" s="17" t="str">
        <f>IF($A131="","",IF($K131=0,"",IFERROR(_xludf.MINIFS(Trade_Reports!$I$3:$I$502,Trade_Reports!$H$3:$H$502,$A131,Trade_Reports!$M$3:$M$502,"APPROVED",Trade_Reports!$Q$3:$Q$502,"&lt;="&amp;Settings!$B$4),"")))</f>
        <v/>
      </c>
      <c r="H131" s="17" t="str">
        <f>IF($A131="","",IF($K131=0,"",IFERROR(_xludf.MAXIFS(Trade_Reports!$I$3:$I$502,Trade_Reports!$H$3:$H$502,$A131,Trade_Reports!$M$3:$M$502,"APPROVED",Trade_Reports!$Q$3:$Q$502,"&lt;="&amp;Settings!$B$4),"")))</f>
        <v/>
      </c>
      <c r="I131" s="17" t="str">
        <f>IF($A131="","",IF($F131="","",IF($Q131="","",IF(ABS($F131-$Q131)/$Q131&lt;=Settings!$B$18,"STABLE",IF($F131&gt;$Q131,"UP","DOWN")))))</f>
        <v/>
      </c>
      <c r="J131" s="18" t="str">
        <f>IF($A131="","",IF($K131=0,"",MIN(100,ROUND($K131/Settings!$B$14*100,0))))</f>
        <v/>
      </c>
      <c r="K131" s="17" t="str">
        <f>IF($A131="","",COUNTIFS(Trade_Reports!$H$3:$H$502,$A131,Trade_Reports!$M$3:$M$502,"APPROVED",Trade_Reports!$Q$3:$Q$502,"&lt;="&amp;Settings!$B$4))</f>
        <v/>
      </c>
      <c r="L131" s="19" t="str">
        <f>IF($A131="","",IF($K131=0,"",IFERROR(_xludf.MAXIFS(Trade_Reports!$O$3:$O$502,Trade_Reports!$H$3:$H$502,$A131,Trade_Reports!$M$3:$M$502,"APPROVED"),"")))</f>
        <v/>
      </c>
      <c r="M131" s="16" t="s">
        <v>46</v>
      </c>
      <c r="N131" s="15"/>
      <c r="O131" s="9" t="str">
        <f t="shared" si="0"/>
        <v/>
      </c>
      <c r="P131" s="2" t="str">
        <f>IF($A131="","",SUMIFS(Trade_Reports!$U$3:$U$502,Trade_Reports!$H$3:$H$502,$A131,Trade_Reports!$M$3:$M$502,"APPROVED",Trade_Reports!$Q$3:$Q$502,"&lt;="&amp;Settings!$B$4))</f>
        <v/>
      </c>
      <c r="Q131" s="2" t="str">
        <f>IF($A131="","",SUMIFS(Trade_Reports!$U$3:$U$502,Trade_Reports!$H$3:$H$502,$A131,Trade_Reports!$M$3:$M$502,"APPROVED",Trade_Reports!$Q$3:$Q$502,"&lt;="&amp;Settings!$B$5))</f>
        <v/>
      </c>
      <c r="R131" s="2" t="str">
        <f>IF($A131="","",IF($Q131=0,"",IFERROR(_xludf.MINIFS(Trade_Reports!$I$3:$I$502,Trade_Reports!$H$3:$H$502,$A131,Trade_Reports!$M$3:$M$502,"APPROVED",Trade_Reports!$Q$3:$Q$502,"&lt;="&amp;Settings!$B$5,Trade_Reports!$X$3:$X$502,"&gt;="&amp;0.5*$Q131),"")))</f>
        <v/>
      </c>
      <c r="S131" s="2" t="str">
        <f>IF($A131="","",COUNTIFS(Trade_Reports!$H$3:$H$502,$A131,Trade_Reports!$M$3:$M$502,"APPROVED",Trade_Reports!$Q$3:$Q$502,"&lt;="&amp;Settings!$B$5))</f>
        <v/>
      </c>
      <c r="T131" s="2"/>
      <c r="U131" s="2"/>
      <c r="V131" s="21" t="str">
        <f>IF(OR($A131="",ISERROR(SEARCH("_",$A131))),"",IFERROR(SUMIFS(Trade_Reports!$Z$3:$Z$502,Trade_Reports!$H$3:$H$502,$A131,Trade_Reports!$M$3:$M$502,"APPROVED")/SUMIFS(Trade_Reports!$U$3:$U$502,Trade_Reports!$H$3:$H$502,$A131,Trade_Reports!$M$3:$M$502,"APPROVED"),""))</f>
        <v/>
      </c>
      <c r="W131" s="17" t="str">
        <f t="shared" si="1"/>
        <v/>
      </c>
      <c r="X131" s="2"/>
      <c r="Y131" s="2"/>
      <c r="Z131" s="2"/>
    </row>
    <row r="132" spans="1:26" ht="15.75" customHeight="1" x14ac:dyDescent="0.3">
      <c r="A132" s="15"/>
      <c r="B132" s="15"/>
      <c r="C132" s="16"/>
      <c r="D132" s="16"/>
      <c r="E132" s="16"/>
      <c r="F132" s="17" t="str">
        <f>IF($A132="","",IF($K132&lt;Settings!$B$14,"",IF($P132=0,"",IFERROR(_xludf.MINIFS(Trade_Reports!$I$3:$I$502,Trade_Reports!$H$3:$H$502,$A132,Trade_Reports!$M$3:$M$502,"APPROVED",Trade_Reports!$Q$3:$Q$502,"&lt;="&amp;Settings!$B$4,Trade_Reports!$W$3:$W$502,"&gt;="&amp;0.5*$P132),""))))</f>
        <v/>
      </c>
      <c r="G132" s="17" t="str">
        <f>IF($A132="","",IF($K132=0,"",IFERROR(_xludf.MINIFS(Trade_Reports!$I$3:$I$502,Trade_Reports!$H$3:$H$502,$A132,Trade_Reports!$M$3:$M$502,"APPROVED",Trade_Reports!$Q$3:$Q$502,"&lt;="&amp;Settings!$B$4),"")))</f>
        <v/>
      </c>
      <c r="H132" s="17" t="str">
        <f>IF($A132="","",IF($K132=0,"",IFERROR(_xludf.MAXIFS(Trade_Reports!$I$3:$I$502,Trade_Reports!$H$3:$H$502,$A132,Trade_Reports!$M$3:$M$502,"APPROVED",Trade_Reports!$Q$3:$Q$502,"&lt;="&amp;Settings!$B$4),"")))</f>
        <v/>
      </c>
      <c r="I132" s="17" t="str">
        <f>IF($A132="","",IF($F132="","",IF($Q132="","",IF(ABS($F132-$Q132)/$Q132&lt;=Settings!$B$18,"STABLE",IF($F132&gt;$Q132,"UP","DOWN")))))</f>
        <v/>
      </c>
      <c r="J132" s="18" t="str">
        <f>IF($A132="","",IF($K132=0,"",MIN(100,ROUND($K132/Settings!$B$14*100,0))))</f>
        <v/>
      </c>
      <c r="K132" s="17" t="str">
        <f>IF($A132="","",COUNTIFS(Trade_Reports!$H$3:$H$502,$A132,Trade_Reports!$M$3:$M$502,"APPROVED",Trade_Reports!$Q$3:$Q$502,"&lt;="&amp;Settings!$B$4))</f>
        <v/>
      </c>
      <c r="L132" s="19" t="str">
        <f>IF($A132="","",IF($K132=0,"",IFERROR(_xludf.MAXIFS(Trade_Reports!$O$3:$O$502,Trade_Reports!$H$3:$H$502,$A132,Trade_Reports!$M$3:$M$502,"APPROVED"),"")))</f>
        <v/>
      </c>
      <c r="M132" s="16" t="s">
        <v>46</v>
      </c>
      <c r="N132" s="15"/>
      <c r="O132" s="9" t="str">
        <f t="shared" si="0"/>
        <v/>
      </c>
      <c r="P132" s="2" t="str">
        <f>IF($A132="","",SUMIFS(Trade_Reports!$U$3:$U$502,Trade_Reports!$H$3:$H$502,$A132,Trade_Reports!$M$3:$M$502,"APPROVED",Trade_Reports!$Q$3:$Q$502,"&lt;="&amp;Settings!$B$4))</f>
        <v/>
      </c>
      <c r="Q132" s="2" t="str">
        <f>IF($A132="","",SUMIFS(Trade_Reports!$U$3:$U$502,Trade_Reports!$H$3:$H$502,$A132,Trade_Reports!$M$3:$M$502,"APPROVED",Trade_Reports!$Q$3:$Q$502,"&lt;="&amp;Settings!$B$5))</f>
        <v/>
      </c>
      <c r="R132" s="2" t="str">
        <f>IF($A132="","",IF($Q132=0,"",IFERROR(_xludf.MINIFS(Trade_Reports!$I$3:$I$502,Trade_Reports!$H$3:$H$502,$A132,Trade_Reports!$M$3:$M$502,"APPROVED",Trade_Reports!$Q$3:$Q$502,"&lt;="&amp;Settings!$B$5,Trade_Reports!$X$3:$X$502,"&gt;="&amp;0.5*$Q132),"")))</f>
        <v/>
      </c>
      <c r="S132" s="2" t="str">
        <f>IF($A132="","",COUNTIFS(Trade_Reports!$H$3:$H$502,$A132,Trade_Reports!$M$3:$M$502,"APPROVED",Trade_Reports!$Q$3:$Q$502,"&lt;="&amp;Settings!$B$5))</f>
        <v/>
      </c>
      <c r="T132" s="2"/>
      <c r="U132" s="2"/>
      <c r="V132" s="21" t="str">
        <f>IF(OR($A132="",ISERROR(SEARCH("_",$A132))),"",IFERROR(SUMIFS(Trade_Reports!$Z$3:$Z$502,Trade_Reports!$H$3:$H$502,$A132,Trade_Reports!$M$3:$M$502,"APPROVED")/SUMIFS(Trade_Reports!$U$3:$U$502,Trade_Reports!$H$3:$H$502,$A132,Trade_Reports!$M$3:$M$502,"APPROVED"),""))</f>
        <v/>
      </c>
      <c r="W132" s="17" t="str">
        <f t="shared" si="1"/>
        <v/>
      </c>
      <c r="X132" s="2"/>
      <c r="Y132" s="2"/>
      <c r="Z132" s="2"/>
    </row>
    <row r="133" spans="1:26" ht="15.75" customHeight="1" x14ac:dyDescent="0.3">
      <c r="A133" s="15"/>
      <c r="B133" s="15"/>
      <c r="C133" s="16"/>
      <c r="D133" s="16"/>
      <c r="E133" s="16"/>
      <c r="F133" s="17" t="str">
        <f>IF($A133="","",IF($K133&lt;Settings!$B$14,"",IF($P133=0,"",IFERROR(_xludf.MINIFS(Trade_Reports!$I$3:$I$502,Trade_Reports!$H$3:$H$502,$A133,Trade_Reports!$M$3:$M$502,"APPROVED",Trade_Reports!$Q$3:$Q$502,"&lt;="&amp;Settings!$B$4,Trade_Reports!$W$3:$W$502,"&gt;="&amp;0.5*$P133),""))))</f>
        <v/>
      </c>
      <c r="G133" s="17" t="str">
        <f>IF($A133="","",IF($K133=0,"",IFERROR(_xludf.MINIFS(Trade_Reports!$I$3:$I$502,Trade_Reports!$H$3:$H$502,$A133,Trade_Reports!$M$3:$M$502,"APPROVED",Trade_Reports!$Q$3:$Q$502,"&lt;="&amp;Settings!$B$4),"")))</f>
        <v/>
      </c>
      <c r="H133" s="17" t="str">
        <f>IF($A133="","",IF($K133=0,"",IFERROR(_xludf.MAXIFS(Trade_Reports!$I$3:$I$502,Trade_Reports!$H$3:$H$502,$A133,Trade_Reports!$M$3:$M$502,"APPROVED",Trade_Reports!$Q$3:$Q$502,"&lt;="&amp;Settings!$B$4),"")))</f>
        <v/>
      </c>
      <c r="I133" s="17" t="str">
        <f>IF($A133="","",IF($F133="","",IF($Q133="","",IF(ABS($F133-$Q133)/$Q133&lt;=Settings!$B$18,"STABLE",IF($F133&gt;$Q133,"UP","DOWN")))))</f>
        <v/>
      </c>
      <c r="J133" s="18" t="str">
        <f>IF($A133="","",IF($K133=0,"",MIN(100,ROUND($K133/Settings!$B$14*100,0))))</f>
        <v/>
      </c>
      <c r="K133" s="17" t="str">
        <f>IF($A133="","",COUNTIFS(Trade_Reports!$H$3:$H$502,$A133,Trade_Reports!$M$3:$M$502,"APPROVED",Trade_Reports!$Q$3:$Q$502,"&lt;="&amp;Settings!$B$4))</f>
        <v/>
      </c>
      <c r="L133" s="19" t="str">
        <f>IF($A133="","",IF($K133=0,"",IFERROR(_xludf.MAXIFS(Trade_Reports!$O$3:$O$502,Trade_Reports!$H$3:$H$502,$A133,Trade_Reports!$M$3:$M$502,"APPROVED"),"")))</f>
        <v/>
      </c>
      <c r="M133" s="16" t="s">
        <v>46</v>
      </c>
      <c r="N133" s="15"/>
      <c r="O133" s="9" t="str">
        <f t="shared" si="0"/>
        <v/>
      </c>
      <c r="P133" s="2" t="str">
        <f>IF($A133="","",SUMIFS(Trade_Reports!$U$3:$U$502,Trade_Reports!$H$3:$H$502,$A133,Trade_Reports!$M$3:$M$502,"APPROVED",Trade_Reports!$Q$3:$Q$502,"&lt;="&amp;Settings!$B$4))</f>
        <v/>
      </c>
      <c r="Q133" s="2" t="str">
        <f>IF($A133="","",SUMIFS(Trade_Reports!$U$3:$U$502,Trade_Reports!$H$3:$H$502,$A133,Trade_Reports!$M$3:$M$502,"APPROVED",Trade_Reports!$Q$3:$Q$502,"&lt;="&amp;Settings!$B$5))</f>
        <v/>
      </c>
      <c r="R133" s="2" t="str">
        <f>IF($A133="","",IF($Q133=0,"",IFERROR(_xludf.MINIFS(Trade_Reports!$I$3:$I$502,Trade_Reports!$H$3:$H$502,$A133,Trade_Reports!$M$3:$M$502,"APPROVED",Trade_Reports!$Q$3:$Q$502,"&lt;="&amp;Settings!$B$5,Trade_Reports!$X$3:$X$502,"&gt;="&amp;0.5*$Q133),"")))</f>
        <v/>
      </c>
      <c r="S133" s="2" t="str">
        <f>IF($A133="","",COUNTIFS(Trade_Reports!$H$3:$H$502,$A133,Trade_Reports!$M$3:$M$502,"APPROVED",Trade_Reports!$Q$3:$Q$502,"&lt;="&amp;Settings!$B$5))</f>
        <v/>
      </c>
      <c r="T133" s="2"/>
      <c r="U133" s="2"/>
      <c r="V133" s="21" t="str">
        <f>IF(OR($A133="",ISERROR(SEARCH("_",$A133))),"",IFERROR(SUMIFS(Trade_Reports!$Z$3:$Z$502,Trade_Reports!$H$3:$H$502,$A133,Trade_Reports!$M$3:$M$502,"APPROVED")/SUMIFS(Trade_Reports!$U$3:$U$502,Trade_Reports!$H$3:$H$502,$A133,Trade_Reports!$M$3:$M$502,"APPROVED"),""))</f>
        <v/>
      </c>
      <c r="W133" s="17" t="str">
        <f t="shared" si="1"/>
        <v/>
      </c>
      <c r="X133" s="2"/>
      <c r="Y133" s="2"/>
      <c r="Z133" s="2"/>
    </row>
    <row r="134" spans="1:26" ht="15.75" customHeight="1" x14ac:dyDescent="0.3">
      <c r="A134" s="15"/>
      <c r="B134" s="15"/>
      <c r="C134" s="16"/>
      <c r="D134" s="16"/>
      <c r="E134" s="16"/>
      <c r="F134" s="17" t="str">
        <f>IF($A134="","",IF($K134&lt;Settings!$B$14,"",IF($P134=0,"",IFERROR(_xludf.MINIFS(Trade_Reports!$I$3:$I$502,Trade_Reports!$H$3:$H$502,$A134,Trade_Reports!$M$3:$M$502,"APPROVED",Trade_Reports!$Q$3:$Q$502,"&lt;="&amp;Settings!$B$4,Trade_Reports!$W$3:$W$502,"&gt;="&amp;0.5*$P134),""))))</f>
        <v/>
      </c>
      <c r="G134" s="17" t="str">
        <f>IF($A134="","",IF($K134=0,"",IFERROR(_xludf.MINIFS(Trade_Reports!$I$3:$I$502,Trade_Reports!$H$3:$H$502,$A134,Trade_Reports!$M$3:$M$502,"APPROVED",Trade_Reports!$Q$3:$Q$502,"&lt;="&amp;Settings!$B$4),"")))</f>
        <v/>
      </c>
      <c r="H134" s="17" t="str">
        <f>IF($A134="","",IF($K134=0,"",IFERROR(_xludf.MAXIFS(Trade_Reports!$I$3:$I$502,Trade_Reports!$H$3:$H$502,$A134,Trade_Reports!$M$3:$M$502,"APPROVED",Trade_Reports!$Q$3:$Q$502,"&lt;="&amp;Settings!$B$4),"")))</f>
        <v/>
      </c>
      <c r="I134" s="17" t="str">
        <f>IF($A134="","",IF($F134="","",IF($Q134="","",IF(ABS($F134-$Q134)/$Q134&lt;=Settings!$B$18,"STABLE",IF($F134&gt;$Q134,"UP","DOWN")))))</f>
        <v/>
      </c>
      <c r="J134" s="18" t="str">
        <f>IF($A134="","",IF($K134=0,"",MIN(100,ROUND($K134/Settings!$B$14*100,0))))</f>
        <v/>
      </c>
      <c r="K134" s="17" t="str">
        <f>IF($A134="","",COUNTIFS(Trade_Reports!$H$3:$H$502,$A134,Trade_Reports!$M$3:$M$502,"APPROVED",Trade_Reports!$Q$3:$Q$502,"&lt;="&amp;Settings!$B$4))</f>
        <v/>
      </c>
      <c r="L134" s="19" t="str">
        <f>IF($A134="","",IF($K134=0,"",IFERROR(_xludf.MAXIFS(Trade_Reports!$O$3:$O$502,Trade_Reports!$H$3:$H$502,$A134,Trade_Reports!$M$3:$M$502,"APPROVED"),"")))</f>
        <v/>
      </c>
      <c r="M134" s="16" t="s">
        <v>46</v>
      </c>
      <c r="N134" s="15"/>
      <c r="O134" s="9" t="str">
        <f t="shared" si="0"/>
        <v/>
      </c>
      <c r="P134" s="2" t="str">
        <f>IF($A134="","",SUMIFS(Trade_Reports!$U$3:$U$502,Trade_Reports!$H$3:$H$502,$A134,Trade_Reports!$M$3:$M$502,"APPROVED",Trade_Reports!$Q$3:$Q$502,"&lt;="&amp;Settings!$B$4))</f>
        <v/>
      </c>
      <c r="Q134" s="2" t="str">
        <f>IF($A134="","",SUMIFS(Trade_Reports!$U$3:$U$502,Trade_Reports!$H$3:$H$502,$A134,Trade_Reports!$M$3:$M$502,"APPROVED",Trade_Reports!$Q$3:$Q$502,"&lt;="&amp;Settings!$B$5))</f>
        <v/>
      </c>
      <c r="R134" s="2" t="str">
        <f>IF($A134="","",IF($Q134=0,"",IFERROR(_xludf.MINIFS(Trade_Reports!$I$3:$I$502,Trade_Reports!$H$3:$H$502,$A134,Trade_Reports!$M$3:$M$502,"APPROVED",Trade_Reports!$Q$3:$Q$502,"&lt;="&amp;Settings!$B$5,Trade_Reports!$X$3:$X$502,"&gt;="&amp;0.5*$Q134),"")))</f>
        <v/>
      </c>
      <c r="S134" s="2" t="str">
        <f>IF($A134="","",COUNTIFS(Trade_Reports!$H$3:$H$502,$A134,Trade_Reports!$M$3:$M$502,"APPROVED",Trade_Reports!$Q$3:$Q$502,"&lt;="&amp;Settings!$B$5))</f>
        <v/>
      </c>
      <c r="T134" s="2"/>
      <c r="U134" s="2"/>
      <c r="V134" s="21" t="str">
        <f>IF(OR($A134="",ISERROR(SEARCH("_",$A134))),"",IFERROR(SUMIFS(Trade_Reports!$Z$3:$Z$502,Trade_Reports!$H$3:$H$502,$A134,Trade_Reports!$M$3:$M$502,"APPROVED")/SUMIFS(Trade_Reports!$U$3:$U$502,Trade_Reports!$H$3:$H$502,$A134,Trade_Reports!$M$3:$M$502,"APPROVED"),""))</f>
        <v/>
      </c>
      <c r="W134" s="17" t="str">
        <f t="shared" si="1"/>
        <v/>
      </c>
      <c r="X134" s="2"/>
      <c r="Y134" s="2"/>
      <c r="Z134" s="2"/>
    </row>
    <row r="135" spans="1:26" ht="15.75" customHeight="1" x14ac:dyDescent="0.3">
      <c r="A135" s="15"/>
      <c r="B135" s="15"/>
      <c r="C135" s="16"/>
      <c r="D135" s="16"/>
      <c r="E135" s="16"/>
      <c r="F135" s="17" t="str">
        <f>IF($A135="","",IF($K135&lt;Settings!$B$14,"",IF($P135=0,"",IFERROR(_xludf.MINIFS(Trade_Reports!$I$3:$I$502,Trade_Reports!$H$3:$H$502,$A135,Trade_Reports!$M$3:$M$502,"APPROVED",Trade_Reports!$Q$3:$Q$502,"&lt;="&amp;Settings!$B$4,Trade_Reports!$W$3:$W$502,"&gt;="&amp;0.5*$P135),""))))</f>
        <v/>
      </c>
      <c r="G135" s="17" t="str">
        <f>IF($A135="","",IF($K135=0,"",IFERROR(_xludf.MINIFS(Trade_Reports!$I$3:$I$502,Trade_Reports!$H$3:$H$502,$A135,Trade_Reports!$M$3:$M$502,"APPROVED",Trade_Reports!$Q$3:$Q$502,"&lt;="&amp;Settings!$B$4),"")))</f>
        <v/>
      </c>
      <c r="H135" s="17" t="str">
        <f>IF($A135="","",IF($K135=0,"",IFERROR(_xludf.MAXIFS(Trade_Reports!$I$3:$I$502,Trade_Reports!$H$3:$H$502,$A135,Trade_Reports!$M$3:$M$502,"APPROVED",Trade_Reports!$Q$3:$Q$502,"&lt;="&amp;Settings!$B$4),"")))</f>
        <v/>
      </c>
      <c r="I135" s="17" t="str">
        <f>IF($A135="","",IF($F135="","",IF($Q135="","",IF(ABS($F135-$Q135)/$Q135&lt;=Settings!$B$18,"STABLE",IF($F135&gt;$Q135,"UP","DOWN")))))</f>
        <v/>
      </c>
      <c r="J135" s="18" t="str">
        <f>IF($A135="","",IF($K135=0,"",MIN(100,ROUND($K135/Settings!$B$14*100,0))))</f>
        <v/>
      </c>
      <c r="K135" s="17" t="str">
        <f>IF($A135="","",COUNTIFS(Trade_Reports!$H$3:$H$502,$A135,Trade_Reports!$M$3:$M$502,"APPROVED",Trade_Reports!$Q$3:$Q$502,"&lt;="&amp;Settings!$B$4))</f>
        <v/>
      </c>
      <c r="L135" s="19" t="str">
        <f>IF($A135="","",IF($K135=0,"",IFERROR(_xludf.MAXIFS(Trade_Reports!$O$3:$O$502,Trade_Reports!$H$3:$H$502,$A135,Trade_Reports!$M$3:$M$502,"APPROVED"),"")))</f>
        <v/>
      </c>
      <c r="M135" s="16" t="s">
        <v>46</v>
      </c>
      <c r="N135" s="15"/>
      <c r="O135" s="9" t="str">
        <f t="shared" si="0"/>
        <v/>
      </c>
      <c r="P135" s="2" t="str">
        <f>IF($A135="","",SUMIFS(Trade_Reports!$U$3:$U$502,Trade_Reports!$H$3:$H$502,$A135,Trade_Reports!$M$3:$M$502,"APPROVED",Trade_Reports!$Q$3:$Q$502,"&lt;="&amp;Settings!$B$4))</f>
        <v/>
      </c>
      <c r="Q135" s="2" t="str">
        <f>IF($A135="","",SUMIFS(Trade_Reports!$U$3:$U$502,Trade_Reports!$H$3:$H$502,$A135,Trade_Reports!$M$3:$M$502,"APPROVED",Trade_Reports!$Q$3:$Q$502,"&lt;="&amp;Settings!$B$5))</f>
        <v/>
      </c>
      <c r="R135" s="2" t="str">
        <f>IF($A135="","",IF($Q135=0,"",IFERROR(_xludf.MINIFS(Trade_Reports!$I$3:$I$502,Trade_Reports!$H$3:$H$502,$A135,Trade_Reports!$M$3:$M$502,"APPROVED",Trade_Reports!$Q$3:$Q$502,"&lt;="&amp;Settings!$B$5,Trade_Reports!$X$3:$X$502,"&gt;="&amp;0.5*$Q135),"")))</f>
        <v/>
      </c>
      <c r="S135" s="2" t="str">
        <f>IF($A135="","",COUNTIFS(Trade_Reports!$H$3:$H$502,$A135,Trade_Reports!$M$3:$M$502,"APPROVED",Trade_Reports!$Q$3:$Q$502,"&lt;="&amp;Settings!$B$5))</f>
        <v/>
      </c>
      <c r="T135" s="2"/>
      <c r="U135" s="2"/>
      <c r="V135" s="21" t="str">
        <f>IF(OR($A135="",ISERROR(SEARCH("_",$A135))),"",IFERROR(SUMIFS(Trade_Reports!$Z$3:$Z$502,Trade_Reports!$H$3:$H$502,$A135,Trade_Reports!$M$3:$M$502,"APPROVED")/SUMIFS(Trade_Reports!$U$3:$U$502,Trade_Reports!$H$3:$H$502,$A135,Trade_Reports!$M$3:$M$502,"APPROVED"),""))</f>
        <v/>
      </c>
      <c r="W135" s="17" t="str">
        <f t="shared" si="1"/>
        <v/>
      </c>
      <c r="X135" s="2"/>
      <c r="Y135" s="2"/>
      <c r="Z135" s="2"/>
    </row>
    <row r="136" spans="1:26" ht="15.75" customHeight="1" x14ac:dyDescent="0.3">
      <c r="A136" s="15"/>
      <c r="B136" s="15"/>
      <c r="C136" s="16"/>
      <c r="D136" s="16"/>
      <c r="E136" s="16"/>
      <c r="F136" s="17" t="str">
        <f>IF($A136="","",IF($K136&lt;Settings!$B$14,"",IF($P136=0,"",IFERROR(_xludf.MINIFS(Trade_Reports!$I$3:$I$502,Trade_Reports!$H$3:$H$502,$A136,Trade_Reports!$M$3:$M$502,"APPROVED",Trade_Reports!$Q$3:$Q$502,"&lt;="&amp;Settings!$B$4,Trade_Reports!$W$3:$W$502,"&gt;="&amp;0.5*$P136),""))))</f>
        <v/>
      </c>
      <c r="G136" s="17" t="str">
        <f>IF($A136="","",IF($K136=0,"",IFERROR(_xludf.MINIFS(Trade_Reports!$I$3:$I$502,Trade_Reports!$H$3:$H$502,$A136,Trade_Reports!$M$3:$M$502,"APPROVED",Trade_Reports!$Q$3:$Q$502,"&lt;="&amp;Settings!$B$4),"")))</f>
        <v/>
      </c>
      <c r="H136" s="17" t="str">
        <f>IF($A136="","",IF($K136=0,"",IFERROR(_xludf.MAXIFS(Trade_Reports!$I$3:$I$502,Trade_Reports!$H$3:$H$502,$A136,Trade_Reports!$M$3:$M$502,"APPROVED",Trade_Reports!$Q$3:$Q$502,"&lt;="&amp;Settings!$B$4),"")))</f>
        <v/>
      </c>
      <c r="I136" s="17" t="str">
        <f>IF($A136="","",IF($F136="","",IF($Q136="","",IF(ABS($F136-$Q136)/$Q136&lt;=Settings!$B$18,"STABLE",IF($F136&gt;$Q136,"UP","DOWN")))))</f>
        <v/>
      </c>
      <c r="J136" s="18" t="str">
        <f>IF($A136="","",IF($K136=0,"",MIN(100,ROUND($K136/Settings!$B$14*100,0))))</f>
        <v/>
      </c>
      <c r="K136" s="17" t="str">
        <f>IF($A136="","",COUNTIFS(Trade_Reports!$H$3:$H$502,$A136,Trade_Reports!$M$3:$M$502,"APPROVED",Trade_Reports!$Q$3:$Q$502,"&lt;="&amp;Settings!$B$4))</f>
        <v/>
      </c>
      <c r="L136" s="19" t="str">
        <f>IF($A136="","",IF($K136=0,"",IFERROR(_xludf.MAXIFS(Trade_Reports!$O$3:$O$502,Trade_Reports!$H$3:$H$502,$A136,Trade_Reports!$M$3:$M$502,"APPROVED"),"")))</f>
        <v/>
      </c>
      <c r="M136" s="16" t="s">
        <v>46</v>
      </c>
      <c r="N136" s="15"/>
      <c r="O136" s="9" t="str">
        <f t="shared" si="0"/>
        <v/>
      </c>
      <c r="P136" s="2" t="str">
        <f>IF($A136="","",SUMIFS(Trade_Reports!$U$3:$U$502,Trade_Reports!$H$3:$H$502,$A136,Trade_Reports!$M$3:$M$502,"APPROVED",Trade_Reports!$Q$3:$Q$502,"&lt;="&amp;Settings!$B$4))</f>
        <v/>
      </c>
      <c r="Q136" s="2" t="str">
        <f>IF($A136="","",SUMIFS(Trade_Reports!$U$3:$U$502,Trade_Reports!$H$3:$H$502,$A136,Trade_Reports!$M$3:$M$502,"APPROVED",Trade_Reports!$Q$3:$Q$502,"&lt;="&amp;Settings!$B$5))</f>
        <v/>
      </c>
      <c r="R136" s="2" t="str">
        <f>IF($A136="","",IF($Q136=0,"",IFERROR(_xludf.MINIFS(Trade_Reports!$I$3:$I$502,Trade_Reports!$H$3:$H$502,$A136,Trade_Reports!$M$3:$M$502,"APPROVED",Trade_Reports!$Q$3:$Q$502,"&lt;="&amp;Settings!$B$5,Trade_Reports!$X$3:$X$502,"&gt;="&amp;0.5*$Q136),"")))</f>
        <v/>
      </c>
      <c r="S136" s="2" t="str">
        <f>IF($A136="","",COUNTIFS(Trade_Reports!$H$3:$H$502,$A136,Trade_Reports!$M$3:$M$502,"APPROVED",Trade_Reports!$Q$3:$Q$502,"&lt;="&amp;Settings!$B$5))</f>
        <v/>
      </c>
      <c r="T136" s="2"/>
      <c r="U136" s="2"/>
      <c r="V136" s="21" t="str">
        <f>IF(OR($A136="",ISERROR(SEARCH("_",$A136))),"",IFERROR(SUMIFS(Trade_Reports!$Z$3:$Z$502,Trade_Reports!$H$3:$H$502,$A136,Trade_Reports!$M$3:$M$502,"APPROVED")/SUMIFS(Trade_Reports!$U$3:$U$502,Trade_Reports!$H$3:$H$502,$A136,Trade_Reports!$M$3:$M$502,"APPROVED"),""))</f>
        <v/>
      </c>
      <c r="W136" s="17" t="str">
        <f t="shared" si="1"/>
        <v/>
      </c>
      <c r="X136" s="2"/>
      <c r="Y136" s="2"/>
      <c r="Z136" s="2"/>
    </row>
    <row r="137" spans="1:26" ht="15.75" customHeight="1" x14ac:dyDescent="0.3">
      <c r="A137" s="15"/>
      <c r="B137" s="15"/>
      <c r="C137" s="16"/>
      <c r="D137" s="16"/>
      <c r="E137" s="16"/>
      <c r="F137" s="17" t="str">
        <f>IF($A137="","",IF($K137&lt;Settings!$B$14,"",IF($P137=0,"",IFERROR(_xludf.MINIFS(Trade_Reports!$I$3:$I$502,Trade_Reports!$H$3:$H$502,$A137,Trade_Reports!$M$3:$M$502,"APPROVED",Trade_Reports!$Q$3:$Q$502,"&lt;="&amp;Settings!$B$4,Trade_Reports!$W$3:$W$502,"&gt;="&amp;0.5*$P137),""))))</f>
        <v/>
      </c>
      <c r="G137" s="17" t="str">
        <f>IF($A137="","",IF($K137=0,"",IFERROR(_xludf.MINIFS(Trade_Reports!$I$3:$I$502,Trade_Reports!$H$3:$H$502,$A137,Trade_Reports!$M$3:$M$502,"APPROVED",Trade_Reports!$Q$3:$Q$502,"&lt;="&amp;Settings!$B$4),"")))</f>
        <v/>
      </c>
      <c r="H137" s="17" t="str">
        <f>IF($A137="","",IF($K137=0,"",IFERROR(_xludf.MAXIFS(Trade_Reports!$I$3:$I$502,Trade_Reports!$H$3:$H$502,$A137,Trade_Reports!$M$3:$M$502,"APPROVED",Trade_Reports!$Q$3:$Q$502,"&lt;="&amp;Settings!$B$4),"")))</f>
        <v/>
      </c>
      <c r="I137" s="17" t="str">
        <f>IF($A137="","",IF($F137="","",IF($Q137="","",IF(ABS($F137-$Q137)/$Q137&lt;=Settings!$B$18,"STABLE",IF($F137&gt;$Q137,"UP","DOWN")))))</f>
        <v/>
      </c>
      <c r="J137" s="18" t="str">
        <f>IF($A137="","",IF($K137=0,"",MIN(100,ROUND($K137/Settings!$B$14*100,0))))</f>
        <v/>
      </c>
      <c r="K137" s="17" t="str">
        <f>IF($A137="","",COUNTIFS(Trade_Reports!$H$3:$H$502,$A137,Trade_Reports!$M$3:$M$502,"APPROVED",Trade_Reports!$Q$3:$Q$502,"&lt;="&amp;Settings!$B$4))</f>
        <v/>
      </c>
      <c r="L137" s="19" t="str">
        <f>IF($A137="","",IF($K137=0,"",IFERROR(_xludf.MAXIFS(Trade_Reports!$O$3:$O$502,Trade_Reports!$H$3:$H$502,$A137,Trade_Reports!$M$3:$M$502,"APPROVED"),"")))</f>
        <v/>
      </c>
      <c r="M137" s="16" t="s">
        <v>46</v>
      </c>
      <c r="N137" s="15"/>
      <c r="O137" s="9" t="str">
        <f t="shared" si="0"/>
        <v/>
      </c>
      <c r="P137" s="2" t="str">
        <f>IF($A137="","",SUMIFS(Trade_Reports!$U$3:$U$502,Trade_Reports!$H$3:$H$502,$A137,Trade_Reports!$M$3:$M$502,"APPROVED",Trade_Reports!$Q$3:$Q$502,"&lt;="&amp;Settings!$B$4))</f>
        <v/>
      </c>
      <c r="Q137" s="2" t="str">
        <f>IF($A137="","",SUMIFS(Trade_Reports!$U$3:$U$502,Trade_Reports!$H$3:$H$502,$A137,Trade_Reports!$M$3:$M$502,"APPROVED",Trade_Reports!$Q$3:$Q$502,"&lt;="&amp;Settings!$B$5))</f>
        <v/>
      </c>
      <c r="R137" s="2" t="str">
        <f>IF($A137="","",IF($Q137=0,"",IFERROR(_xludf.MINIFS(Trade_Reports!$I$3:$I$502,Trade_Reports!$H$3:$H$502,$A137,Trade_Reports!$M$3:$M$502,"APPROVED",Trade_Reports!$Q$3:$Q$502,"&lt;="&amp;Settings!$B$5,Trade_Reports!$X$3:$X$502,"&gt;="&amp;0.5*$Q137),"")))</f>
        <v/>
      </c>
      <c r="S137" s="2" t="str">
        <f>IF($A137="","",COUNTIFS(Trade_Reports!$H$3:$H$502,$A137,Trade_Reports!$M$3:$M$502,"APPROVED",Trade_Reports!$Q$3:$Q$502,"&lt;="&amp;Settings!$B$5))</f>
        <v/>
      </c>
      <c r="T137" s="2"/>
      <c r="U137" s="2"/>
      <c r="V137" s="21" t="str">
        <f>IF(OR($A137="",ISERROR(SEARCH("_",$A137))),"",IFERROR(SUMIFS(Trade_Reports!$Z$3:$Z$502,Trade_Reports!$H$3:$H$502,$A137,Trade_Reports!$M$3:$M$502,"APPROVED")/SUMIFS(Trade_Reports!$U$3:$U$502,Trade_Reports!$H$3:$H$502,$A137,Trade_Reports!$M$3:$M$502,"APPROVED"),""))</f>
        <v/>
      </c>
      <c r="W137" s="17" t="str">
        <f t="shared" si="1"/>
        <v/>
      </c>
      <c r="X137" s="2"/>
      <c r="Y137" s="2"/>
      <c r="Z137" s="2"/>
    </row>
    <row r="138" spans="1:26" ht="15.75" customHeight="1" x14ac:dyDescent="0.3">
      <c r="A138" s="15"/>
      <c r="B138" s="15"/>
      <c r="C138" s="16"/>
      <c r="D138" s="16"/>
      <c r="E138" s="16"/>
      <c r="F138" s="17" t="str">
        <f>IF($A138="","",IF($K138&lt;Settings!$B$14,"",IF($P138=0,"",IFERROR(_xludf.MINIFS(Trade_Reports!$I$3:$I$502,Trade_Reports!$H$3:$H$502,$A138,Trade_Reports!$M$3:$M$502,"APPROVED",Trade_Reports!$Q$3:$Q$502,"&lt;="&amp;Settings!$B$4,Trade_Reports!$W$3:$W$502,"&gt;="&amp;0.5*$P138),""))))</f>
        <v/>
      </c>
      <c r="G138" s="17" t="str">
        <f>IF($A138="","",IF($K138=0,"",IFERROR(_xludf.MINIFS(Trade_Reports!$I$3:$I$502,Trade_Reports!$H$3:$H$502,$A138,Trade_Reports!$M$3:$M$502,"APPROVED",Trade_Reports!$Q$3:$Q$502,"&lt;="&amp;Settings!$B$4),"")))</f>
        <v/>
      </c>
      <c r="H138" s="17" t="str">
        <f>IF($A138="","",IF($K138=0,"",IFERROR(_xludf.MAXIFS(Trade_Reports!$I$3:$I$502,Trade_Reports!$H$3:$H$502,$A138,Trade_Reports!$M$3:$M$502,"APPROVED",Trade_Reports!$Q$3:$Q$502,"&lt;="&amp;Settings!$B$4),"")))</f>
        <v/>
      </c>
      <c r="I138" s="17" t="str">
        <f>IF($A138="","",IF($F138="","",IF($Q138="","",IF(ABS($F138-$Q138)/$Q138&lt;=Settings!$B$18,"STABLE",IF($F138&gt;$Q138,"UP","DOWN")))))</f>
        <v/>
      </c>
      <c r="J138" s="18" t="str">
        <f>IF($A138="","",IF($K138=0,"",MIN(100,ROUND($K138/Settings!$B$14*100,0))))</f>
        <v/>
      </c>
      <c r="K138" s="17" t="str">
        <f>IF($A138="","",COUNTIFS(Trade_Reports!$H$3:$H$502,$A138,Trade_Reports!$M$3:$M$502,"APPROVED",Trade_Reports!$Q$3:$Q$502,"&lt;="&amp;Settings!$B$4))</f>
        <v/>
      </c>
      <c r="L138" s="19" t="str">
        <f>IF($A138="","",IF($K138=0,"",IFERROR(_xludf.MAXIFS(Trade_Reports!$O$3:$O$502,Trade_Reports!$H$3:$H$502,$A138,Trade_Reports!$M$3:$M$502,"APPROVED"),"")))</f>
        <v/>
      </c>
      <c r="M138" s="16" t="s">
        <v>46</v>
      </c>
      <c r="N138" s="15"/>
      <c r="O138" s="9" t="str">
        <f t="shared" si="0"/>
        <v/>
      </c>
      <c r="P138" s="2" t="str">
        <f>IF($A138="","",SUMIFS(Trade_Reports!$U$3:$U$502,Trade_Reports!$H$3:$H$502,$A138,Trade_Reports!$M$3:$M$502,"APPROVED",Trade_Reports!$Q$3:$Q$502,"&lt;="&amp;Settings!$B$4))</f>
        <v/>
      </c>
      <c r="Q138" s="2" t="str">
        <f>IF($A138="","",SUMIFS(Trade_Reports!$U$3:$U$502,Trade_Reports!$H$3:$H$502,$A138,Trade_Reports!$M$3:$M$502,"APPROVED",Trade_Reports!$Q$3:$Q$502,"&lt;="&amp;Settings!$B$5))</f>
        <v/>
      </c>
      <c r="R138" s="2" t="str">
        <f>IF($A138="","",IF($Q138=0,"",IFERROR(_xludf.MINIFS(Trade_Reports!$I$3:$I$502,Trade_Reports!$H$3:$H$502,$A138,Trade_Reports!$M$3:$M$502,"APPROVED",Trade_Reports!$Q$3:$Q$502,"&lt;="&amp;Settings!$B$5,Trade_Reports!$X$3:$X$502,"&gt;="&amp;0.5*$Q138),"")))</f>
        <v/>
      </c>
      <c r="S138" s="2" t="str">
        <f>IF($A138="","",COUNTIFS(Trade_Reports!$H$3:$H$502,$A138,Trade_Reports!$M$3:$M$502,"APPROVED",Trade_Reports!$Q$3:$Q$502,"&lt;="&amp;Settings!$B$5))</f>
        <v/>
      </c>
      <c r="T138" s="2"/>
      <c r="U138" s="2"/>
      <c r="V138" s="21" t="str">
        <f>IF(OR($A138="",ISERROR(SEARCH("_",$A138))),"",IFERROR(SUMIFS(Trade_Reports!$Z$3:$Z$502,Trade_Reports!$H$3:$H$502,$A138,Trade_Reports!$M$3:$M$502,"APPROVED")/SUMIFS(Trade_Reports!$U$3:$U$502,Trade_Reports!$H$3:$H$502,$A138,Trade_Reports!$M$3:$M$502,"APPROVED"),""))</f>
        <v/>
      </c>
      <c r="W138" s="17" t="str">
        <f t="shared" si="1"/>
        <v/>
      </c>
      <c r="X138" s="2"/>
      <c r="Y138" s="2"/>
      <c r="Z138" s="2"/>
    </row>
    <row r="139" spans="1:26" ht="15.75" customHeight="1" x14ac:dyDescent="0.3">
      <c r="A139" s="15"/>
      <c r="B139" s="15"/>
      <c r="C139" s="16"/>
      <c r="D139" s="16"/>
      <c r="E139" s="16"/>
      <c r="F139" s="17" t="str">
        <f>IF($A139="","",IF($K139&lt;Settings!$B$14,"",IF($P139=0,"",IFERROR(_xludf.MINIFS(Trade_Reports!$I$3:$I$502,Trade_Reports!$H$3:$H$502,$A139,Trade_Reports!$M$3:$M$502,"APPROVED",Trade_Reports!$Q$3:$Q$502,"&lt;="&amp;Settings!$B$4,Trade_Reports!$W$3:$W$502,"&gt;="&amp;0.5*$P139),""))))</f>
        <v/>
      </c>
      <c r="G139" s="17" t="str">
        <f>IF($A139="","",IF($K139=0,"",IFERROR(_xludf.MINIFS(Trade_Reports!$I$3:$I$502,Trade_Reports!$H$3:$H$502,$A139,Trade_Reports!$M$3:$M$502,"APPROVED",Trade_Reports!$Q$3:$Q$502,"&lt;="&amp;Settings!$B$4),"")))</f>
        <v/>
      </c>
      <c r="H139" s="17" t="str">
        <f>IF($A139="","",IF($K139=0,"",IFERROR(_xludf.MAXIFS(Trade_Reports!$I$3:$I$502,Trade_Reports!$H$3:$H$502,$A139,Trade_Reports!$M$3:$M$502,"APPROVED",Trade_Reports!$Q$3:$Q$502,"&lt;="&amp;Settings!$B$4),"")))</f>
        <v/>
      </c>
      <c r="I139" s="17" t="str">
        <f>IF($A139="","",IF($F139="","",IF($Q139="","",IF(ABS($F139-$Q139)/$Q139&lt;=Settings!$B$18,"STABLE",IF($F139&gt;$Q139,"UP","DOWN")))))</f>
        <v/>
      </c>
      <c r="J139" s="18" t="str">
        <f>IF($A139="","",IF($K139=0,"",MIN(100,ROUND($K139/Settings!$B$14*100,0))))</f>
        <v/>
      </c>
      <c r="K139" s="17" t="str">
        <f>IF($A139="","",COUNTIFS(Trade_Reports!$H$3:$H$502,$A139,Trade_Reports!$M$3:$M$502,"APPROVED",Trade_Reports!$Q$3:$Q$502,"&lt;="&amp;Settings!$B$4))</f>
        <v/>
      </c>
      <c r="L139" s="19" t="str">
        <f>IF($A139="","",IF($K139=0,"",IFERROR(_xludf.MAXIFS(Trade_Reports!$O$3:$O$502,Trade_Reports!$H$3:$H$502,$A139,Trade_Reports!$M$3:$M$502,"APPROVED"),"")))</f>
        <v/>
      </c>
      <c r="M139" s="16" t="s">
        <v>46</v>
      </c>
      <c r="N139" s="15"/>
      <c r="O139" s="9" t="str">
        <f t="shared" si="0"/>
        <v/>
      </c>
      <c r="P139" s="2" t="str">
        <f>IF($A139="","",SUMIFS(Trade_Reports!$U$3:$U$502,Trade_Reports!$H$3:$H$502,$A139,Trade_Reports!$M$3:$M$502,"APPROVED",Trade_Reports!$Q$3:$Q$502,"&lt;="&amp;Settings!$B$4))</f>
        <v/>
      </c>
      <c r="Q139" s="2" t="str">
        <f>IF($A139="","",SUMIFS(Trade_Reports!$U$3:$U$502,Trade_Reports!$H$3:$H$502,$A139,Trade_Reports!$M$3:$M$502,"APPROVED",Trade_Reports!$Q$3:$Q$502,"&lt;="&amp;Settings!$B$5))</f>
        <v/>
      </c>
      <c r="R139" s="2" t="str">
        <f>IF($A139="","",IF($Q139=0,"",IFERROR(_xludf.MINIFS(Trade_Reports!$I$3:$I$502,Trade_Reports!$H$3:$H$502,$A139,Trade_Reports!$M$3:$M$502,"APPROVED",Trade_Reports!$Q$3:$Q$502,"&lt;="&amp;Settings!$B$5,Trade_Reports!$X$3:$X$502,"&gt;="&amp;0.5*$Q139),"")))</f>
        <v/>
      </c>
      <c r="S139" s="2" t="str">
        <f>IF($A139="","",COUNTIFS(Trade_Reports!$H$3:$H$502,$A139,Trade_Reports!$M$3:$M$502,"APPROVED",Trade_Reports!$Q$3:$Q$502,"&lt;="&amp;Settings!$B$5))</f>
        <v/>
      </c>
      <c r="T139" s="2"/>
      <c r="U139" s="2"/>
      <c r="V139" s="21" t="str">
        <f>IF(OR($A139="",ISERROR(SEARCH("_",$A139))),"",IFERROR(SUMIFS(Trade_Reports!$Z$3:$Z$502,Trade_Reports!$H$3:$H$502,$A139,Trade_Reports!$M$3:$M$502,"APPROVED")/SUMIFS(Trade_Reports!$U$3:$U$502,Trade_Reports!$H$3:$H$502,$A139,Trade_Reports!$M$3:$M$502,"APPROVED"),""))</f>
        <v/>
      </c>
      <c r="W139" s="17" t="str">
        <f t="shared" si="1"/>
        <v/>
      </c>
      <c r="X139" s="2"/>
      <c r="Y139" s="2"/>
      <c r="Z139" s="2"/>
    </row>
    <row r="140" spans="1:26" ht="15.75" customHeight="1" x14ac:dyDescent="0.3">
      <c r="A140" s="15"/>
      <c r="B140" s="15"/>
      <c r="C140" s="16"/>
      <c r="D140" s="16"/>
      <c r="E140" s="16"/>
      <c r="F140" s="17" t="str">
        <f>IF($A140="","",IF($K140&lt;Settings!$B$14,"",IF($P140=0,"",IFERROR(_xludf.MINIFS(Trade_Reports!$I$3:$I$502,Trade_Reports!$H$3:$H$502,$A140,Trade_Reports!$M$3:$M$502,"APPROVED",Trade_Reports!$Q$3:$Q$502,"&lt;="&amp;Settings!$B$4,Trade_Reports!$W$3:$W$502,"&gt;="&amp;0.5*$P140),""))))</f>
        <v/>
      </c>
      <c r="G140" s="17" t="str">
        <f>IF($A140="","",IF($K140=0,"",IFERROR(_xludf.MINIFS(Trade_Reports!$I$3:$I$502,Trade_Reports!$H$3:$H$502,$A140,Trade_Reports!$M$3:$M$502,"APPROVED",Trade_Reports!$Q$3:$Q$502,"&lt;="&amp;Settings!$B$4),"")))</f>
        <v/>
      </c>
      <c r="H140" s="17" t="str">
        <f>IF($A140="","",IF($K140=0,"",IFERROR(_xludf.MAXIFS(Trade_Reports!$I$3:$I$502,Trade_Reports!$H$3:$H$502,$A140,Trade_Reports!$M$3:$M$502,"APPROVED",Trade_Reports!$Q$3:$Q$502,"&lt;="&amp;Settings!$B$4),"")))</f>
        <v/>
      </c>
      <c r="I140" s="17" t="str">
        <f>IF($A140="","",IF($F140="","",IF($Q140="","",IF(ABS($F140-$Q140)/$Q140&lt;=Settings!$B$18,"STABLE",IF($F140&gt;$Q140,"UP","DOWN")))))</f>
        <v/>
      </c>
      <c r="J140" s="18" t="str">
        <f>IF($A140="","",IF($K140=0,"",MIN(100,ROUND($K140/Settings!$B$14*100,0))))</f>
        <v/>
      </c>
      <c r="K140" s="17" t="str">
        <f>IF($A140="","",COUNTIFS(Trade_Reports!$H$3:$H$502,$A140,Trade_Reports!$M$3:$M$502,"APPROVED",Trade_Reports!$Q$3:$Q$502,"&lt;="&amp;Settings!$B$4))</f>
        <v/>
      </c>
      <c r="L140" s="19" t="str">
        <f>IF($A140="","",IF($K140=0,"",IFERROR(_xludf.MAXIFS(Trade_Reports!$O$3:$O$502,Trade_Reports!$H$3:$H$502,$A140,Trade_Reports!$M$3:$M$502,"APPROVED"),"")))</f>
        <v/>
      </c>
      <c r="M140" s="16" t="s">
        <v>46</v>
      </c>
      <c r="N140" s="15"/>
      <c r="O140" s="9" t="str">
        <f t="shared" si="0"/>
        <v/>
      </c>
      <c r="P140" s="2" t="str">
        <f>IF($A140="","",SUMIFS(Trade_Reports!$U$3:$U$502,Trade_Reports!$H$3:$H$502,$A140,Trade_Reports!$M$3:$M$502,"APPROVED",Trade_Reports!$Q$3:$Q$502,"&lt;="&amp;Settings!$B$4))</f>
        <v/>
      </c>
      <c r="Q140" s="2" t="str">
        <f>IF($A140="","",SUMIFS(Trade_Reports!$U$3:$U$502,Trade_Reports!$H$3:$H$502,$A140,Trade_Reports!$M$3:$M$502,"APPROVED",Trade_Reports!$Q$3:$Q$502,"&lt;="&amp;Settings!$B$5))</f>
        <v/>
      </c>
      <c r="R140" s="2" t="str">
        <f>IF($A140="","",IF($Q140=0,"",IFERROR(_xludf.MINIFS(Trade_Reports!$I$3:$I$502,Trade_Reports!$H$3:$H$502,$A140,Trade_Reports!$M$3:$M$502,"APPROVED",Trade_Reports!$Q$3:$Q$502,"&lt;="&amp;Settings!$B$5,Trade_Reports!$X$3:$X$502,"&gt;="&amp;0.5*$Q140),"")))</f>
        <v/>
      </c>
      <c r="S140" s="2" t="str">
        <f>IF($A140="","",COUNTIFS(Trade_Reports!$H$3:$H$502,$A140,Trade_Reports!$M$3:$M$502,"APPROVED",Trade_Reports!$Q$3:$Q$502,"&lt;="&amp;Settings!$B$5))</f>
        <v/>
      </c>
      <c r="T140" s="2"/>
      <c r="U140" s="2"/>
      <c r="V140" s="21" t="str">
        <f>IF(OR($A140="",ISERROR(SEARCH("_",$A140))),"",IFERROR(SUMIFS(Trade_Reports!$Z$3:$Z$502,Trade_Reports!$H$3:$H$502,$A140,Trade_Reports!$M$3:$M$502,"APPROVED")/SUMIFS(Trade_Reports!$U$3:$U$502,Trade_Reports!$H$3:$H$502,$A140,Trade_Reports!$M$3:$M$502,"APPROVED"),""))</f>
        <v/>
      </c>
      <c r="W140" s="17" t="str">
        <f t="shared" si="1"/>
        <v/>
      </c>
      <c r="X140" s="2"/>
      <c r="Y140" s="2"/>
      <c r="Z140" s="2"/>
    </row>
    <row r="141" spans="1:26" ht="15.75" customHeight="1" x14ac:dyDescent="0.3">
      <c r="A141" s="15"/>
      <c r="B141" s="15"/>
      <c r="C141" s="16"/>
      <c r="D141" s="16"/>
      <c r="E141" s="16"/>
      <c r="F141" s="17" t="str">
        <f>IF($A141="","",IF($K141&lt;Settings!$B$14,"",IF($P141=0,"",IFERROR(_xludf.MINIFS(Trade_Reports!$I$3:$I$502,Trade_Reports!$H$3:$H$502,$A141,Trade_Reports!$M$3:$M$502,"APPROVED",Trade_Reports!$Q$3:$Q$502,"&lt;="&amp;Settings!$B$4,Trade_Reports!$W$3:$W$502,"&gt;="&amp;0.5*$P141),""))))</f>
        <v/>
      </c>
      <c r="G141" s="17" t="str">
        <f>IF($A141="","",IF($K141=0,"",IFERROR(_xludf.MINIFS(Trade_Reports!$I$3:$I$502,Trade_Reports!$H$3:$H$502,$A141,Trade_Reports!$M$3:$M$502,"APPROVED",Trade_Reports!$Q$3:$Q$502,"&lt;="&amp;Settings!$B$4),"")))</f>
        <v/>
      </c>
      <c r="H141" s="17" t="str">
        <f>IF($A141="","",IF($K141=0,"",IFERROR(_xludf.MAXIFS(Trade_Reports!$I$3:$I$502,Trade_Reports!$H$3:$H$502,$A141,Trade_Reports!$M$3:$M$502,"APPROVED",Trade_Reports!$Q$3:$Q$502,"&lt;="&amp;Settings!$B$4),"")))</f>
        <v/>
      </c>
      <c r="I141" s="17" t="str">
        <f>IF($A141="","",IF($F141="","",IF($Q141="","",IF(ABS($F141-$Q141)/$Q141&lt;=Settings!$B$18,"STABLE",IF($F141&gt;$Q141,"UP","DOWN")))))</f>
        <v/>
      </c>
      <c r="J141" s="18" t="str">
        <f>IF($A141="","",IF($K141=0,"",MIN(100,ROUND($K141/Settings!$B$14*100,0))))</f>
        <v/>
      </c>
      <c r="K141" s="17" t="str">
        <f>IF($A141="","",COUNTIFS(Trade_Reports!$H$3:$H$502,$A141,Trade_Reports!$M$3:$M$502,"APPROVED",Trade_Reports!$Q$3:$Q$502,"&lt;="&amp;Settings!$B$4))</f>
        <v/>
      </c>
      <c r="L141" s="19" t="str">
        <f>IF($A141="","",IF($K141=0,"",IFERROR(_xludf.MAXIFS(Trade_Reports!$O$3:$O$502,Trade_Reports!$H$3:$H$502,$A141,Trade_Reports!$M$3:$M$502,"APPROVED"),"")))</f>
        <v/>
      </c>
      <c r="M141" s="16" t="s">
        <v>46</v>
      </c>
      <c r="N141" s="15"/>
      <c r="O141" s="9" t="str">
        <f t="shared" si="0"/>
        <v/>
      </c>
      <c r="P141" s="2" t="str">
        <f>IF($A141="","",SUMIFS(Trade_Reports!$U$3:$U$502,Trade_Reports!$H$3:$H$502,$A141,Trade_Reports!$M$3:$M$502,"APPROVED",Trade_Reports!$Q$3:$Q$502,"&lt;="&amp;Settings!$B$4))</f>
        <v/>
      </c>
      <c r="Q141" s="2" t="str">
        <f>IF($A141="","",SUMIFS(Trade_Reports!$U$3:$U$502,Trade_Reports!$H$3:$H$502,$A141,Trade_Reports!$M$3:$M$502,"APPROVED",Trade_Reports!$Q$3:$Q$502,"&lt;="&amp;Settings!$B$5))</f>
        <v/>
      </c>
      <c r="R141" s="2" t="str">
        <f>IF($A141="","",IF($Q141=0,"",IFERROR(_xludf.MINIFS(Trade_Reports!$I$3:$I$502,Trade_Reports!$H$3:$H$502,$A141,Trade_Reports!$M$3:$M$502,"APPROVED",Trade_Reports!$Q$3:$Q$502,"&lt;="&amp;Settings!$B$5,Trade_Reports!$X$3:$X$502,"&gt;="&amp;0.5*$Q141),"")))</f>
        <v/>
      </c>
      <c r="S141" s="2" t="str">
        <f>IF($A141="","",COUNTIFS(Trade_Reports!$H$3:$H$502,$A141,Trade_Reports!$M$3:$M$502,"APPROVED",Trade_Reports!$Q$3:$Q$502,"&lt;="&amp;Settings!$B$5))</f>
        <v/>
      </c>
      <c r="T141" s="2"/>
      <c r="U141" s="2"/>
      <c r="V141" s="21" t="str">
        <f>IF(OR($A141="",ISERROR(SEARCH("_",$A141))),"",IFERROR(SUMIFS(Trade_Reports!$Z$3:$Z$502,Trade_Reports!$H$3:$H$502,$A141,Trade_Reports!$M$3:$M$502,"APPROVED")/SUMIFS(Trade_Reports!$U$3:$U$502,Trade_Reports!$H$3:$H$502,$A141,Trade_Reports!$M$3:$M$502,"APPROVED"),""))</f>
        <v/>
      </c>
      <c r="W141" s="17" t="str">
        <f t="shared" si="1"/>
        <v/>
      </c>
      <c r="X141" s="2"/>
      <c r="Y141" s="2"/>
      <c r="Z141" s="2"/>
    </row>
    <row r="142" spans="1:26" ht="15.75" customHeight="1" x14ac:dyDescent="0.3">
      <c r="A142" s="15"/>
      <c r="B142" s="15"/>
      <c r="C142" s="16"/>
      <c r="D142" s="16"/>
      <c r="E142" s="16"/>
      <c r="F142" s="17" t="str">
        <f>IF($A142="","",IF($K142&lt;Settings!$B$14,"",IF($P142=0,"",IFERROR(_xludf.MINIFS(Trade_Reports!$I$3:$I$502,Trade_Reports!$H$3:$H$502,$A142,Trade_Reports!$M$3:$M$502,"APPROVED",Trade_Reports!$Q$3:$Q$502,"&lt;="&amp;Settings!$B$4,Trade_Reports!$W$3:$W$502,"&gt;="&amp;0.5*$P142),""))))</f>
        <v/>
      </c>
      <c r="G142" s="17" t="str">
        <f>IF($A142="","",IF($K142=0,"",IFERROR(_xludf.MINIFS(Trade_Reports!$I$3:$I$502,Trade_Reports!$H$3:$H$502,$A142,Trade_Reports!$M$3:$M$502,"APPROVED",Trade_Reports!$Q$3:$Q$502,"&lt;="&amp;Settings!$B$4),"")))</f>
        <v/>
      </c>
      <c r="H142" s="17" t="str">
        <f>IF($A142="","",IF($K142=0,"",IFERROR(_xludf.MAXIFS(Trade_Reports!$I$3:$I$502,Trade_Reports!$H$3:$H$502,$A142,Trade_Reports!$M$3:$M$502,"APPROVED",Trade_Reports!$Q$3:$Q$502,"&lt;="&amp;Settings!$B$4),"")))</f>
        <v/>
      </c>
      <c r="I142" s="17" t="str">
        <f>IF($A142="","",IF($F142="","",IF($Q142="","",IF(ABS($F142-$Q142)/$Q142&lt;=Settings!$B$18,"STABLE",IF($F142&gt;$Q142,"UP","DOWN")))))</f>
        <v/>
      </c>
      <c r="J142" s="18" t="str">
        <f>IF($A142="","",IF($K142=0,"",MIN(100,ROUND($K142/Settings!$B$14*100,0))))</f>
        <v/>
      </c>
      <c r="K142" s="17" t="str">
        <f>IF($A142="","",COUNTIFS(Trade_Reports!$H$3:$H$502,$A142,Trade_Reports!$M$3:$M$502,"APPROVED",Trade_Reports!$Q$3:$Q$502,"&lt;="&amp;Settings!$B$4))</f>
        <v/>
      </c>
      <c r="L142" s="19" t="str">
        <f>IF($A142="","",IF($K142=0,"",IFERROR(_xludf.MAXIFS(Trade_Reports!$O$3:$O$502,Trade_Reports!$H$3:$H$502,$A142,Trade_Reports!$M$3:$M$502,"APPROVED"),"")))</f>
        <v/>
      </c>
      <c r="M142" s="16" t="s">
        <v>46</v>
      </c>
      <c r="N142" s="15"/>
      <c r="O142" s="9" t="str">
        <f t="shared" si="0"/>
        <v/>
      </c>
      <c r="P142" s="2" t="str">
        <f>IF($A142="","",SUMIFS(Trade_Reports!$U$3:$U$502,Trade_Reports!$H$3:$H$502,$A142,Trade_Reports!$M$3:$M$502,"APPROVED",Trade_Reports!$Q$3:$Q$502,"&lt;="&amp;Settings!$B$4))</f>
        <v/>
      </c>
      <c r="Q142" s="2" t="str">
        <f>IF($A142="","",SUMIFS(Trade_Reports!$U$3:$U$502,Trade_Reports!$H$3:$H$502,$A142,Trade_Reports!$M$3:$M$502,"APPROVED",Trade_Reports!$Q$3:$Q$502,"&lt;="&amp;Settings!$B$5))</f>
        <v/>
      </c>
      <c r="R142" s="2" t="str">
        <f>IF($A142="","",IF($Q142=0,"",IFERROR(_xludf.MINIFS(Trade_Reports!$I$3:$I$502,Trade_Reports!$H$3:$H$502,$A142,Trade_Reports!$M$3:$M$502,"APPROVED",Trade_Reports!$Q$3:$Q$502,"&lt;="&amp;Settings!$B$5,Trade_Reports!$X$3:$X$502,"&gt;="&amp;0.5*$Q142),"")))</f>
        <v/>
      </c>
      <c r="S142" s="2" t="str">
        <f>IF($A142="","",COUNTIFS(Trade_Reports!$H$3:$H$502,$A142,Trade_Reports!$M$3:$M$502,"APPROVED",Trade_Reports!$Q$3:$Q$502,"&lt;="&amp;Settings!$B$5))</f>
        <v/>
      </c>
      <c r="T142" s="2"/>
      <c r="U142" s="2"/>
      <c r="V142" s="21" t="str">
        <f>IF(OR($A142="",ISERROR(SEARCH("_",$A142))),"",IFERROR(SUMIFS(Trade_Reports!$Z$3:$Z$502,Trade_Reports!$H$3:$H$502,$A142,Trade_Reports!$M$3:$M$502,"APPROVED")/SUMIFS(Trade_Reports!$U$3:$U$502,Trade_Reports!$H$3:$H$502,$A142,Trade_Reports!$M$3:$M$502,"APPROVED"),""))</f>
        <v/>
      </c>
      <c r="W142" s="17" t="str">
        <f t="shared" si="1"/>
        <v/>
      </c>
      <c r="X142" s="2"/>
      <c r="Y142" s="2"/>
      <c r="Z142" s="2"/>
    </row>
    <row r="143" spans="1:26" ht="15.75" customHeight="1" x14ac:dyDescent="0.3">
      <c r="A143" s="15"/>
      <c r="B143" s="15"/>
      <c r="C143" s="16"/>
      <c r="D143" s="16"/>
      <c r="E143" s="16"/>
      <c r="F143" s="17" t="str">
        <f>IF($A143="","",IF($K143&lt;Settings!$B$14,"",IF($P143=0,"",IFERROR(_xludf.MINIFS(Trade_Reports!$I$3:$I$502,Trade_Reports!$H$3:$H$502,$A143,Trade_Reports!$M$3:$M$502,"APPROVED",Trade_Reports!$Q$3:$Q$502,"&lt;="&amp;Settings!$B$4,Trade_Reports!$W$3:$W$502,"&gt;="&amp;0.5*$P143),""))))</f>
        <v/>
      </c>
      <c r="G143" s="17" t="str">
        <f>IF($A143="","",IF($K143=0,"",IFERROR(_xludf.MINIFS(Trade_Reports!$I$3:$I$502,Trade_Reports!$H$3:$H$502,$A143,Trade_Reports!$M$3:$M$502,"APPROVED",Trade_Reports!$Q$3:$Q$502,"&lt;="&amp;Settings!$B$4),"")))</f>
        <v/>
      </c>
      <c r="H143" s="17" t="str">
        <f>IF($A143="","",IF($K143=0,"",IFERROR(_xludf.MAXIFS(Trade_Reports!$I$3:$I$502,Trade_Reports!$H$3:$H$502,$A143,Trade_Reports!$M$3:$M$502,"APPROVED",Trade_Reports!$Q$3:$Q$502,"&lt;="&amp;Settings!$B$4),"")))</f>
        <v/>
      </c>
      <c r="I143" s="17" t="str">
        <f>IF($A143="","",IF($F143="","",IF($Q143="","",IF(ABS($F143-$Q143)/$Q143&lt;=Settings!$B$18,"STABLE",IF($F143&gt;$Q143,"UP","DOWN")))))</f>
        <v/>
      </c>
      <c r="J143" s="18" t="str">
        <f>IF($A143="","",IF($K143=0,"",MIN(100,ROUND($K143/Settings!$B$14*100,0))))</f>
        <v/>
      </c>
      <c r="K143" s="17" t="str">
        <f>IF($A143="","",COUNTIFS(Trade_Reports!$H$3:$H$502,$A143,Trade_Reports!$M$3:$M$502,"APPROVED",Trade_Reports!$Q$3:$Q$502,"&lt;="&amp;Settings!$B$4))</f>
        <v/>
      </c>
      <c r="L143" s="19" t="str">
        <f>IF($A143="","",IF($K143=0,"",IFERROR(_xludf.MAXIFS(Trade_Reports!$O$3:$O$502,Trade_Reports!$H$3:$H$502,$A143,Trade_Reports!$M$3:$M$502,"APPROVED"),"")))</f>
        <v/>
      </c>
      <c r="M143" s="16" t="s">
        <v>46</v>
      </c>
      <c r="N143" s="15"/>
      <c r="O143" s="9" t="str">
        <f t="shared" si="0"/>
        <v/>
      </c>
      <c r="P143" s="2" t="str">
        <f>IF($A143="","",SUMIFS(Trade_Reports!$U$3:$U$502,Trade_Reports!$H$3:$H$502,$A143,Trade_Reports!$M$3:$M$502,"APPROVED",Trade_Reports!$Q$3:$Q$502,"&lt;="&amp;Settings!$B$4))</f>
        <v/>
      </c>
      <c r="Q143" s="2" t="str">
        <f>IF($A143="","",SUMIFS(Trade_Reports!$U$3:$U$502,Trade_Reports!$H$3:$H$502,$A143,Trade_Reports!$M$3:$M$502,"APPROVED",Trade_Reports!$Q$3:$Q$502,"&lt;="&amp;Settings!$B$5))</f>
        <v/>
      </c>
      <c r="R143" s="2" t="str">
        <f>IF($A143="","",IF($Q143=0,"",IFERROR(_xludf.MINIFS(Trade_Reports!$I$3:$I$502,Trade_Reports!$H$3:$H$502,$A143,Trade_Reports!$M$3:$M$502,"APPROVED",Trade_Reports!$Q$3:$Q$502,"&lt;="&amp;Settings!$B$5,Trade_Reports!$X$3:$X$502,"&gt;="&amp;0.5*$Q143),"")))</f>
        <v/>
      </c>
      <c r="S143" s="2" t="str">
        <f>IF($A143="","",COUNTIFS(Trade_Reports!$H$3:$H$502,$A143,Trade_Reports!$M$3:$M$502,"APPROVED",Trade_Reports!$Q$3:$Q$502,"&lt;="&amp;Settings!$B$5))</f>
        <v/>
      </c>
      <c r="T143" s="2"/>
      <c r="U143" s="2"/>
      <c r="V143" s="21" t="str">
        <f>IF(OR($A143="",ISERROR(SEARCH("_",$A143))),"",IFERROR(SUMIFS(Trade_Reports!$Z$3:$Z$502,Trade_Reports!$H$3:$H$502,$A143,Trade_Reports!$M$3:$M$502,"APPROVED")/SUMIFS(Trade_Reports!$U$3:$U$502,Trade_Reports!$H$3:$H$502,$A143,Trade_Reports!$M$3:$M$502,"APPROVED"),""))</f>
        <v/>
      </c>
      <c r="W143" s="17" t="str">
        <f t="shared" si="1"/>
        <v/>
      </c>
      <c r="X143" s="2"/>
      <c r="Y143" s="2"/>
      <c r="Z143" s="2"/>
    </row>
    <row r="144" spans="1:26" ht="15.75" customHeight="1" x14ac:dyDescent="0.3">
      <c r="A144" s="15"/>
      <c r="B144" s="15"/>
      <c r="C144" s="16"/>
      <c r="D144" s="16"/>
      <c r="E144" s="16"/>
      <c r="F144" s="17" t="str">
        <f>IF($A144="","",IF($K144&lt;Settings!$B$14,"",IF($P144=0,"",IFERROR(_xludf.MINIFS(Trade_Reports!$I$3:$I$502,Trade_Reports!$H$3:$H$502,$A144,Trade_Reports!$M$3:$M$502,"APPROVED",Trade_Reports!$Q$3:$Q$502,"&lt;="&amp;Settings!$B$4,Trade_Reports!$W$3:$W$502,"&gt;="&amp;0.5*$P144),""))))</f>
        <v/>
      </c>
      <c r="G144" s="17" t="str">
        <f>IF($A144="","",IF($K144=0,"",IFERROR(_xludf.MINIFS(Trade_Reports!$I$3:$I$502,Trade_Reports!$H$3:$H$502,$A144,Trade_Reports!$M$3:$M$502,"APPROVED",Trade_Reports!$Q$3:$Q$502,"&lt;="&amp;Settings!$B$4),"")))</f>
        <v/>
      </c>
      <c r="H144" s="17" t="str">
        <f>IF($A144="","",IF($K144=0,"",IFERROR(_xludf.MAXIFS(Trade_Reports!$I$3:$I$502,Trade_Reports!$H$3:$H$502,$A144,Trade_Reports!$M$3:$M$502,"APPROVED",Trade_Reports!$Q$3:$Q$502,"&lt;="&amp;Settings!$B$4),"")))</f>
        <v/>
      </c>
      <c r="I144" s="17" t="str">
        <f>IF($A144="","",IF($F144="","",IF($Q144="","",IF(ABS($F144-$Q144)/$Q144&lt;=Settings!$B$18,"STABLE",IF($F144&gt;$Q144,"UP","DOWN")))))</f>
        <v/>
      </c>
      <c r="J144" s="18" t="str">
        <f>IF($A144="","",IF($K144=0,"",MIN(100,ROUND($K144/Settings!$B$14*100,0))))</f>
        <v/>
      </c>
      <c r="K144" s="17" t="str">
        <f>IF($A144="","",COUNTIFS(Trade_Reports!$H$3:$H$502,$A144,Trade_Reports!$M$3:$M$502,"APPROVED",Trade_Reports!$Q$3:$Q$502,"&lt;="&amp;Settings!$B$4))</f>
        <v/>
      </c>
      <c r="L144" s="19" t="str">
        <f>IF($A144="","",IF($K144=0,"",IFERROR(_xludf.MAXIFS(Trade_Reports!$O$3:$O$502,Trade_Reports!$H$3:$H$502,$A144,Trade_Reports!$M$3:$M$502,"APPROVED"),"")))</f>
        <v/>
      </c>
      <c r="M144" s="16" t="s">
        <v>46</v>
      </c>
      <c r="N144" s="15"/>
      <c r="O144" s="9" t="str">
        <f t="shared" si="0"/>
        <v/>
      </c>
      <c r="P144" s="2" t="str">
        <f>IF($A144="","",SUMIFS(Trade_Reports!$U$3:$U$502,Trade_Reports!$H$3:$H$502,$A144,Trade_Reports!$M$3:$M$502,"APPROVED",Trade_Reports!$Q$3:$Q$502,"&lt;="&amp;Settings!$B$4))</f>
        <v/>
      </c>
      <c r="Q144" s="2" t="str">
        <f>IF($A144="","",SUMIFS(Trade_Reports!$U$3:$U$502,Trade_Reports!$H$3:$H$502,$A144,Trade_Reports!$M$3:$M$502,"APPROVED",Trade_Reports!$Q$3:$Q$502,"&lt;="&amp;Settings!$B$5))</f>
        <v/>
      </c>
      <c r="R144" s="2" t="str">
        <f>IF($A144="","",IF($Q144=0,"",IFERROR(_xludf.MINIFS(Trade_Reports!$I$3:$I$502,Trade_Reports!$H$3:$H$502,$A144,Trade_Reports!$M$3:$M$502,"APPROVED",Trade_Reports!$Q$3:$Q$502,"&lt;="&amp;Settings!$B$5,Trade_Reports!$X$3:$X$502,"&gt;="&amp;0.5*$Q144),"")))</f>
        <v/>
      </c>
      <c r="S144" s="2" t="str">
        <f>IF($A144="","",COUNTIFS(Trade_Reports!$H$3:$H$502,$A144,Trade_Reports!$M$3:$M$502,"APPROVED",Trade_Reports!$Q$3:$Q$502,"&lt;="&amp;Settings!$B$5))</f>
        <v/>
      </c>
      <c r="T144" s="2"/>
      <c r="U144" s="2"/>
      <c r="V144" s="21" t="str">
        <f>IF(OR($A144="",ISERROR(SEARCH("_",$A144))),"",IFERROR(SUMIFS(Trade_Reports!$Z$3:$Z$502,Trade_Reports!$H$3:$H$502,$A144,Trade_Reports!$M$3:$M$502,"APPROVED")/SUMIFS(Trade_Reports!$U$3:$U$502,Trade_Reports!$H$3:$H$502,$A144,Trade_Reports!$M$3:$M$502,"APPROVED"),""))</f>
        <v/>
      </c>
      <c r="W144" s="17" t="str">
        <f t="shared" si="1"/>
        <v/>
      </c>
      <c r="X144" s="2"/>
      <c r="Y144" s="2"/>
      <c r="Z144" s="2"/>
    </row>
    <row r="145" spans="1:26" ht="15.75" customHeight="1" x14ac:dyDescent="0.3">
      <c r="A145" s="15"/>
      <c r="B145" s="15"/>
      <c r="C145" s="16"/>
      <c r="D145" s="16"/>
      <c r="E145" s="16"/>
      <c r="F145" s="17" t="str">
        <f>IF($A145="","",IF($K145&lt;Settings!$B$14,"",IF($P145=0,"",IFERROR(_xludf.MINIFS(Trade_Reports!$I$3:$I$502,Trade_Reports!$H$3:$H$502,$A145,Trade_Reports!$M$3:$M$502,"APPROVED",Trade_Reports!$Q$3:$Q$502,"&lt;="&amp;Settings!$B$4,Trade_Reports!$W$3:$W$502,"&gt;="&amp;0.5*$P145),""))))</f>
        <v/>
      </c>
      <c r="G145" s="17" t="str">
        <f>IF($A145="","",IF($K145=0,"",IFERROR(_xludf.MINIFS(Trade_Reports!$I$3:$I$502,Trade_Reports!$H$3:$H$502,$A145,Trade_Reports!$M$3:$M$502,"APPROVED",Trade_Reports!$Q$3:$Q$502,"&lt;="&amp;Settings!$B$4),"")))</f>
        <v/>
      </c>
      <c r="H145" s="17" t="str">
        <f>IF($A145="","",IF($K145=0,"",IFERROR(_xludf.MAXIFS(Trade_Reports!$I$3:$I$502,Trade_Reports!$H$3:$H$502,$A145,Trade_Reports!$M$3:$M$502,"APPROVED",Trade_Reports!$Q$3:$Q$502,"&lt;="&amp;Settings!$B$4),"")))</f>
        <v/>
      </c>
      <c r="I145" s="17" t="str">
        <f>IF($A145="","",IF($F145="","",IF($Q145="","",IF(ABS($F145-$Q145)/$Q145&lt;=Settings!$B$18,"STABLE",IF($F145&gt;$Q145,"UP","DOWN")))))</f>
        <v/>
      </c>
      <c r="J145" s="18" t="str">
        <f>IF($A145="","",IF($K145=0,"",MIN(100,ROUND($K145/Settings!$B$14*100,0))))</f>
        <v/>
      </c>
      <c r="K145" s="17" t="str">
        <f>IF($A145="","",COUNTIFS(Trade_Reports!$H$3:$H$502,$A145,Trade_Reports!$M$3:$M$502,"APPROVED",Trade_Reports!$Q$3:$Q$502,"&lt;="&amp;Settings!$B$4))</f>
        <v/>
      </c>
      <c r="L145" s="19" t="str">
        <f>IF($A145="","",IF($K145=0,"",IFERROR(_xludf.MAXIFS(Trade_Reports!$O$3:$O$502,Trade_Reports!$H$3:$H$502,$A145,Trade_Reports!$M$3:$M$502,"APPROVED"),"")))</f>
        <v/>
      </c>
      <c r="M145" s="16" t="s">
        <v>46</v>
      </c>
      <c r="N145" s="15"/>
      <c r="O145" s="9" t="str">
        <f t="shared" si="0"/>
        <v/>
      </c>
      <c r="P145" s="2" t="str">
        <f>IF($A145="","",SUMIFS(Trade_Reports!$U$3:$U$502,Trade_Reports!$H$3:$H$502,$A145,Trade_Reports!$M$3:$M$502,"APPROVED",Trade_Reports!$Q$3:$Q$502,"&lt;="&amp;Settings!$B$4))</f>
        <v/>
      </c>
      <c r="Q145" s="2" t="str">
        <f>IF($A145="","",SUMIFS(Trade_Reports!$U$3:$U$502,Trade_Reports!$H$3:$H$502,$A145,Trade_Reports!$M$3:$M$502,"APPROVED",Trade_Reports!$Q$3:$Q$502,"&lt;="&amp;Settings!$B$5))</f>
        <v/>
      </c>
      <c r="R145" s="2" t="str">
        <f>IF($A145="","",IF($Q145=0,"",IFERROR(_xludf.MINIFS(Trade_Reports!$I$3:$I$502,Trade_Reports!$H$3:$H$502,$A145,Trade_Reports!$M$3:$M$502,"APPROVED",Trade_Reports!$Q$3:$Q$502,"&lt;="&amp;Settings!$B$5,Trade_Reports!$X$3:$X$502,"&gt;="&amp;0.5*$Q145),"")))</f>
        <v/>
      </c>
      <c r="S145" s="2" t="str">
        <f>IF($A145="","",COUNTIFS(Trade_Reports!$H$3:$H$502,$A145,Trade_Reports!$M$3:$M$502,"APPROVED",Trade_Reports!$Q$3:$Q$502,"&lt;="&amp;Settings!$B$5))</f>
        <v/>
      </c>
      <c r="T145" s="2"/>
      <c r="U145" s="2"/>
      <c r="V145" s="21" t="str">
        <f>IF(OR($A145="",ISERROR(SEARCH("_",$A145))),"",IFERROR(SUMIFS(Trade_Reports!$Z$3:$Z$502,Trade_Reports!$H$3:$H$502,$A145,Trade_Reports!$M$3:$M$502,"APPROVED")/SUMIFS(Trade_Reports!$U$3:$U$502,Trade_Reports!$H$3:$H$502,$A145,Trade_Reports!$M$3:$M$502,"APPROVED"),""))</f>
        <v/>
      </c>
      <c r="W145" s="17" t="str">
        <f t="shared" si="1"/>
        <v/>
      </c>
      <c r="X145" s="2"/>
      <c r="Y145" s="2"/>
      <c r="Z145" s="2"/>
    </row>
    <row r="146" spans="1:26" ht="15.75" customHeight="1" x14ac:dyDescent="0.3">
      <c r="A146" s="15"/>
      <c r="B146" s="15"/>
      <c r="C146" s="16"/>
      <c r="D146" s="16"/>
      <c r="E146" s="16"/>
      <c r="F146" s="17" t="str">
        <f>IF($A146="","",IF($K146&lt;Settings!$B$14,"",IF($P146=0,"",IFERROR(_xludf.MINIFS(Trade_Reports!$I$3:$I$502,Trade_Reports!$H$3:$H$502,$A146,Trade_Reports!$M$3:$M$502,"APPROVED",Trade_Reports!$Q$3:$Q$502,"&lt;="&amp;Settings!$B$4,Trade_Reports!$W$3:$W$502,"&gt;="&amp;0.5*$P146),""))))</f>
        <v/>
      </c>
      <c r="G146" s="17" t="str">
        <f>IF($A146="","",IF($K146=0,"",IFERROR(_xludf.MINIFS(Trade_Reports!$I$3:$I$502,Trade_Reports!$H$3:$H$502,$A146,Trade_Reports!$M$3:$M$502,"APPROVED",Trade_Reports!$Q$3:$Q$502,"&lt;="&amp;Settings!$B$4),"")))</f>
        <v/>
      </c>
      <c r="H146" s="17" t="str">
        <f>IF($A146="","",IF($K146=0,"",IFERROR(_xludf.MAXIFS(Trade_Reports!$I$3:$I$502,Trade_Reports!$H$3:$H$502,$A146,Trade_Reports!$M$3:$M$502,"APPROVED",Trade_Reports!$Q$3:$Q$502,"&lt;="&amp;Settings!$B$4),"")))</f>
        <v/>
      </c>
      <c r="I146" s="17" t="str">
        <f>IF($A146="","",IF($F146="","",IF($Q146="","",IF(ABS($F146-$Q146)/$Q146&lt;=Settings!$B$18,"STABLE",IF($F146&gt;$Q146,"UP","DOWN")))))</f>
        <v/>
      </c>
      <c r="J146" s="18" t="str">
        <f>IF($A146="","",IF($K146=0,"",MIN(100,ROUND($K146/Settings!$B$14*100,0))))</f>
        <v/>
      </c>
      <c r="K146" s="17" t="str">
        <f>IF($A146="","",COUNTIFS(Trade_Reports!$H$3:$H$502,$A146,Trade_Reports!$M$3:$M$502,"APPROVED",Trade_Reports!$Q$3:$Q$502,"&lt;="&amp;Settings!$B$4))</f>
        <v/>
      </c>
      <c r="L146" s="19" t="str">
        <f>IF($A146="","",IF($K146=0,"",IFERROR(_xludf.MAXIFS(Trade_Reports!$O$3:$O$502,Trade_Reports!$H$3:$H$502,$A146,Trade_Reports!$M$3:$M$502,"APPROVED"),"")))</f>
        <v/>
      </c>
      <c r="M146" s="16" t="s">
        <v>46</v>
      </c>
      <c r="N146" s="15"/>
      <c r="O146" s="9" t="str">
        <f t="shared" si="0"/>
        <v/>
      </c>
      <c r="P146" s="2" t="str">
        <f>IF($A146="","",SUMIFS(Trade_Reports!$U$3:$U$502,Trade_Reports!$H$3:$H$502,$A146,Trade_Reports!$M$3:$M$502,"APPROVED",Trade_Reports!$Q$3:$Q$502,"&lt;="&amp;Settings!$B$4))</f>
        <v/>
      </c>
      <c r="Q146" s="2" t="str">
        <f>IF($A146="","",SUMIFS(Trade_Reports!$U$3:$U$502,Trade_Reports!$H$3:$H$502,$A146,Trade_Reports!$M$3:$M$502,"APPROVED",Trade_Reports!$Q$3:$Q$502,"&lt;="&amp;Settings!$B$5))</f>
        <v/>
      </c>
      <c r="R146" s="2" t="str">
        <f>IF($A146="","",IF($Q146=0,"",IFERROR(_xludf.MINIFS(Trade_Reports!$I$3:$I$502,Trade_Reports!$H$3:$H$502,$A146,Trade_Reports!$M$3:$M$502,"APPROVED",Trade_Reports!$Q$3:$Q$502,"&lt;="&amp;Settings!$B$5,Trade_Reports!$X$3:$X$502,"&gt;="&amp;0.5*$Q146),"")))</f>
        <v/>
      </c>
      <c r="S146" s="2" t="str">
        <f>IF($A146="","",COUNTIFS(Trade_Reports!$H$3:$H$502,$A146,Trade_Reports!$M$3:$M$502,"APPROVED",Trade_Reports!$Q$3:$Q$502,"&lt;="&amp;Settings!$B$5))</f>
        <v/>
      </c>
      <c r="T146" s="2"/>
      <c r="U146" s="2"/>
      <c r="V146" s="21" t="str">
        <f>IF(OR($A146="",ISERROR(SEARCH("_",$A146))),"",IFERROR(SUMIFS(Trade_Reports!$Z$3:$Z$502,Trade_Reports!$H$3:$H$502,$A146,Trade_Reports!$M$3:$M$502,"APPROVED")/SUMIFS(Trade_Reports!$U$3:$U$502,Trade_Reports!$H$3:$H$502,$A146,Trade_Reports!$M$3:$M$502,"APPROVED"),""))</f>
        <v/>
      </c>
      <c r="W146" s="17" t="str">
        <f t="shared" si="1"/>
        <v/>
      </c>
      <c r="X146" s="2"/>
      <c r="Y146" s="2"/>
      <c r="Z146" s="2"/>
    </row>
    <row r="147" spans="1:26" ht="15.75" customHeight="1" x14ac:dyDescent="0.3">
      <c r="A147" s="15"/>
      <c r="B147" s="15"/>
      <c r="C147" s="16"/>
      <c r="D147" s="16"/>
      <c r="E147" s="16"/>
      <c r="F147" s="17" t="str">
        <f>IF($A147="","",IF($K147&lt;Settings!$B$14,"",IF($P147=0,"",IFERROR(_xludf.MINIFS(Trade_Reports!$I$3:$I$502,Trade_Reports!$H$3:$H$502,$A147,Trade_Reports!$M$3:$M$502,"APPROVED",Trade_Reports!$Q$3:$Q$502,"&lt;="&amp;Settings!$B$4,Trade_Reports!$W$3:$W$502,"&gt;="&amp;0.5*$P147),""))))</f>
        <v/>
      </c>
      <c r="G147" s="17" t="str">
        <f>IF($A147="","",IF($K147=0,"",IFERROR(_xludf.MINIFS(Trade_Reports!$I$3:$I$502,Trade_Reports!$H$3:$H$502,$A147,Trade_Reports!$M$3:$M$502,"APPROVED",Trade_Reports!$Q$3:$Q$502,"&lt;="&amp;Settings!$B$4),"")))</f>
        <v/>
      </c>
      <c r="H147" s="17" t="str">
        <f>IF($A147="","",IF($K147=0,"",IFERROR(_xludf.MAXIFS(Trade_Reports!$I$3:$I$502,Trade_Reports!$H$3:$H$502,$A147,Trade_Reports!$M$3:$M$502,"APPROVED",Trade_Reports!$Q$3:$Q$502,"&lt;="&amp;Settings!$B$4),"")))</f>
        <v/>
      </c>
      <c r="I147" s="17" t="str">
        <f>IF($A147="","",IF($F147="","",IF($Q147="","",IF(ABS($F147-$Q147)/$Q147&lt;=Settings!$B$18,"STABLE",IF($F147&gt;$Q147,"UP","DOWN")))))</f>
        <v/>
      </c>
      <c r="J147" s="18" t="str">
        <f>IF($A147="","",IF($K147=0,"",MIN(100,ROUND($K147/Settings!$B$14*100,0))))</f>
        <v/>
      </c>
      <c r="K147" s="17" t="str">
        <f>IF($A147="","",COUNTIFS(Trade_Reports!$H$3:$H$502,$A147,Trade_Reports!$M$3:$M$502,"APPROVED",Trade_Reports!$Q$3:$Q$502,"&lt;="&amp;Settings!$B$4))</f>
        <v/>
      </c>
      <c r="L147" s="19" t="str">
        <f>IF($A147="","",IF($K147=0,"",IFERROR(_xludf.MAXIFS(Trade_Reports!$O$3:$O$502,Trade_Reports!$H$3:$H$502,$A147,Trade_Reports!$M$3:$M$502,"APPROVED"),"")))</f>
        <v/>
      </c>
      <c r="M147" s="16" t="s">
        <v>46</v>
      </c>
      <c r="N147" s="15"/>
      <c r="O147" s="9" t="str">
        <f t="shared" si="0"/>
        <v/>
      </c>
      <c r="P147" s="2" t="str">
        <f>IF($A147="","",SUMIFS(Trade_Reports!$U$3:$U$502,Trade_Reports!$H$3:$H$502,$A147,Trade_Reports!$M$3:$M$502,"APPROVED",Trade_Reports!$Q$3:$Q$502,"&lt;="&amp;Settings!$B$4))</f>
        <v/>
      </c>
      <c r="Q147" s="2" t="str">
        <f>IF($A147="","",SUMIFS(Trade_Reports!$U$3:$U$502,Trade_Reports!$H$3:$H$502,$A147,Trade_Reports!$M$3:$M$502,"APPROVED",Trade_Reports!$Q$3:$Q$502,"&lt;="&amp;Settings!$B$5))</f>
        <v/>
      </c>
      <c r="R147" s="2" t="str">
        <f>IF($A147="","",IF($Q147=0,"",IFERROR(_xludf.MINIFS(Trade_Reports!$I$3:$I$502,Trade_Reports!$H$3:$H$502,$A147,Trade_Reports!$M$3:$M$502,"APPROVED",Trade_Reports!$Q$3:$Q$502,"&lt;="&amp;Settings!$B$5,Trade_Reports!$X$3:$X$502,"&gt;="&amp;0.5*$Q147),"")))</f>
        <v/>
      </c>
      <c r="S147" s="2" t="str">
        <f>IF($A147="","",COUNTIFS(Trade_Reports!$H$3:$H$502,$A147,Trade_Reports!$M$3:$M$502,"APPROVED",Trade_Reports!$Q$3:$Q$502,"&lt;="&amp;Settings!$B$5))</f>
        <v/>
      </c>
      <c r="T147" s="2"/>
      <c r="U147" s="2"/>
      <c r="V147" s="21" t="str">
        <f>IF(OR($A147="",ISERROR(SEARCH("_",$A147))),"",IFERROR(SUMIFS(Trade_Reports!$Z$3:$Z$502,Trade_Reports!$H$3:$H$502,$A147,Trade_Reports!$M$3:$M$502,"APPROVED")/SUMIFS(Trade_Reports!$U$3:$U$502,Trade_Reports!$H$3:$H$502,$A147,Trade_Reports!$M$3:$M$502,"APPROVED"),""))</f>
        <v/>
      </c>
      <c r="W147" s="17" t="str">
        <f t="shared" si="1"/>
        <v/>
      </c>
      <c r="X147" s="2"/>
      <c r="Y147" s="2"/>
      <c r="Z147" s="2"/>
    </row>
    <row r="148" spans="1:26" ht="15.75" customHeight="1" x14ac:dyDescent="0.3">
      <c r="A148" s="15"/>
      <c r="B148" s="15"/>
      <c r="C148" s="16"/>
      <c r="D148" s="16"/>
      <c r="E148" s="16"/>
      <c r="F148" s="17" t="str">
        <f>IF($A148="","",IF($K148&lt;Settings!$B$14,"",IF($P148=0,"",IFERROR(_xludf.MINIFS(Trade_Reports!$I$3:$I$502,Trade_Reports!$H$3:$H$502,$A148,Trade_Reports!$M$3:$M$502,"APPROVED",Trade_Reports!$Q$3:$Q$502,"&lt;="&amp;Settings!$B$4,Trade_Reports!$W$3:$W$502,"&gt;="&amp;0.5*$P148),""))))</f>
        <v/>
      </c>
      <c r="G148" s="17" t="str">
        <f>IF($A148="","",IF($K148=0,"",IFERROR(_xludf.MINIFS(Trade_Reports!$I$3:$I$502,Trade_Reports!$H$3:$H$502,$A148,Trade_Reports!$M$3:$M$502,"APPROVED",Trade_Reports!$Q$3:$Q$502,"&lt;="&amp;Settings!$B$4),"")))</f>
        <v/>
      </c>
      <c r="H148" s="17" t="str">
        <f>IF($A148="","",IF($K148=0,"",IFERROR(_xludf.MAXIFS(Trade_Reports!$I$3:$I$502,Trade_Reports!$H$3:$H$502,$A148,Trade_Reports!$M$3:$M$502,"APPROVED",Trade_Reports!$Q$3:$Q$502,"&lt;="&amp;Settings!$B$4),"")))</f>
        <v/>
      </c>
      <c r="I148" s="17" t="str">
        <f>IF($A148="","",IF($F148="","",IF($Q148="","",IF(ABS($F148-$Q148)/$Q148&lt;=Settings!$B$18,"STABLE",IF($F148&gt;$Q148,"UP","DOWN")))))</f>
        <v/>
      </c>
      <c r="J148" s="18" t="str">
        <f>IF($A148="","",IF($K148=0,"",MIN(100,ROUND($K148/Settings!$B$14*100,0))))</f>
        <v/>
      </c>
      <c r="K148" s="17" t="str">
        <f>IF($A148="","",COUNTIFS(Trade_Reports!$H$3:$H$502,$A148,Trade_Reports!$M$3:$M$502,"APPROVED",Trade_Reports!$Q$3:$Q$502,"&lt;="&amp;Settings!$B$4))</f>
        <v/>
      </c>
      <c r="L148" s="19" t="str">
        <f>IF($A148="","",IF($K148=0,"",IFERROR(_xludf.MAXIFS(Trade_Reports!$O$3:$O$502,Trade_Reports!$H$3:$H$502,$A148,Trade_Reports!$M$3:$M$502,"APPROVED"),"")))</f>
        <v/>
      </c>
      <c r="M148" s="16" t="s">
        <v>46</v>
      </c>
      <c r="N148" s="15"/>
      <c r="O148" s="9" t="str">
        <f t="shared" si="0"/>
        <v/>
      </c>
      <c r="P148" s="2" t="str">
        <f>IF($A148="","",SUMIFS(Trade_Reports!$U$3:$U$502,Trade_Reports!$H$3:$H$502,$A148,Trade_Reports!$M$3:$M$502,"APPROVED",Trade_Reports!$Q$3:$Q$502,"&lt;="&amp;Settings!$B$4))</f>
        <v/>
      </c>
      <c r="Q148" s="2" t="str">
        <f>IF($A148="","",SUMIFS(Trade_Reports!$U$3:$U$502,Trade_Reports!$H$3:$H$502,$A148,Trade_Reports!$M$3:$M$502,"APPROVED",Trade_Reports!$Q$3:$Q$502,"&lt;="&amp;Settings!$B$5))</f>
        <v/>
      </c>
      <c r="R148" s="2" t="str">
        <f>IF($A148="","",IF($Q148=0,"",IFERROR(_xludf.MINIFS(Trade_Reports!$I$3:$I$502,Trade_Reports!$H$3:$H$502,$A148,Trade_Reports!$M$3:$M$502,"APPROVED",Trade_Reports!$Q$3:$Q$502,"&lt;="&amp;Settings!$B$5,Trade_Reports!$X$3:$X$502,"&gt;="&amp;0.5*$Q148),"")))</f>
        <v/>
      </c>
      <c r="S148" s="2" t="str">
        <f>IF($A148="","",COUNTIFS(Trade_Reports!$H$3:$H$502,$A148,Trade_Reports!$M$3:$M$502,"APPROVED",Trade_Reports!$Q$3:$Q$502,"&lt;="&amp;Settings!$B$5))</f>
        <v/>
      </c>
      <c r="T148" s="2"/>
      <c r="U148" s="2"/>
      <c r="V148" s="21" t="str">
        <f>IF(OR($A148="",ISERROR(SEARCH("_",$A148))),"",IFERROR(SUMIFS(Trade_Reports!$Z$3:$Z$502,Trade_Reports!$H$3:$H$502,$A148,Trade_Reports!$M$3:$M$502,"APPROVED")/SUMIFS(Trade_Reports!$U$3:$U$502,Trade_Reports!$H$3:$H$502,$A148,Trade_Reports!$M$3:$M$502,"APPROVED"),""))</f>
        <v/>
      </c>
      <c r="W148" s="17" t="str">
        <f t="shared" si="1"/>
        <v/>
      </c>
      <c r="X148" s="2"/>
      <c r="Y148" s="2"/>
      <c r="Z148" s="2"/>
    </row>
    <row r="149" spans="1:26" ht="15.75" customHeight="1" x14ac:dyDescent="0.3">
      <c r="A149" s="15"/>
      <c r="B149" s="15"/>
      <c r="C149" s="16"/>
      <c r="D149" s="16"/>
      <c r="E149" s="16"/>
      <c r="F149" s="17" t="str">
        <f>IF($A149="","",IF($K149&lt;Settings!$B$14,"",IF($P149=0,"",IFERROR(_xludf.MINIFS(Trade_Reports!$I$3:$I$502,Trade_Reports!$H$3:$H$502,$A149,Trade_Reports!$M$3:$M$502,"APPROVED",Trade_Reports!$Q$3:$Q$502,"&lt;="&amp;Settings!$B$4,Trade_Reports!$W$3:$W$502,"&gt;="&amp;0.5*$P149),""))))</f>
        <v/>
      </c>
      <c r="G149" s="17" t="str">
        <f>IF($A149="","",IF($K149=0,"",IFERROR(_xludf.MINIFS(Trade_Reports!$I$3:$I$502,Trade_Reports!$H$3:$H$502,$A149,Trade_Reports!$M$3:$M$502,"APPROVED",Trade_Reports!$Q$3:$Q$502,"&lt;="&amp;Settings!$B$4),"")))</f>
        <v/>
      </c>
      <c r="H149" s="17" t="str">
        <f>IF($A149="","",IF($K149=0,"",IFERROR(_xludf.MAXIFS(Trade_Reports!$I$3:$I$502,Trade_Reports!$H$3:$H$502,$A149,Trade_Reports!$M$3:$M$502,"APPROVED",Trade_Reports!$Q$3:$Q$502,"&lt;="&amp;Settings!$B$4),"")))</f>
        <v/>
      </c>
      <c r="I149" s="17" t="str">
        <f>IF($A149="","",IF($F149="","",IF($Q149="","",IF(ABS($F149-$Q149)/$Q149&lt;=Settings!$B$18,"STABLE",IF($F149&gt;$Q149,"UP","DOWN")))))</f>
        <v/>
      </c>
      <c r="J149" s="18" t="str">
        <f>IF($A149="","",IF($K149=0,"",MIN(100,ROUND($K149/Settings!$B$14*100,0))))</f>
        <v/>
      </c>
      <c r="K149" s="17" t="str">
        <f>IF($A149="","",COUNTIFS(Trade_Reports!$H$3:$H$502,$A149,Trade_Reports!$M$3:$M$502,"APPROVED",Trade_Reports!$Q$3:$Q$502,"&lt;="&amp;Settings!$B$4))</f>
        <v/>
      </c>
      <c r="L149" s="19" t="str">
        <f>IF($A149="","",IF($K149=0,"",IFERROR(_xludf.MAXIFS(Trade_Reports!$O$3:$O$502,Trade_Reports!$H$3:$H$502,$A149,Trade_Reports!$M$3:$M$502,"APPROVED"),"")))</f>
        <v/>
      </c>
      <c r="M149" s="16" t="s">
        <v>46</v>
      </c>
      <c r="N149" s="15"/>
      <c r="O149" s="9" t="str">
        <f t="shared" si="0"/>
        <v/>
      </c>
      <c r="P149" s="2" t="str">
        <f>IF($A149="","",SUMIFS(Trade_Reports!$U$3:$U$502,Trade_Reports!$H$3:$H$502,$A149,Trade_Reports!$M$3:$M$502,"APPROVED",Trade_Reports!$Q$3:$Q$502,"&lt;="&amp;Settings!$B$4))</f>
        <v/>
      </c>
      <c r="Q149" s="2" t="str">
        <f>IF($A149="","",SUMIFS(Trade_Reports!$U$3:$U$502,Trade_Reports!$H$3:$H$502,$A149,Trade_Reports!$M$3:$M$502,"APPROVED",Trade_Reports!$Q$3:$Q$502,"&lt;="&amp;Settings!$B$5))</f>
        <v/>
      </c>
      <c r="R149" s="2" t="str">
        <f>IF($A149="","",IF($Q149=0,"",IFERROR(_xludf.MINIFS(Trade_Reports!$I$3:$I$502,Trade_Reports!$H$3:$H$502,$A149,Trade_Reports!$M$3:$M$502,"APPROVED",Trade_Reports!$Q$3:$Q$502,"&lt;="&amp;Settings!$B$5,Trade_Reports!$X$3:$X$502,"&gt;="&amp;0.5*$Q149),"")))</f>
        <v/>
      </c>
      <c r="S149" s="2" t="str">
        <f>IF($A149="","",COUNTIFS(Trade_Reports!$H$3:$H$502,$A149,Trade_Reports!$M$3:$M$502,"APPROVED",Trade_Reports!$Q$3:$Q$502,"&lt;="&amp;Settings!$B$5))</f>
        <v/>
      </c>
      <c r="T149" s="2"/>
      <c r="U149" s="2"/>
      <c r="V149" s="21" t="str">
        <f>IF(OR($A149="",ISERROR(SEARCH("_",$A149))),"",IFERROR(SUMIFS(Trade_Reports!$Z$3:$Z$502,Trade_Reports!$H$3:$H$502,$A149,Trade_Reports!$M$3:$M$502,"APPROVED")/SUMIFS(Trade_Reports!$U$3:$U$502,Trade_Reports!$H$3:$H$502,$A149,Trade_Reports!$M$3:$M$502,"APPROVED"),""))</f>
        <v/>
      </c>
      <c r="W149" s="17" t="str">
        <f t="shared" si="1"/>
        <v/>
      </c>
      <c r="X149" s="2"/>
      <c r="Y149" s="2"/>
      <c r="Z149" s="2"/>
    </row>
    <row r="150" spans="1:26" ht="15.75" customHeight="1" x14ac:dyDescent="0.3">
      <c r="A150" s="15"/>
      <c r="B150" s="15"/>
      <c r="C150" s="16"/>
      <c r="D150" s="16"/>
      <c r="E150" s="16"/>
      <c r="F150" s="17" t="str">
        <f>IF($A150="","",IF($K150&lt;Settings!$B$14,"",IF($P150=0,"",IFERROR(_xludf.MINIFS(Trade_Reports!$I$3:$I$502,Trade_Reports!$H$3:$H$502,$A150,Trade_Reports!$M$3:$M$502,"APPROVED",Trade_Reports!$Q$3:$Q$502,"&lt;="&amp;Settings!$B$4,Trade_Reports!$W$3:$W$502,"&gt;="&amp;0.5*$P150),""))))</f>
        <v/>
      </c>
      <c r="G150" s="17" t="str">
        <f>IF($A150="","",IF($K150=0,"",IFERROR(_xludf.MINIFS(Trade_Reports!$I$3:$I$502,Trade_Reports!$H$3:$H$502,$A150,Trade_Reports!$M$3:$M$502,"APPROVED",Trade_Reports!$Q$3:$Q$502,"&lt;="&amp;Settings!$B$4),"")))</f>
        <v/>
      </c>
      <c r="H150" s="17" t="str">
        <f>IF($A150="","",IF($K150=0,"",IFERROR(_xludf.MAXIFS(Trade_Reports!$I$3:$I$502,Trade_Reports!$H$3:$H$502,$A150,Trade_Reports!$M$3:$M$502,"APPROVED",Trade_Reports!$Q$3:$Q$502,"&lt;="&amp;Settings!$B$4),"")))</f>
        <v/>
      </c>
      <c r="I150" s="17" t="str">
        <f>IF($A150="","",IF($F150="","",IF($Q150="","",IF(ABS($F150-$Q150)/$Q150&lt;=Settings!$B$18,"STABLE",IF($F150&gt;$Q150,"UP","DOWN")))))</f>
        <v/>
      </c>
      <c r="J150" s="18" t="str">
        <f>IF($A150="","",IF($K150=0,"",MIN(100,ROUND($K150/Settings!$B$14*100,0))))</f>
        <v/>
      </c>
      <c r="K150" s="17" t="str">
        <f>IF($A150="","",COUNTIFS(Trade_Reports!$H$3:$H$502,$A150,Trade_Reports!$M$3:$M$502,"APPROVED",Trade_Reports!$Q$3:$Q$502,"&lt;="&amp;Settings!$B$4))</f>
        <v/>
      </c>
      <c r="L150" s="19" t="str">
        <f>IF($A150="","",IF($K150=0,"",IFERROR(_xludf.MAXIFS(Trade_Reports!$O$3:$O$502,Trade_Reports!$H$3:$H$502,$A150,Trade_Reports!$M$3:$M$502,"APPROVED"),"")))</f>
        <v/>
      </c>
      <c r="M150" s="16" t="s">
        <v>46</v>
      </c>
      <c r="N150" s="15"/>
      <c r="O150" s="9" t="str">
        <f t="shared" si="0"/>
        <v/>
      </c>
      <c r="P150" s="2" t="str">
        <f>IF($A150="","",SUMIFS(Trade_Reports!$U$3:$U$502,Trade_Reports!$H$3:$H$502,$A150,Trade_Reports!$M$3:$M$502,"APPROVED",Trade_Reports!$Q$3:$Q$502,"&lt;="&amp;Settings!$B$4))</f>
        <v/>
      </c>
      <c r="Q150" s="2" t="str">
        <f>IF($A150="","",SUMIFS(Trade_Reports!$U$3:$U$502,Trade_Reports!$H$3:$H$502,$A150,Trade_Reports!$M$3:$M$502,"APPROVED",Trade_Reports!$Q$3:$Q$502,"&lt;="&amp;Settings!$B$5))</f>
        <v/>
      </c>
      <c r="R150" s="2" t="str">
        <f>IF($A150="","",IF($Q150=0,"",IFERROR(_xludf.MINIFS(Trade_Reports!$I$3:$I$502,Trade_Reports!$H$3:$H$502,$A150,Trade_Reports!$M$3:$M$502,"APPROVED",Trade_Reports!$Q$3:$Q$502,"&lt;="&amp;Settings!$B$5,Trade_Reports!$X$3:$X$502,"&gt;="&amp;0.5*$Q150),"")))</f>
        <v/>
      </c>
      <c r="S150" s="2" t="str">
        <f>IF($A150="","",COUNTIFS(Trade_Reports!$H$3:$H$502,$A150,Trade_Reports!$M$3:$M$502,"APPROVED",Trade_Reports!$Q$3:$Q$502,"&lt;="&amp;Settings!$B$5))</f>
        <v/>
      </c>
      <c r="T150" s="2"/>
      <c r="U150" s="2"/>
      <c r="V150" s="21" t="str">
        <f>IF(OR($A150="",ISERROR(SEARCH("_",$A150))),"",IFERROR(SUMIFS(Trade_Reports!$Z$3:$Z$502,Trade_Reports!$H$3:$H$502,$A150,Trade_Reports!$M$3:$M$502,"APPROVED")/SUMIFS(Trade_Reports!$U$3:$U$502,Trade_Reports!$H$3:$H$502,$A150,Trade_Reports!$M$3:$M$502,"APPROVED"),""))</f>
        <v/>
      </c>
      <c r="W150" s="17" t="str">
        <f t="shared" si="1"/>
        <v/>
      </c>
      <c r="X150" s="2"/>
      <c r="Y150" s="2"/>
      <c r="Z150" s="2"/>
    </row>
    <row r="151" spans="1:26" ht="15.75" customHeight="1" x14ac:dyDescent="0.3">
      <c r="A151" s="15"/>
      <c r="B151" s="15"/>
      <c r="C151" s="16"/>
      <c r="D151" s="16"/>
      <c r="E151" s="16"/>
      <c r="F151" s="17" t="str">
        <f>IF($A151="","",IF($K151&lt;Settings!$B$14,"",IF($P151=0,"",IFERROR(_xludf.MINIFS(Trade_Reports!$I$3:$I$502,Trade_Reports!$H$3:$H$502,$A151,Trade_Reports!$M$3:$M$502,"APPROVED",Trade_Reports!$Q$3:$Q$502,"&lt;="&amp;Settings!$B$4,Trade_Reports!$W$3:$W$502,"&gt;="&amp;0.5*$P151),""))))</f>
        <v/>
      </c>
      <c r="G151" s="17" t="str">
        <f>IF($A151="","",IF($K151=0,"",IFERROR(_xludf.MINIFS(Trade_Reports!$I$3:$I$502,Trade_Reports!$H$3:$H$502,$A151,Trade_Reports!$M$3:$M$502,"APPROVED",Trade_Reports!$Q$3:$Q$502,"&lt;="&amp;Settings!$B$4),"")))</f>
        <v/>
      </c>
      <c r="H151" s="17" t="str">
        <f>IF($A151="","",IF($K151=0,"",IFERROR(_xludf.MAXIFS(Trade_Reports!$I$3:$I$502,Trade_Reports!$H$3:$H$502,$A151,Trade_Reports!$M$3:$M$502,"APPROVED",Trade_Reports!$Q$3:$Q$502,"&lt;="&amp;Settings!$B$4),"")))</f>
        <v/>
      </c>
      <c r="I151" s="17" t="str">
        <f>IF($A151="","",IF($F151="","",IF($Q151="","",IF(ABS($F151-$Q151)/$Q151&lt;=Settings!$B$18,"STABLE",IF($F151&gt;$Q151,"UP","DOWN")))))</f>
        <v/>
      </c>
      <c r="J151" s="18" t="str">
        <f>IF($A151="","",IF($K151=0,"",MIN(100,ROUND($K151/Settings!$B$14*100,0))))</f>
        <v/>
      </c>
      <c r="K151" s="17" t="str">
        <f>IF($A151="","",COUNTIFS(Trade_Reports!$H$3:$H$502,$A151,Trade_Reports!$M$3:$M$502,"APPROVED",Trade_Reports!$Q$3:$Q$502,"&lt;="&amp;Settings!$B$4))</f>
        <v/>
      </c>
      <c r="L151" s="19" t="str">
        <f>IF($A151="","",IF($K151=0,"",IFERROR(_xludf.MAXIFS(Trade_Reports!$O$3:$O$502,Trade_Reports!$H$3:$H$502,$A151,Trade_Reports!$M$3:$M$502,"APPROVED"),"")))</f>
        <v/>
      </c>
      <c r="M151" s="16" t="s">
        <v>46</v>
      </c>
      <c r="N151" s="15"/>
      <c r="O151" s="9" t="str">
        <f t="shared" si="0"/>
        <v/>
      </c>
      <c r="P151" s="2" t="str">
        <f>IF($A151="","",SUMIFS(Trade_Reports!$U$3:$U$502,Trade_Reports!$H$3:$H$502,$A151,Trade_Reports!$M$3:$M$502,"APPROVED",Trade_Reports!$Q$3:$Q$502,"&lt;="&amp;Settings!$B$4))</f>
        <v/>
      </c>
      <c r="Q151" s="2" t="str">
        <f>IF($A151="","",SUMIFS(Trade_Reports!$U$3:$U$502,Trade_Reports!$H$3:$H$502,$A151,Trade_Reports!$M$3:$M$502,"APPROVED",Trade_Reports!$Q$3:$Q$502,"&lt;="&amp;Settings!$B$5))</f>
        <v/>
      </c>
      <c r="R151" s="2" t="str">
        <f>IF($A151="","",IF($Q151=0,"",IFERROR(_xludf.MINIFS(Trade_Reports!$I$3:$I$502,Trade_Reports!$H$3:$H$502,$A151,Trade_Reports!$M$3:$M$502,"APPROVED",Trade_Reports!$Q$3:$Q$502,"&lt;="&amp;Settings!$B$5,Trade_Reports!$X$3:$X$502,"&gt;="&amp;0.5*$Q151),"")))</f>
        <v/>
      </c>
      <c r="S151" s="2" t="str">
        <f>IF($A151="","",COUNTIFS(Trade_Reports!$H$3:$H$502,$A151,Trade_Reports!$M$3:$M$502,"APPROVED",Trade_Reports!$Q$3:$Q$502,"&lt;="&amp;Settings!$B$5))</f>
        <v/>
      </c>
      <c r="T151" s="2"/>
      <c r="U151" s="2"/>
      <c r="V151" s="21" t="str">
        <f>IF(OR($A151="",ISERROR(SEARCH("_",$A151))),"",IFERROR(SUMIFS(Trade_Reports!$Z$3:$Z$502,Trade_Reports!$H$3:$H$502,$A151,Trade_Reports!$M$3:$M$502,"APPROVED")/SUMIFS(Trade_Reports!$U$3:$U$502,Trade_Reports!$H$3:$H$502,$A151,Trade_Reports!$M$3:$M$502,"APPROVED"),""))</f>
        <v/>
      </c>
      <c r="W151" s="17" t="str">
        <f t="shared" si="1"/>
        <v/>
      </c>
      <c r="X151" s="2"/>
      <c r="Y151" s="2"/>
      <c r="Z151" s="2"/>
    </row>
    <row r="152" spans="1:26" ht="15.75" customHeight="1" x14ac:dyDescent="0.3">
      <c r="A152" s="15"/>
      <c r="B152" s="15"/>
      <c r="C152" s="16"/>
      <c r="D152" s="16"/>
      <c r="E152" s="16"/>
      <c r="F152" s="17" t="str">
        <f>IF($A152="","",IF($K152&lt;Settings!$B$14,"",IF($P152=0,"",IFERROR(_xludf.MINIFS(Trade_Reports!$I$3:$I$502,Trade_Reports!$H$3:$H$502,$A152,Trade_Reports!$M$3:$M$502,"APPROVED",Trade_Reports!$Q$3:$Q$502,"&lt;="&amp;Settings!$B$4,Trade_Reports!$W$3:$W$502,"&gt;="&amp;0.5*$P152),""))))</f>
        <v/>
      </c>
      <c r="G152" s="17" t="str">
        <f>IF($A152="","",IF($K152=0,"",IFERROR(_xludf.MINIFS(Trade_Reports!$I$3:$I$502,Trade_Reports!$H$3:$H$502,$A152,Trade_Reports!$M$3:$M$502,"APPROVED",Trade_Reports!$Q$3:$Q$502,"&lt;="&amp;Settings!$B$4),"")))</f>
        <v/>
      </c>
      <c r="H152" s="17" t="str">
        <f>IF($A152="","",IF($K152=0,"",IFERROR(_xludf.MAXIFS(Trade_Reports!$I$3:$I$502,Trade_Reports!$H$3:$H$502,$A152,Trade_Reports!$M$3:$M$502,"APPROVED",Trade_Reports!$Q$3:$Q$502,"&lt;="&amp;Settings!$B$4),"")))</f>
        <v/>
      </c>
      <c r="I152" s="17" t="str">
        <f>IF($A152="","",IF($F152="","",IF($Q152="","",IF(ABS($F152-$Q152)/$Q152&lt;=Settings!$B$18,"STABLE",IF($F152&gt;$Q152,"UP","DOWN")))))</f>
        <v/>
      </c>
      <c r="J152" s="18" t="str">
        <f>IF($A152="","",IF($K152=0,"",MIN(100,ROUND($K152/Settings!$B$14*100,0))))</f>
        <v/>
      </c>
      <c r="K152" s="17" t="str">
        <f>IF($A152="","",COUNTIFS(Trade_Reports!$H$3:$H$502,$A152,Trade_Reports!$M$3:$M$502,"APPROVED",Trade_Reports!$Q$3:$Q$502,"&lt;="&amp;Settings!$B$4))</f>
        <v/>
      </c>
      <c r="L152" s="19" t="str">
        <f>IF($A152="","",IF($K152=0,"",IFERROR(_xludf.MAXIFS(Trade_Reports!$O$3:$O$502,Trade_Reports!$H$3:$H$502,$A152,Trade_Reports!$M$3:$M$502,"APPROVED"),"")))</f>
        <v/>
      </c>
      <c r="M152" s="16" t="s">
        <v>46</v>
      </c>
      <c r="N152" s="15"/>
      <c r="O152" s="9" t="str">
        <f t="shared" si="0"/>
        <v/>
      </c>
      <c r="P152" s="2" t="str">
        <f>IF($A152="","",SUMIFS(Trade_Reports!$U$3:$U$502,Trade_Reports!$H$3:$H$502,$A152,Trade_Reports!$M$3:$M$502,"APPROVED",Trade_Reports!$Q$3:$Q$502,"&lt;="&amp;Settings!$B$4))</f>
        <v/>
      </c>
      <c r="Q152" s="2" t="str">
        <f>IF($A152="","",SUMIFS(Trade_Reports!$U$3:$U$502,Trade_Reports!$H$3:$H$502,$A152,Trade_Reports!$M$3:$M$502,"APPROVED",Trade_Reports!$Q$3:$Q$502,"&lt;="&amp;Settings!$B$5))</f>
        <v/>
      </c>
      <c r="R152" s="2" t="str">
        <f>IF($A152="","",IF($Q152=0,"",IFERROR(_xludf.MINIFS(Trade_Reports!$I$3:$I$502,Trade_Reports!$H$3:$H$502,$A152,Trade_Reports!$M$3:$M$502,"APPROVED",Trade_Reports!$Q$3:$Q$502,"&lt;="&amp;Settings!$B$5,Trade_Reports!$X$3:$X$502,"&gt;="&amp;0.5*$Q152),"")))</f>
        <v/>
      </c>
      <c r="S152" s="2" t="str">
        <f>IF($A152="","",COUNTIFS(Trade_Reports!$H$3:$H$502,$A152,Trade_Reports!$M$3:$M$502,"APPROVED",Trade_Reports!$Q$3:$Q$502,"&lt;="&amp;Settings!$B$5))</f>
        <v/>
      </c>
      <c r="T152" s="2"/>
      <c r="U152" s="2"/>
      <c r="V152" s="21" t="str">
        <f>IF(OR($A152="",ISERROR(SEARCH("_",$A152))),"",IFERROR(SUMIFS(Trade_Reports!$Z$3:$Z$502,Trade_Reports!$H$3:$H$502,$A152,Trade_Reports!$M$3:$M$502,"APPROVED")/SUMIFS(Trade_Reports!$U$3:$U$502,Trade_Reports!$H$3:$H$502,$A152,Trade_Reports!$M$3:$M$502,"APPROVED"),""))</f>
        <v/>
      </c>
      <c r="W152" s="17" t="str">
        <f t="shared" si="1"/>
        <v/>
      </c>
      <c r="X152" s="2"/>
      <c r="Y152" s="2"/>
      <c r="Z152" s="2"/>
    </row>
    <row r="153" spans="1:26" ht="15.75" customHeight="1" x14ac:dyDescent="0.3">
      <c r="A153" s="15"/>
      <c r="B153" s="15"/>
      <c r="C153" s="16"/>
      <c r="D153" s="16"/>
      <c r="E153" s="16"/>
      <c r="F153" s="17" t="str">
        <f>IF($A153="","",IF($K153&lt;Settings!$B$14,"",IF($P153=0,"",IFERROR(_xludf.MINIFS(Trade_Reports!$I$3:$I$502,Trade_Reports!$H$3:$H$502,$A153,Trade_Reports!$M$3:$M$502,"APPROVED",Trade_Reports!$Q$3:$Q$502,"&lt;="&amp;Settings!$B$4,Trade_Reports!$W$3:$W$502,"&gt;="&amp;0.5*$P153),""))))</f>
        <v/>
      </c>
      <c r="G153" s="17" t="str">
        <f>IF($A153="","",IF($K153=0,"",IFERROR(_xludf.MINIFS(Trade_Reports!$I$3:$I$502,Trade_Reports!$H$3:$H$502,$A153,Trade_Reports!$M$3:$M$502,"APPROVED",Trade_Reports!$Q$3:$Q$502,"&lt;="&amp;Settings!$B$4),"")))</f>
        <v/>
      </c>
      <c r="H153" s="17" t="str">
        <f>IF($A153="","",IF($K153=0,"",IFERROR(_xludf.MAXIFS(Trade_Reports!$I$3:$I$502,Trade_Reports!$H$3:$H$502,$A153,Trade_Reports!$M$3:$M$502,"APPROVED",Trade_Reports!$Q$3:$Q$502,"&lt;="&amp;Settings!$B$4),"")))</f>
        <v/>
      </c>
      <c r="I153" s="17" t="str">
        <f>IF($A153="","",IF($F153="","",IF($Q153="","",IF(ABS($F153-$Q153)/$Q153&lt;=Settings!$B$18,"STABLE",IF($F153&gt;$Q153,"UP","DOWN")))))</f>
        <v/>
      </c>
      <c r="J153" s="18" t="str">
        <f>IF($A153="","",IF($K153=0,"",MIN(100,ROUND($K153/Settings!$B$14*100,0))))</f>
        <v/>
      </c>
      <c r="K153" s="17" t="str">
        <f>IF($A153="","",COUNTIFS(Trade_Reports!$H$3:$H$502,$A153,Trade_Reports!$M$3:$M$502,"APPROVED",Trade_Reports!$Q$3:$Q$502,"&lt;="&amp;Settings!$B$4))</f>
        <v/>
      </c>
      <c r="L153" s="19" t="str">
        <f>IF($A153="","",IF($K153=0,"",IFERROR(_xludf.MAXIFS(Trade_Reports!$O$3:$O$502,Trade_Reports!$H$3:$H$502,$A153,Trade_Reports!$M$3:$M$502,"APPROVED"),"")))</f>
        <v/>
      </c>
      <c r="M153" s="16" t="s">
        <v>46</v>
      </c>
      <c r="N153" s="15"/>
      <c r="O153" s="9" t="str">
        <f t="shared" si="0"/>
        <v/>
      </c>
      <c r="P153" s="2" t="str">
        <f>IF($A153="","",SUMIFS(Trade_Reports!$U$3:$U$502,Trade_Reports!$H$3:$H$502,$A153,Trade_Reports!$M$3:$M$502,"APPROVED",Trade_Reports!$Q$3:$Q$502,"&lt;="&amp;Settings!$B$4))</f>
        <v/>
      </c>
      <c r="Q153" s="2" t="str">
        <f>IF($A153="","",SUMIFS(Trade_Reports!$U$3:$U$502,Trade_Reports!$H$3:$H$502,$A153,Trade_Reports!$M$3:$M$502,"APPROVED",Trade_Reports!$Q$3:$Q$502,"&lt;="&amp;Settings!$B$5))</f>
        <v/>
      </c>
      <c r="R153" s="2" t="str">
        <f>IF($A153="","",IF($Q153=0,"",IFERROR(_xludf.MINIFS(Trade_Reports!$I$3:$I$502,Trade_Reports!$H$3:$H$502,$A153,Trade_Reports!$M$3:$M$502,"APPROVED",Trade_Reports!$Q$3:$Q$502,"&lt;="&amp;Settings!$B$5,Trade_Reports!$X$3:$X$502,"&gt;="&amp;0.5*$Q153),"")))</f>
        <v/>
      </c>
      <c r="S153" s="2" t="str">
        <f>IF($A153="","",COUNTIFS(Trade_Reports!$H$3:$H$502,$A153,Trade_Reports!$M$3:$M$502,"APPROVED",Trade_Reports!$Q$3:$Q$502,"&lt;="&amp;Settings!$B$5))</f>
        <v/>
      </c>
      <c r="T153" s="2"/>
      <c r="U153" s="2"/>
      <c r="V153" s="21" t="str">
        <f>IF(OR($A153="",ISERROR(SEARCH("_",$A153))),"",IFERROR(SUMIFS(Trade_Reports!$Z$3:$Z$502,Trade_Reports!$H$3:$H$502,$A153,Trade_Reports!$M$3:$M$502,"APPROVED")/SUMIFS(Trade_Reports!$U$3:$U$502,Trade_Reports!$H$3:$H$502,$A153,Trade_Reports!$M$3:$M$502,"APPROVED"),""))</f>
        <v/>
      </c>
      <c r="W153" s="17" t="str">
        <f t="shared" si="1"/>
        <v/>
      </c>
      <c r="X153" s="2"/>
      <c r="Y153" s="2"/>
      <c r="Z153" s="2"/>
    </row>
    <row r="154" spans="1:26" ht="15.75" customHeight="1" x14ac:dyDescent="0.3">
      <c r="A154" s="15"/>
      <c r="B154" s="15"/>
      <c r="C154" s="16"/>
      <c r="D154" s="16"/>
      <c r="E154" s="16"/>
      <c r="F154" s="17" t="str">
        <f>IF($A154="","",IF($K154&lt;Settings!$B$14,"",IF($P154=0,"",IFERROR(_xludf.MINIFS(Trade_Reports!$I$3:$I$502,Trade_Reports!$H$3:$H$502,$A154,Trade_Reports!$M$3:$M$502,"APPROVED",Trade_Reports!$Q$3:$Q$502,"&lt;="&amp;Settings!$B$4,Trade_Reports!$W$3:$W$502,"&gt;="&amp;0.5*$P154),""))))</f>
        <v/>
      </c>
      <c r="G154" s="17" t="str">
        <f>IF($A154="","",IF($K154=0,"",IFERROR(_xludf.MINIFS(Trade_Reports!$I$3:$I$502,Trade_Reports!$H$3:$H$502,$A154,Trade_Reports!$M$3:$M$502,"APPROVED",Trade_Reports!$Q$3:$Q$502,"&lt;="&amp;Settings!$B$4),"")))</f>
        <v/>
      </c>
      <c r="H154" s="17" t="str">
        <f>IF($A154="","",IF($K154=0,"",IFERROR(_xludf.MAXIFS(Trade_Reports!$I$3:$I$502,Trade_Reports!$H$3:$H$502,$A154,Trade_Reports!$M$3:$M$502,"APPROVED",Trade_Reports!$Q$3:$Q$502,"&lt;="&amp;Settings!$B$4),"")))</f>
        <v/>
      </c>
      <c r="I154" s="17" t="str">
        <f>IF($A154="","",IF($F154="","",IF($Q154="","",IF(ABS($F154-$Q154)/$Q154&lt;=Settings!$B$18,"STABLE",IF($F154&gt;$Q154,"UP","DOWN")))))</f>
        <v/>
      </c>
      <c r="J154" s="18" t="str">
        <f>IF($A154="","",IF($K154=0,"",MIN(100,ROUND($K154/Settings!$B$14*100,0))))</f>
        <v/>
      </c>
      <c r="K154" s="17" t="str">
        <f>IF($A154="","",COUNTIFS(Trade_Reports!$H$3:$H$502,$A154,Trade_Reports!$M$3:$M$502,"APPROVED",Trade_Reports!$Q$3:$Q$502,"&lt;="&amp;Settings!$B$4))</f>
        <v/>
      </c>
      <c r="L154" s="19" t="str">
        <f>IF($A154="","",IF($K154=0,"",IFERROR(_xludf.MAXIFS(Trade_Reports!$O$3:$O$502,Trade_Reports!$H$3:$H$502,$A154,Trade_Reports!$M$3:$M$502,"APPROVED"),"")))</f>
        <v/>
      </c>
      <c r="M154" s="16" t="s">
        <v>46</v>
      </c>
      <c r="N154" s="15"/>
      <c r="O154" s="9" t="str">
        <f t="shared" si="0"/>
        <v/>
      </c>
      <c r="P154" s="2" t="str">
        <f>IF($A154="","",SUMIFS(Trade_Reports!$U$3:$U$502,Trade_Reports!$H$3:$H$502,$A154,Trade_Reports!$M$3:$M$502,"APPROVED",Trade_Reports!$Q$3:$Q$502,"&lt;="&amp;Settings!$B$4))</f>
        <v/>
      </c>
      <c r="Q154" s="2" t="str">
        <f>IF($A154="","",SUMIFS(Trade_Reports!$U$3:$U$502,Trade_Reports!$H$3:$H$502,$A154,Trade_Reports!$M$3:$M$502,"APPROVED",Trade_Reports!$Q$3:$Q$502,"&lt;="&amp;Settings!$B$5))</f>
        <v/>
      </c>
      <c r="R154" s="2" t="str">
        <f>IF($A154="","",IF($Q154=0,"",IFERROR(_xludf.MINIFS(Trade_Reports!$I$3:$I$502,Trade_Reports!$H$3:$H$502,$A154,Trade_Reports!$M$3:$M$502,"APPROVED",Trade_Reports!$Q$3:$Q$502,"&lt;="&amp;Settings!$B$5,Trade_Reports!$X$3:$X$502,"&gt;="&amp;0.5*$Q154),"")))</f>
        <v/>
      </c>
      <c r="S154" s="2" t="str">
        <f>IF($A154="","",COUNTIFS(Trade_Reports!$H$3:$H$502,$A154,Trade_Reports!$M$3:$M$502,"APPROVED",Trade_Reports!$Q$3:$Q$502,"&lt;="&amp;Settings!$B$5))</f>
        <v/>
      </c>
      <c r="T154" s="2"/>
      <c r="U154" s="2"/>
      <c r="V154" s="21" t="str">
        <f>IF(OR($A154="",ISERROR(SEARCH("_",$A154))),"",IFERROR(SUMIFS(Trade_Reports!$Z$3:$Z$502,Trade_Reports!$H$3:$H$502,$A154,Trade_Reports!$M$3:$M$502,"APPROVED")/SUMIFS(Trade_Reports!$U$3:$U$502,Trade_Reports!$H$3:$H$502,$A154,Trade_Reports!$M$3:$M$502,"APPROVED"),""))</f>
        <v/>
      </c>
      <c r="W154" s="17" t="str">
        <f t="shared" si="1"/>
        <v/>
      </c>
      <c r="X154" s="2"/>
      <c r="Y154" s="2"/>
      <c r="Z154" s="2"/>
    </row>
    <row r="155" spans="1:26" ht="15.75" customHeight="1" x14ac:dyDescent="0.3">
      <c r="A155" s="15"/>
      <c r="B155" s="15"/>
      <c r="C155" s="16"/>
      <c r="D155" s="16"/>
      <c r="E155" s="16"/>
      <c r="F155" s="17" t="str">
        <f>IF($A155="","",IF($K155&lt;Settings!$B$14,"",IF($P155=0,"",IFERROR(_xludf.MINIFS(Trade_Reports!$I$3:$I$502,Trade_Reports!$H$3:$H$502,$A155,Trade_Reports!$M$3:$M$502,"APPROVED",Trade_Reports!$Q$3:$Q$502,"&lt;="&amp;Settings!$B$4,Trade_Reports!$W$3:$W$502,"&gt;="&amp;0.5*$P155),""))))</f>
        <v/>
      </c>
      <c r="G155" s="17" t="str">
        <f>IF($A155="","",IF($K155=0,"",IFERROR(_xludf.MINIFS(Trade_Reports!$I$3:$I$502,Trade_Reports!$H$3:$H$502,$A155,Trade_Reports!$M$3:$M$502,"APPROVED",Trade_Reports!$Q$3:$Q$502,"&lt;="&amp;Settings!$B$4),"")))</f>
        <v/>
      </c>
      <c r="H155" s="17" t="str">
        <f>IF($A155="","",IF($K155=0,"",IFERROR(_xludf.MAXIFS(Trade_Reports!$I$3:$I$502,Trade_Reports!$H$3:$H$502,$A155,Trade_Reports!$M$3:$M$502,"APPROVED",Trade_Reports!$Q$3:$Q$502,"&lt;="&amp;Settings!$B$4),"")))</f>
        <v/>
      </c>
      <c r="I155" s="17" t="str">
        <f>IF($A155="","",IF($F155="","",IF($Q155="","",IF(ABS($F155-$Q155)/$Q155&lt;=Settings!$B$18,"STABLE",IF($F155&gt;$Q155,"UP","DOWN")))))</f>
        <v/>
      </c>
      <c r="J155" s="18" t="str">
        <f>IF($A155="","",IF($K155=0,"",MIN(100,ROUND($K155/Settings!$B$14*100,0))))</f>
        <v/>
      </c>
      <c r="K155" s="17" t="str">
        <f>IF($A155="","",COUNTIFS(Trade_Reports!$H$3:$H$502,$A155,Trade_Reports!$M$3:$M$502,"APPROVED",Trade_Reports!$Q$3:$Q$502,"&lt;="&amp;Settings!$B$4))</f>
        <v/>
      </c>
      <c r="L155" s="19" t="str">
        <f>IF($A155="","",IF($K155=0,"",IFERROR(_xludf.MAXIFS(Trade_Reports!$O$3:$O$502,Trade_Reports!$H$3:$H$502,$A155,Trade_Reports!$M$3:$M$502,"APPROVED"),"")))</f>
        <v/>
      </c>
      <c r="M155" s="16" t="s">
        <v>46</v>
      </c>
      <c r="N155" s="15"/>
      <c r="O155" s="9" t="str">
        <f t="shared" si="0"/>
        <v/>
      </c>
      <c r="P155" s="2" t="str">
        <f>IF($A155="","",SUMIFS(Trade_Reports!$U$3:$U$502,Trade_Reports!$H$3:$H$502,$A155,Trade_Reports!$M$3:$M$502,"APPROVED",Trade_Reports!$Q$3:$Q$502,"&lt;="&amp;Settings!$B$4))</f>
        <v/>
      </c>
      <c r="Q155" s="2" t="str">
        <f>IF($A155="","",SUMIFS(Trade_Reports!$U$3:$U$502,Trade_Reports!$H$3:$H$502,$A155,Trade_Reports!$M$3:$M$502,"APPROVED",Trade_Reports!$Q$3:$Q$502,"&lt;="&amp;Settings!$B$5))</f>
        <v/>
      </c>
      <c r="R155" s="2" t="str">
        <f>IF($A155="","",IF($Q155=0,"",IFERROR(_xludf.MINIFS(Trade_Reports!$I$3:$I$502,Trade_Reports!$H$3:$H$502,$A155,Trade_Reports!$M$3:$M$502,"APPROVED",Trade_Reports!$Q$3:$Q$502,"&lt;="&amp;Settings!$B$5,Trade_Reports!$X$3:$X$502,"&gt;="&amp;0.5*$Q155),"")))</f>
        <v/>
      </c>
      <c r="S155" s="2" t="str">
        <f>IF($A155="","",COUNTIFS(Trade_Reports!$H$3:$H$502,$A155,Trade_Reports!$M$3:$M$502,"APPROVED",Trade_Reports!$Q$3:$Q$502,"&lt;="&amp;Settings!$B$5))</f>
        <v/>
      </c>
      <c r="T155" s="2"/>
      <c r="U155" s="2"/>
      <c r="V155" s="21" t="str">
        <f>IF(OR($A155="",ISERROR(SEARCH("_",$A155))),"",IFERROR(SUMIFS(Trade_Reports!$Z$3:$Z$502,Trade_Reports!$H$3:$H$502,$A155,Trade_Reports!$M$3:$M$502,"APPROVED")/SUMIFS(Trade_Reports!$U$3:$U$502,Trade_Reports!$H$3:$H$502,$A155,Trade_Reports!$M$3:$M$502,"APPROVED"),""))</f>
        <v/>
      </c>
      <c r="W155" s="17" t="str">
        <f t="shared" si="1"/>
        <v/>
      </c>
      <c r="X155" s="2"/>
      <c r="Y155" s="2"/>
      <c r="Z155" s="2"/>
    </row>
    <row r="156" spans="1:26" ht="15.75" customHeight="1" x14ac:dyDescent="0.3">
      <c r="A156" s="15"/>
      <c r="B156" s="15"/>
      <c r="C156" s="16"/>
      <c r="D156" s="16"/>
      <c r="E156" s="16"/>
      <c r="F156" s="17" t="str">
        <f>IF($A156="","",IF($K156&lt;Settings!$B$14,"",IF($P156=0,"",IFERROR(_xludf.MINIFS(Trade_Reports!$I$3:$I$502,Trade_Reports!$H$3:$H$502,$A156,Trade_Reports!$M$3:$M$502,"APPROVED",Trade_Reports!$Q$3:$Q$502,"&lt;="&amp;Settings!$B$4,Trade_Reports!$W$3:$W$502,"&gt;="&amp;0.5*$P156),""))))</f>
        <v/>
      </c>
      <c r="G156" s="17" t="str">
        <f>IF($A156="","",IF($K156=0,"",IFERROR(_xludf.MINIFS(Trade_Reports!$I$3:$I$502,Trade_Reports!$H$3:$H$502,$A156,Trade_Reports!$M$3:$M$502,"APPROVED",Trade_Reports!$Q$3:$Q$502,"&lt;="&amp;Settings!$B$4),"")))</f>
        <v/>
      </c>
      <c r="H156" s="17" t="str">
        <f>IF($A156="","",IF($K156=0,"",IFERROR(_xludf.MAXIFS(Trade_Reports!$I$3:$I$502,Trade_Reports!$H$3:$H$502,$A156,Trade_Reports!$M$3:$M$502,"APPROVED",Trade_Reports!$Q$3:$Q$502,"&lt;="&amp;Settings!$B$4),"")))</f>
        <v/>
      </c>
      <c r="I156" s="17" t="str">
        <f>IF($A156="","",IF($F156="","",IF($Q156="","",IF(ABS($F156-$Q156)/$Q156&lt;=Settings!$B$18,"STABLE",IF($F156&gt;$Q156,"UP","DOWN")))))</f>
        <v/>
      </c>
      <c r="J156" s="18" t="str">
        <f>IF($A156="","",IF($K156=0,"",MIN(100,ROUND($K156/Settings!$B$14*100,0))))</f>
        <v/>
      </c>
      <c r="K156" s="17" t="str">
        <f>IF($A156="","",COUNTIFS(Trade_Reports!$H$3:$H$502,$A156,Trade_Reports!$M$3:$M$502,"APPROVED",Trade_Reports!$Q$3:$Q$502,"&lt;="&amp;Settings!$B$4))</f>
        <v/>
      </c>
      <c r="L156" s="19" t="str">
        <f>IF($A156="","",IF($K156=0,"",IFERROR(_xludf.MAXIFS(Trade_Reports!$O$3:$O$502,Trade_Reports!$H$3:$H$502,$A156,Trade_Reports!$M$3:$M$502,"APPROVED"),"")))</f>
        <v/>
      </c>
      <c r="M156" s="16" t="s">
        <v>46</v>
      </c>
      <c r="N156" s="15"/>
      <c r="O156" s="9" t="str">
        <f t="shared" si="0"/>
        <v/>
      </c>
      <c r="P156" s="2" t="str">
        <f>IF($A156="","",SUMIFS(Trade_Reports!$U$3:$U$502,Trade_Reports!$H$3:$H$502,$A156,Trade_Reports!$M$3:$M$502,"APPROVED",Trade_Reports!$Q$3:$Q$502,"&lt;="&amp;Settings!$B$4))</f>
        <v/>
      </c>
      <c r="Q156" s="2" t="str">
        <f>IF($A156="","",SUMIFS(Trade_Reports!$U$3:$U$502,Trade_Reports!$H$3:$H$502,$A156,Trade_Reports!$M$3:$M$502,"APPROVED",Trade_Reports!$Q$3:$Q$502,"&lt;="&amp;Settings!$B$5))</f>
        <v/>
      </c>
      <c r="R156" s="2" t="str">
        <f>IF($A156="","",IF($Q156=0,"",IFERROR(_xludf.MINIFS(Trade_Reports!$I$3:$I$502,Trade_Reports!$H$3:$H$502,$A156,Trade_Reports!$M$3:$M$502,"APPROVED",Trade_Reports!$Q$3:$Q$502,"&lt;="&amp;Settings!$B$5,Trade_Reports!$X$3:$X$502,"&gt;="&amp;0.5*$Q156),"")))</f>
        <v/>
      </c>
      <c r="S156" s="2" t="str">
        <f>IF($A156="","",COUNTIFS(Trade_Reports!$H$3:$H$502,$A156,Trade_Reports!$M$3:$M$502,"APPROVED",Trade_Reports!$Q$3:$Q$502,"&lt;="&amp;Settings!$B$5))</f>
        <v/>
      </c>
      <c r="T156" s="2"/>
      <c r="U156" s="2"/>
      <c r="V156" s="21" t="str">
        <f>IF(OR($A156="",ISERROR(SEARCH("_",$A156))),"",IFERROR(SUMIFS(Trade_Reports!$Z$3:$Z$502,Trade_Reports!$H$3:$H$502,$A156,Trade_Reports!$M$3:$M$502,"APPROVED")/SUMIFS(Trade_Reports!$U$3:$U$502,Trade_Reports!$H$3:$H$502,$A156,Trade_Reports!$M$3:$M$502,"APPROVED"),""))</f>
        <v/>
      </c>
      <c r="W156" s="17" t="str">
        <f t="shared" si="1"/>
        <v/>
      </c>
      <c r="X156" s="2"/>
      <c r="Y156" s="2"/>
      <c r="Z156" s="2"/>
    </row>
    <row r="157" spans="1:26" ht="15.75" customHeight="1" x14ac:dyDescent="0.3">
      <c r="A157" s="15"/>
      <c r="B157" s="15"/>
      <c r="C157" s="16"/>
      <c r="D157" s="16"/>
      <c r="E157" s="16"/>
      <c r="F157" s="17" t="str">
        <f>IF($A157="","",IF($K157&lt;Settings!$B$14,"",IF($P157=0,"",IFERROR(_xludf.MINIFS(Trade_Reports!$I$3:$I$502,Trade_Reports!$H$3:$H$502,$A157,Trade_Reports!$M$3:$M$502,"APPROVED",Trade_Reports!$Q$3:$Q$502,"&lt;="&amp;Settings!$B$4,Trade_Reports!$W$3:$W$502,"&gt;="&amp;0.5*$P157),""))))</f>
        <v/>
      </c>
      <c r="G157" s="17" t="str">
        <f>IF($A157="","",IF($K157=0,"",IFERROR(_xludf.MINIFS(Trade_Reports!$I$3:$I$502,Trade_Reports!$H$3:$H$502,$A157,Trade_Reports!$M$3:$M$502,"APPROVED",Trade_Reports!$Q$3:$Q$502,"&lt;="&amp;Settings!$B$4),"")))</f>
        <v/>
      </c>
      <c r="H157" s="17" t="str">
        <f>IF($A157="","",IF($K157=0,"",IFERROR(_xludf.MAXIFS(Trade_Reports!$I$3:$I$502,Trade_Reports!$H$3:$H$502,$A157,Trade_Reports!$M$3:$M$502,"APPROVED",Trade_Reports!$Q$3:$Q$502,"&lt;="&amp;Settings!$B$4),"")))</f>
        <v/>
      </c>
      <c r="I157" s="17" t="str">
        <f>IF($A157="","",IF($F157="","",IF($Q157="","",IF(ABS($F157-$Q157)/$Q157&lt;=Settings!$B$18,"STABLE",IF($F157&gt;$Q157,"UP","DOWN")))))</f>
        <v/>
      </c>
      <c r="J157" s="18" t="str">
        <f>IF($A157="","",IF($K157=0,"",MIN(100,ROUND($K157/Settings!$B$14*100,0))))</f>
        <v/>
      </c>
      <c r="K157" s="17" t="str">
        <f>IF($A157="","",COUNTIFS(Trade_Reports!$H$3:$H$502,$A157,Trade_Reports!$M$3:$M$502,"APPROVED",Trade_Reports!$Q$3:$Q$502,"&lt;="&amp;Settings!$B$4))</f>
        <v/>
      </c>
      <c r="L157" s="19" t="str">
        <f>IF($A157="","",IF($K157=0,"",IFERROR(_xludf.MAXIFS(Trade_Reports!$O$3:$O$502,Trade_Reports!$H$3:$H$502,$A157,Trade_Reports!$M$3:$M$502,"APPROVED"),"")))</f>
        <v/>
      </c>
      <c r="M157" s="16" t="s">
        <v>46</v>
      </c>
      <c r="N157" s="15"/>
      <c r="O157" s="9" t="str">
        <f t="shared" si="0"/>
        <v/>
      </c>
      <c r="P157" s="2" t="str">
        <f>IF($A157="","",SUMIFS(Trade_Reports!$U$3:$U$502,Trade_Reports!$H$3:$H$502,$A157,Trade_Reports!$M$3:$M$502,"APPROVED",Trade_Reports!$Q$3:$Q$502,"&lt;="&amp;Settings!$B$4))</f>
        <v/>
      </c>
      <c r="Q157" s="2" t="str">
        <f>IF($A157="","",SUMIFS(Trade_Reports!$U$3:$U$502,Trade_Reports!$H$3:$H$502,$A157,Trade_Reports!$M$3:$M$502,"APPROVED",Trade_Reports!$Q$3:$Q$502,"&lt;="&amp;Settings!$B$5))</f>
        <v/>
      </c>
      <c r="R157" s="2" t="str">
        <f>IF($A157="","",IF($Q157=0,"",IFERROR(_xludf.MINIFS(Trade_Reports!$I$3:$I$502,Trade_Reports!$H$3:$H$502,$A157,Trade_Reports!$M$3:$M$502,"APPROVED",Trade_Reports!$Q$3:$Q$502,"&lt;="&amp;Settings!$B$5,Trade_Reports!$X$3:$X$502,"&gt;="&amp;0.5*$Q157),"")))</f>
        <v/>
      </c>
      <c r="S157" s="2" t="str">
        <f>IF($A157="","",COUNTIFS(Trade_Reports!$H$3:$H$502,$A157,Trade_Reports!$M$3:$M$502,"APPROVED",Trade_Reports!$Q$3:$Q$502,"&lt;="&amp;Settings!$B$5))</f>
        <v/>
      </c>
      <c r="T157" s="2"/>
      <c r="U157" s="2"/>
      <c r="V157" s="21" t="str">
        <f>IF(OR($A157="",ISERROR(SEARCH("_",$A157))),"",IFERROR(SUMIFS(Trade_Reports!$Z$3:$Z$502,Trade_Reports!$H$3:$H$502,$A157,Trade_Reports!$M$3:$M$502,"APPROVED")/SUMIFS(Trade_Reports!$U$3:$U$502,Trade_Reports!$H$3:$H$502,$A157,Trade_Reports!$M$3:$M$502,"APPROVED"),""))</f>
        <v/>
      </c>
      <c r="W157" s="17" t="str">
        <f t="shared" si="1"/>
        <v/>
      </c>
      <c r="X157" s="2"/>
      <c r="Y157" s="2"/>
      <c r="Z157" s="2"/>
    </row>
    <row r="158" spans="1:26" ht="15.75" customHeight="1" x14ac:dyDescent="0.3">
      <c r="A158" s="15"/>
      <c r="B158" s="15"/>
      <c r="C158" s="16"/>
      <c r="D158" s="16"/>
      <c r="E158" s="16"/>
      <c r="F158" s="17" t="str">
        <f>IF($A158="","",IF($K158&lt;Settings!$B$14,"",IF($P158=0,"",IFERROR(_xludf.MINIFS(Trade_Reports!$I$3:$I$502,Trade_Reports!$H$3:$H$502,$A158,Trade_Reports!$M$3:$M$502,"APPROVED",Trade_Reports!$Q$3:$Q$502,"&lt;="&amp;Settings!$B$4,Trade_Reports!$W$3:$W$502,"&gt;="&amp;0.5*$P158),""))))</f>
        <v/>
      </c>
      <c r="G158" s="17" t="str">
        <f>IF($A158="","",IF($K158=0,"",IFERROR(_xludf.MINIFS(Trade_Reports!$I$3:$I$502,Trade_Reports!$H$3:$H$502,$A158,Trade_Reports!$M$3:$M$502,"APPROVED",Trade_Reports!$Q$3:$Q$502,"&lt;="&amp;Settings!$B$4),"")))</f>
        <v/>
      </c>
      <c r="H158" s="17" t="str">
        <f>IF($A158="","",IF($K158=0,"",IFERROR(_xludf.MAXIFS(Trade_Reports!$I$3:$I$502,Trade_Reports!$H$3:$H$502,$A158,Trade_Reports!$M$3:$M$502,"APPROVED",Trade_Reports!$Q$3:$Q$502,"&lt;="&amp;Settings!$B$4),"")))</f>
        <v/>
      </c>
      <c r="I158" s="17" t="str">
        <f>IF($A158="","",IF($F158="","",IF($Q158="","",IF(ABS($F158-$Q158)/$Q158&lt;=Settings!$B$18,"STABLE",IF($F158&gt;$Q158,"UP","DOWN")))))</f>
        <v/>
      </c>
      <c r="J158" s="18" t="str">
        <f>IF($A158="","",IF($K158=0,"",MIN(100,ROUND($K158/Settings!$B$14*100,0))))</f>
        <v/>
      </c>
      <c r="K158" s="17" t="str">
        <f>IF($A158="","",COUNTIFS(Trade_Reports!$H$3:$H$502,$A158,Trade_Reports!$M$3:$M$502,"APPROVED",Trade_Reports!$Q$3:$Q$502,"&lt;="&amp;Settings!$B$4))</f>
        <v/>
      </c>
      <c r="L158" s="19" t="str">
        <f>IF($A158="","",IF($K158=0,"",IFERROR(_xludf.MAXIFS(Trade_Reports!$O$3:$O$502,Trade_Reports!$H$3:$H$502,$A158,Trade_Reports!$M$3:$M$502,"APPROVED"),"")))</f>
        <v/>
      </c>
      <c r="M158" s="16" t="s">
        <v>46</v>
      </c>
      <c r="N158" s="15"/>
      <c r="O158" s="9" t="str">
        <f t="shared" si="0"/>
        <v/>
      </c>
      <c r="P158" s="2" t="str">
        <f>IF($A158="","",SUMIFS(Trade_Reports!$U$3:$U$502,Trade_Reports!$H$3:$H$502,$A158,Trade_Reports!$M$3:$M$502,"APPROVED",Trade_Reports!$Q$3:$Q$502,"&lt;="&amp;Settings!$B$4))</f>
        <v/>
      </c>
      <c r="Q158" s="2" t="str">
        <f>IF($A158="","",SUMIFS(Trade_Reports!$U$3:$U$502,Trade_Reports!$H$3:$H$502,$A158,Trade_Reports!$M$3:$M$502,"APPROVED",Trade_Reports!$Q$3:$Q$502,"&lt;="&amp;Settings!$B$5))</f>
        <v/>
      </c>
      <c r="R158" s="2" t="str">
        <f>IF($A158="","",IF($Q158=0,"",IFERROR(_xludf.MINIFS(Trade_Reports!$I$3:$I$502,Trade_Reports!$H$3:$H$502,$A158,Trade_Reports!$M$3:$M$502,"APPROVED",Trade_Reports!$Q$3:$Q$502,"&lt;="&amp;Settings!$B$5,Trade_Reports!$X$3:$X$502,"&gt;="&amp;0.5*$Q158),"")))</f>
        <v/>
      </c>
      <c r="S158" s="2" t="str">
        <f>IF($A158="","",COUNTIFS(Trade_Reports!$H$3:$H$502,$A158,Trade_Reports!$M$3:$M$502,"APPROVED",Trade_Reports!$Q$3:$Q$502,"&lt;="&amp;Settings!$B$5))</f>
        <v/>
      </c>
      <c r="T158" s="2"/>
      <c r="U158" s="2"/>
      <c r="V158" s="21" t="str">
        <f>IF(OR($A158="",ISERROR(SEARCH("_",$A158))),"",IFERROR(SUMIFS(Trade_Reports!$Z$3:$Z$502,Trade_Reports!$H$3:$H$502,$A158,Trade_Reports!$M$3:$M$502,"APPROVED")/SUMIFS(Trade_Reports!$U$3:$U$502,Trade_Reports!$H$3:$H$502,$A158,Trade_Reports!$M$3:$M$502,"APPROVED"),""))</f>
        <v/>
      </c>
      <c r="W158" s="17" t="str">
        <f t="shared" si="1"/>
        <v/>
      </c>
      <c r="X158" s="2"/>
      <c r="Y158" s="2"/>
      <c r="Z158" s="2"/>
    </row>
    <row r="159" spans="1:26" ht="15.75" customHeight="1" x14ac:dyDescent="0.3">
      <c r="A159" s="15"/>
      <c r="B159" s="15"/>
      <c r="C159" s="16"/>
      <c r="D159" s="16"/>
      <c r="E159" s="16"/>
      <c r="F159" s="17" t="str">
        <f>IF($A159="","",IF($K159&lt;Settings!$B$14,"",IF($P159=0,"",IFERROR(_xludf.MINIFS(Trade_Reports!$I$3:$I$502,Trade_Reports!$H$3:$H$502,$A159,Trade_Reports!$M$3:$M$502,"APPROVED",Trade_Reports!$Q$3:$Q$502,"&lt;="&amp;Settings!$B$4,Trade_Reports!$W$3:$W$502,"&gt;="&amp;0.5*$P159),""))))</f>
        <v/>
      </c>
      <c r="G159" s="17" t="str">
        <f>IF($A159="","",IF($K159=0,"",IFERROR(_xludf.MINIFS(Trade_Reports!$I$3:$I$502,Trade_Reports!$H$3:$H$502,$A159,Trade_Reports!$M$3:$M$502,"APPROVED",Trade_Reports!$Q$3:$Q$502,"&lt;="&amp;Settings!$B$4),"")))</f>
        <v/>
      </c>
      <c r="H159" s="17" t="str">
        <f>IF($A159="","",IF($K159=0,"",IFERROR(_xludf.MAXIFS(Trade_Reports!$I$3:$I$502,Trade_Reports!$H$3:$H$502,$A159,Trade_Reports!$M$3:$M$502,"APPROVED",Trade_Reports!$Q$3:$Q$502,"&lt;="&amp;Settings!$B$4),"")))</f>
        <v/>
      </c>
      <c r="I159" s="17" t="str">
        <f>IF($A159="","",IF($F159="","",IF($Q159="","",IF(ABS($F159-$Q159)/$Q159&lt;=Settings!$B$18,"STABLE",IF($F159&gt;$Q159,"UP","DOWN")))))</f>
        <v/>
      </c>
      <c r="J159" s="18" t="str">
        <f>IF($A159="","",IF($K159=0,"",MIN(100,ROUND($K159/Settings!$B$14*100,0))))</f>
        <v/>
      </c>
      <c r="K159" s="17" t="str">
        <f>IF($A159="","",COUNTIFS(Trade_Reports!$H$3:$H$502,$A159,Trade_Reports!$M$3:$M$502,"APPROVED",Trade_Reports!$Q$3:$Q$502,"&lt;="&amp;Settings!$B$4))</f>
        <v/>
      </c>
      <c r="L159" s="19" t="str">
        <f>IF($A159="","",IF($K159=0,"",IFERROR(_xludf.MAXIFS(Trade_Reports!$O$3:$O$502,Trade_Reports!$H$3:$H$502,$A159,Trade_Reports!$M$3:$M$502,"APPROVED"),"")))</f>
        <v/>
      </c>
      <c r="M159" s="16" t="s">
        <v>46</v>
      </c>
      <c r="N159" s="15"/>
      <c r="O159" s="9" t="str">
        <f t="shared" si="0"/>
        <v/>
      </c>
      <c r="P159" s="2" t="str">
        <f>IF($A159="","",SUMIFS(Trade_Reports!$U$3:$U$502,Trade_Reports!$H$3:$H$502,$A159,Trade_Reports!$M$3:$M$502,"APPROVED",Trade_Reports!$Q$3:$Q$502,"&lt;="&amp;Settings!$B$4))</f>
        <v/>
      </c>
      <c r="Q159" s="2" t="str">
        <f>IF($A159="","",SUMIFS(Trade_Reports!$U$3:$U$502,Trade_Reports!$H$3:$H$502,$A159,Trade_Reports!$M$3:$M$502,"APPROVED",Trade_Reports!$Q$3:$Q$502,"&lt;="&amp;Settings!$B$5))</f>
        <v/>
      </c>
      <c r="R159" s="2" t="str">
        <f>IF($A159="","",IF($Q159=0,"",IFERROR(_xludf.MINIFS(Trade_Reports!$I$3:$I$502,Trade_Reports!$H$3:$H$502,$A159,Trade_Reports!$M$3:$M$502,"APPROVED",Trade_Reports!$Q$3:$Q$502,"&lt;="&amp;Settings!$B$5,Trade_Reports!$X$3:$X$502,"&gt;="&amp;0.5*$Q159),"")))</f>
        <v/>
      </c>
      <c r="S159" s="2" t="str">
        <f>IF($A159="","",COUNTIFS(Trade_Reports!$H$3:$H$502,$A159,Trade_Reports!$M$3:$M$502,"APPROVED",Trade_Reports!$Q$3:$Q$502,"&lt;="&amp;Settings!$B$5))</f>
        <v/>
      </c>
      <c r="T159" s="2"/>
      <c r="U159" s="2"/>
      <c r="V159" s="21" t="str">
        <f>IF(OR($A159="",ISERROR(SEARCH("_",$A159))),"",IFERROR(SUMIFS(Trade_Reports!$Z$3:$Z$502,Trade_Reports!$H$3:$H$502,$A159,Trade_Reports!$M$3:$M$502,"APPROVED")/SUMIFS(Trade_Reports!$U$3:$U$502,Trade_Reports!$H$3:$H$502,$A159,Trade_Reports!$M$3:$M$502,"APPROVED"),""))</f>
        <v/>
      </c>
      <c r="W159" s="17" t="str">
        <f t="shared" si="1"/>
        <v/>
      </c>
      <c r="X159" s="2"/>
      <c r="Y159" s="2"/>
      <c r="Z159" s="2"/>
    </row>
    <row r="160" spans="1:26" ht="15.75" customHeight="1" x14ac:dyDescent="0.3">
      <c r="A160" s="15"/>
      <c r="B160" s="15"/>
      <c r="C160" s="16"/>
      <c r="D160" s="16"/>
      <c r="E160" s="16"/>
      <c r="F160" s="17" t="str">
        <f>IF($A160="","",IF($K160&lt;Settings!$B$14,"",IF($P160=0,"",IFERROR(_xludf.MINIFS(Trade_Reports!$I$3:$I$502,Trade_Reports!$H$3:$H$502,$A160,Trade_Reports!$M$3:$M$502,"APPROVED",Trade_Reports!$Q$3:$Q$502,"&lt;="&amp;Settings!$B$4,Trade_Reports!$W$3:$W$502,"&gt;="&amp;0.5*$P160),""))))</f>
        <v/>
      </c>
      <c r="G160" s="17" t="str">
        <f>IF($A160="","",IF($K160=0,"",IFERROR(_xludf.MINIFS(Trade_Reports!$I$3:$I$502,Trade_Reports!$H$3:$H$502,$A160,Trade_Reports!$M$3:$M$502,"APPROVED",Trade_Reports!$Q$3:$Q$502,"&lt;="&amp;Settings!$B$4),"")))</f>
        <v/>
      </c>
      <c r="H160" s="17" t="str">
        <f>IF($A160="","",IF($K160=0,"",IFERROR(_xludf.MAXIFS(Trade_Reports!$I$3:$I$502,Trade_Reports!$H$3:$H$502,$A160,Trade_Reports!$M$3:$M$502,"APPROVED",Trade_Reports!$Q$3:$Q$502,"&lt;="&amp;Settings!$B$4),"")))</f>
        <v/>
      </c>
      <c r="I160" s="17" t="str">
        <f>IF($A160="","",IF($F160="","",IF($Q160="","",IF(ABS($F160-$Q160)/$Q160&lt;=Settings!$B$18,"STABLE",IF($F160&gt;$Q160,"UP","DOWN")))))</f>
        <v/>
      </c>
      <c r="J160" s="18" t="str">
        <f>IF($A160="","",IF($K160=0,"",MIN(100,ROUND($K160/Settings!$B$14*100,0))))</f>
        <v/>
      </c>
      <c r="K160" s="17" t="str">
        <f>IF($A160="","",COUNTIFS(Trade_Reports!$H$3:$H$502,$A160,Trade_Reports!$M$3:$M$502,"APPROVED",Trade_Reports!$Q$3:$Q$502,"&lt;="&amp;Settings!$B$4))</f>
        <v/>
      </c>
      <c r="L160" s="19" t="str">
        <f>IF($A160="","",IF($K160=0,"",IFERROR(_xludf.MAXIFS(Trade_Reports!$O$3:$O$502,Trade_Reports!$H$3:$H$502,$A160,Trade_Reports!$M$3:$M$502,"APPROVED"),"")))</f>
        <v/>
      </c>
      <c r="M160" s="16" t="s">
        <v>46</v>
      </c>
      <c r="N160" s="15"/>
      <c r="O160" s="9" t="str">
        <f t="shared" si="0"/>
        <v/>
      </c>
      <c r="P160" s="2" t="str">
        <f>IF($A160="","",SUMIFS(Trade_Reports!$U$3:$U$502,Trade_Reports!$H$3:$H$502,$A160,Trade_Reports!$M$3:$M$502,"APPROVED",Trade_Reports!$Q$3:$Q$502,"&lt;="&amp;Settings!$B$4))</f>
        <v/>
      </c>
      <c r="Q160" s="2" t="str">
        <f>IF($A160="","",SUMIFS(Trade_Reports!$U$3:$U$502,Trade_Reports!$H$3:$H$502,$A160,Trade_Reports!$M$3:$M$502,"APPROVED",Trade_Reports!$Q$3:$Q$502,"&lt;="&amp;Settings!$B$5))</f>
        <v/>
      </c>
      <c r="R160" s="2" t="str">
        <f>IF($A160="","",IF($Q160=0,"",IFERROR(_xludf.MINIFS(Trade_Reports!$I$3:$I$502,Trade_Reports!$H$3:$H$502,$A160,Trade_Reports!$M$3:$M$502,"APPROVED",Trade_Reports!$Q$3:$Q$502,"&lt;="&amp;Settings!$B$5,Trade_Reports!$X$3:$X$502,"&gt;="&amp;0.5*$Q160),"")))</f>
        <v/>
      </c>
      <c r="S160" s="2" t="str">
        <f>IF($A160="","",COUNTIFS(Trade_Reports!$H$3:$H$502,$A160,Trade_Reports!$M$3:$M$502,"APPROVED",Trade_Reports!$Q$3:$Q$502,"&lt;="&amp;Settings!$B$5))</f>
        <v/>
      </c>
      <c r="T160" s="2"/>
      <c r="U160" s="2"/>
      <c r="V160" s="21" t="str">
        <f>IF(OR($A160="",ISERROR(SEARCH("_",$A160))),"",IFERROR(SUMIFS(Trade_Reports!$Z$3:$Z$502,Trade_Reports!$H$3:$H$502,$A160,Trade_Reports!$M$3:$M$502,"APPROVED")/SUMIFS(Trade_Reports!$U$3:$U$502,Trade_Reports!$H$3:$H$502,$A160,Trade_Reports!$M$3:$M$502,"APPROVED"),""))</f>
        <v/>
      </c>
      <c r="W160" s="17" t="str">
        <f t="shared" si="1"/>
        <v/>
      </c>
      <c r="X160" s="2"/>
      <c r="Y160" s="2"/>
      <c r="Z160" s="2"/>
    </row>
    <row r="161" spans="1:26" ht="15.75" customHeight="1" x14ac:dyDescent="0.3">
      <c r="A161" s="15"/>
      <c r="B161" s="15"/>
      <c r="C161" s="16"/>
      <c r="D161" s="16"/>
      <c r="E161" s="16"/>
      <c r="F161" s="17" t="str">
        <f>IF($A161="","",IF($K161&lt;Settings!$B$14,"",IF($P161=0,"",IFERROR(_xludf.MINIFS(Trade_Reports!$I$3:$I$502,Trade_Reports!$H$3:$H$502,$A161,Trade_Reports!$M$3:$M$502,"APPROVED",Trade_Reports!$Q$3:$Q$502,"&lt;="&amp;Settings!$B$4,Trade_Reports!$W$3:$W$502,"&gt;="&amp;0.5*$P161),""))))</f>
        <v/>
      </c>
      <c r="G161" s="17" t="str">
        <f>IF($A161="","",IF($K161=0,"",IFERROR(_xludf.MINIFS(Trade_Reports!$I$3:$I$502,Trade_Reports!$H$3:$H$502,$A161,Trade_Reports!$M$3:$M$502,"APPROVED",Trade_Reports!$Q$3:$Q$502,"&lt;="&amp;Settings!$B$4),"")))</f>
        <v/>
      </c>
      <c r="H161" s="17" t="str">
        <f>IF($A161="","",IF($K161=0,"",IFERROR(_xludf.MAXIFS(Trade_Reports!$I$3:$I$502,Trade_Reports!$H$3:$H$502,$A161,Trade_Reports!$M$3:$M$502,"APPROVED",Trade_Reports!$Q$3:$Q$502,"&lt;="&amp;Settings!$B$4),"")))</f>
        <v/>
      </c>
      <c r="I161" s="17" t="str">
        <f>IF($A161="","",IF($F161="","",IF($Q161="","",IF(ABS($F161-$Q161)/$Q161&lt;=Settings!$B$18,"STABLE",IF($F161&gt;$Q161,"UP","DOWN")))))</f>
        <v/>
      </c>
      <c r="J161" s="18" t="str">
        <f>IF($A161="","",IF($K161=0,"",MIN(100,ROUND($K161/Settings!$B$14*100,0))))</f>
        <v/>
      </c>
      <c r="K161" s="17" t="str">
        <f>IF($A161="","",COUNTIFS(Trade_Reports!$H$3:$H$502,$A161,Trade_Reports!$M$3:$M$502,"APPROVED",Trade_Reports!$Q$3:$Q$502,"&lt;="&amp;Settings!$B$4))</f>
        <v/>
      </c>
      <c r="L161" s="19" t="str">
        <f>IF($A161="","",IF($K161=0,"",IFERROR(_xludf.MAXIFS(Trade_Reports!$O$3:$O$502,Trade_Reports!$H$3:$H$502,$A161,Trade_Reports!$M$3:$M$502,"APPROVED"),"")))</f>
        <v/>
      </c>
      <c r="M161" s="16" t="s">
        <v>46</v>
      </c>
      <c r="N161" s="15"/>
      <c r="O161" s="9" t="str">
        <f t="shared" si="0"/>
        <v/>
      </c>
      <c r="P161" s="2" t="str">
        <f>IF($A161="","",SUMIFS(Trade_Reports!$U$3:$U$502,Trade_Reports!$H$3:$H$502,$A161,Trade_Reports!$M$3:$M$502,"APPROVED",Trade_Reports!$Q$3:$Q$502,"&lt;="&amp;Settings!$B$4))</f>
        <v/>
      </c>
      <c r="Q161" s="2" t="str">
        <f>IF($A161="","",SUMIFS(Trade_Reports!$U$3:$U$502,Trade_Reports!$H$3:$H$502,$A161,Trade_Reports!$M$3:$M$502,"APPROVED",Trade_Reports!$Q$3:$Q$502,"&lt;="&amp;Settings!$B$5))</f>
        <v/>
      </c>
      <c r="R161" s="2" t="str">
        <f>IF($A161="","",IF($Q161=0,"",IFERROR(_xludf.MINIFS(Trade_Reports!$I$3:$I$502,Trade_Reports!$H$3:$H$502,$A161,Trade_Reports!$M$3:$M$502,"APPROVED",Trade_Reports!$Q$3:$Q$502,"&lt;="&amp;Settings!$B$5,Trade_Reports!$X$3:$X$502,"&gt;="&amp;0.5*$Q161),"")))</f>
        <v/>
      </c>
      <c r="S161" s="2" t="str">
        <f>IF($A161="","",COUNTIFS(Trade_Reports!$H$3:$H$502,$A161,Trade_Reports!$M$3:$M$502,"APPROVED",Trade_Reports!$Q$3:$Q$502,"&lt;="&amp;Settings!$B$5))</f>
        <v/>
      </c>
      <c r="T161" s="2"/>
      <c r="U161" s="2"/>
      <c r="V161" s="21" t="str">
        <f>IF(OR($A161="",ISERROR(SEARCH("_",$A161))),"",IFERROR(SUMIFS(Trade_Reports!$Z$3:$Z$502,Trade_Reports!$H$3:$H$502,$A161,Trade_Reports!$M$3:$M$502,"APPROVED")/SUMIFS(Trade_Reports!$U$3:$U$502,Trade_Reports!$H$3:$H$502,$A161,Trade_Reports!$M$3:$M$502,"APPROVED"),""))</f>
        <v/>
      </c>
      <c r="W161" s="17" t="str">
        <f t="shared" si="1"/>
        <v/>
      </c>
      <c r="X161" s="2"/>
      <c r="Y161" s="2"/>
      <c r="Z161" s="2"/>
    </row>
    <row r="162" spans="1:26" ht="15.75" customHeight="1" x14ac:dyDescent="0.3">
      <c r="A162" s="15"/>
      <c r="B162" s="15"/>
      <c r="C162" s="16"/>
      <c r="D162" s="16"/>
      <c r="E162" s="16"/>
      <c r="F162" s="17" t="str">
        <f>IF($A162="","",IF($K162&lt;Settings!$B$14,"",IF($P162=0,"",IFERROR(_xludf.MINIFS(Trade_Reports!$I$3:$I$502,Trade_Reports!$H$3:$H$502,$A162,Trade_Reports!$M$3:$M$502,"APPROVED",Trade_Reports!$Q$3:$Q$502,"&lt;="&amp;Settings!$B$4,Trade_Reports!$W$3:$W$502,"&gt;="&amp;0.5*$P162),""))))</f>
        <v/>
      </c>
      <c r="G162" s="17" t="str">
        <f>IF($A162="","",IF($K162=0,"",IFERROR(_xludf.MINIFS(Trade_Reports!$I$3:$I$502,Trade_Reports!$H$3:$H$502,$A162,Trade_Reports!$M$3:$M$502,"APPROVED",Trade_Reports!$Q$3:$Q$502,"&lt;="&amp;Settings!$B$4),"")))</f>
        <v/>
      </c>
      <c r="H162" s="17" t="str">
        <f>IF($A162="","",IF($K162=0,"",IFERROR(_xludf.MAXIFS(Trade_Reports!$I$3:$I$502,Trade_Reports!$H$3:$H$502,$A162,Trade_Reports!$M$3:$M$502,"APPROVED",Trade_Reports!$Q$3:$Q$502,"&lt;="&amp;Settings!$B$4),"")))</f>
        <v/>
      </c>
      <c r="I162" s="17" t="str">
        <f>IF($A162="","",IF($F162="","",IF($Q162="","",IF(ABS($F162-$Q162)/$Q162&lt;=Settings!$B$18,"STABLE",IF($F162&gt;$Q162,"UP","DOWN")))))</f>
        <v/>
      </c>
      <c r="J162" s="18" t="str">
        <f>IF($A162="","",IF($K162=0,"",MIN(100,ROUND($K162/Settings!$B$14*100,0))))</f>
        <v/>
      </c>
      <c r="K162" s="17" t="str">
        <f>IF($A162="","",COUNTIFS(Trade_Reports!$H$3:$H$502,$A162,Trade_Reports!$M$3:$M$502,"APPROVED",Trade_Reports!$Q$3:$Q$502,"&lt;="&amp;Settings!$B$4))</f>
        <v/>
      </c>
      <c r="L162" s="19" t="str">
        <f>IF($A162="","",IF($K162=0,"",IFERROR(_xludf.MAXIFS(Trade_Reports!$O$3:$O$502,Trade_Reports!$H$3:$H$502,$A162,Trade_Reports!$M$3:$M$502,"APPROVED"),"")))</f>
        <v/>
      </c>
      <c r="M162" s="16" t="s">
        <v>46</v>
      </c>
      <c r="N162" s="15"/>
      <c r="O162" s="9" t="str">
        <f t="shared" si="0"/>
        <v/>
      </c>
      <c r="P162" s="2" t="str">
        <f>IF($A162="","",SUMIFS(Trade_Reports!$U$3:$U$502,Trade_Reports!$H$3:$H$502,$A162,Trade_Reports!$M$3:$M$502,"APPROVED",Trade_Reports!$Q$3:$Q$502,"&lt;="&amp;Settings!$B$4))</f>
        <v/>
      </c>
      <c r="Q162" s="2" t="str">
        <f>IF($A162="","",SUMIFS(Trade_Reports!$U$3:$U$502,Trade_Reports!$H$3:$H$502,$A162,Trade_Reports!$M$3:$M$502,"APPROVED",Trade_Reports!$Q$3:$Q$502,"&lt;="&amp;Settings!$B$5))</f>
        <v/>
      </c>
      <c r="R162" s="2" t="str">
        <f>IF($A162="","",IF($Q162=0,"",IFERROR(_xludf.MINIFS(Trade_Reports!$I$3:$I$502,Trade_Reports!$H$3:$H$502,$A162,Trade_Reports!$M$3:$M$502,"APPROVED",Trade_Reports!$Q$3:$Q$502,"&lt;="&amp;Settings!$B$5,Trade_Reports!$X$3:$X$502,"&gt;="&amp;0.5*$Q162),"")))</f>
        <v/>
      </c>
      <c r="S162" s="2" t="str">
        <f>IF($A162="","",COUNTIFS(Trade_Reports!$H$3:$H$502,$A162,Trade_Reports!$M$3:$M$502,"APPROVED",Trade_Reports!$Q$3:$Q$502,"&lt;="&amp;Settings!$B$5))</f>
        <v/>
      </c>
      <c r="T162" s="2"/>
      <c r="U162" s="2"/>
      <c r="V162" s="21" t="str">
        <f>IF(OR($A162="",ISERROR(SEARCH("_",$A162))),"",IFERROR(SUMIFS(Trade_Reports!$Z$3:$Z$502,Trade_Reports!$H$3:$H$502,$A162,Trade_Reports!$M$3:$M$502,"APPROVED")/SUMIFS(Trade_Reports!$U$3:$U$502,Trade_Reports!$H$3:$H$502,$A162,Trade_Reports!$M$3:$M$502,"APPROVED"),""))</f>
        <v/>
      </c>
      <c r="W162" s="17" t="str">
        <f t="shared" si="1"/>
        <v/>
      </c>
      <c r="X162" s="2"/>
      <c r="Y162" s="2"/>
      <c r="Z162" s="2"/>
    </row>
    <row r="163" spans="1:26" ht="15.75" customHeight="1" x14ac:dyDescent="0.3">
      <c r="A163" s="15"/>
      <c r="B163" s="15"/>
      <c r="C163" s="16"/>
      <c r="D163" s="16"/>
      <c r="E163" s="16"/>
      <c r="F163" s="17" t="str">
        <f>IF($A163="","",IF($K163&lt;Settings!$B$14,"",IF($P163=0,"",IFERROR(_xludf.MINIFS(Trade_Reports!$I$3:$I$502,Trade_Reports!$H$3:$H$502,$A163,Trade_Reports!$M$3:$M$502,"APPROVED",Trade_Reports!$Q$3:$Q$502,"&lt;="&amp;Settings!$B$4,Trade_Reports!$W$3:$W$502,"&gt;="&amp;0.5*$P163),""))))</f>
        <v/>
      </c>
      <c r="G163" s="17" t="str">
        <f>IF($A163="","",IF($K163=0,"",IFERROR(_xludf.MINIFS(Trade_Reports!$I$3:$I$502,Trade_Reports!$H$3:$H$502,$A163,Trade_Reports!$M$3:$M$502,"APPROVED",Trade_Reports!$Q$3:$Q$502,"&lt;="&amp;Settings!$B$4),"")))</f>
        <v/>
      </c>
      <c r="H163" s="17" t="str">
        <f>IF($A163="","",IF($K163=0,"",IFERROR(_xludf.MAXIFS(Trade_Reports!$I$3:$I$502,Trade_Reports!$H$3:$H$502,$A163,Trade_Reports!$M$3:$M$502,"APPROVED",Trade_Reports!$Q$3:$Q$502,"&lt;="&amp;Settings!$B$4),"")))</f>
        <v/>
      </c>
      <c r="I163" s="17" t="str">
        <f>IF($A163="","",IF($F163="","",IF($Q163="","",IF(ABS($F163-$Q163)/$Q163&lt;=Settings!$B$18,"STABLE",IF($F163&gt;$Q163,"UP","DOWN")))))</f>
        <v/>
      </c>
      <c r="J163" s="18" t="str">
        <f>IF($A163="","",IF($K163=0,"",MIN(100,ROUND($K163/Settings!$B$14*100,0))))</f>
        <v/>
      </c>
      <c r="K163" s="17" t="str">
        <f>IF($A163="","",COUNTIFS(Trade_Reports!$H$3:$H$502,$A163,Trade_Reports!$M$3:$M$502,"APPROVED",Trade_Reports!$Q$3:$Q$502,"&lt;="&amp;Settings!$B$4))</f>
        <v/>
      </c>
      <c r="L163" s="19" t="str">
        <f>IF($A163="","",IF($K163=0,"",IFERROR(_xludf.MAXIFS(Trade_Reports!$O$3:$O$502,Trade_Reports!$H$3:$H$502,$A163,Trade_Reports!$M$3:$M$502,"APPROVED"),"")))</f>
        <v/>
      </c>
      <c r="M163" s="16" t="s">
        <v>46</v>
      </c>
      <c r="N163" s="15"/>
      <c r="O163" s="9" t="str">
        <f t="shared" si="0"/>
        <v/>
      </c>
      <c r="P163" s="2" t="str">
        <f>IF($A163="","",SUMIFS(Trade_Reports!$U$3:$U$502,Trade_Reports!$H$3:$H$502,$A163,Trade_Reports!$M$3:$M$502,"APPROVED",Trade_Reports!$Q$3:$Q$502,"&lt;="&amp;Settings!$B$4))</f>
        <v/>
      </c>
      <c r="Q163" s="2" t="str">
        <f>IF($A163="","",SUMIFS(Trade_Reports!$U$3:$U$502,Trade_Reports!$H$3:$H$502,$A163,Trade_Reports!$M$3:$M$502,"APPROVED",Trade_Reports!$Q$3:$Q$502,"&lt;="&amp;Settings!$B$5))</f>
        <v/>
      </c>
      <c r="R163" s="2" t="str">
        <f>IF($A163="","",IF($Q163=0,"",IFERROR(_xludf.MINIFS(Trade_Reports!$I$3:$I$502,Trade_Reports!$H$3:$H$502,$A163,Trade_Reports!$M$3:$M$502,"APPROVED",Trade_Reports!$Q$3:$Q$502,"&lt;="&amp;Settings!$B$5,Trade_Reports!$X$3:$X$502,"&gt;="&amp;0.5*$Q163),"")))</f>
        <v/>
      </c>
      <c r="S163" s="2" t="str">
        <f>IF($A163="","",COUNTIFS(Trade_Reports!$H$3:$H$502,$A163,Trade_Reports!$M$3:$M$502,"APPROVED",Trade_Reports!$Q$3:$Q$502,"&lt;="&amp;Settings!$B$5))</f>
        <v/>
      </c>
      <c r="T163" s="2"/>
      <c r="U163" s="2"/>
      <c r="V163" s="21" t="str">
        <f>IF(OR($A163="",ISERROR(SEARCH("_",$A163))),"",IFERROR(SUMIFS(Trade_Reports!$Z$3:$Z$502,Trade_Reports!$H$3:$H$502,$A163,Trade_Reports!$M$3:$M$502,"APPROVED")/SUMIFS(Trade_Reports!$U$3:$U$502,Trade_Reports!$H$3:$H$502,$A163,Trade_Reports!$M$3:$M$502,"APPROVED"),""))</f>
        <v/>
      </c>
      <c r="W163" s="17" t="str">
        <f t="shared" si="1"/>
        <v/>
      </c>
      <c r="X163" s="2"/>
      <c r="Y163" s="2"/>
      <c r="Z163" s="2"/>
    </row>
    <row r="164" spans="1:26" ht="15.75" customHeight="1" x14ac:dyDescent="0.3">
      <c r="A164" s="15"/>
      <c r="B164" s="15"/>
      <c r="C164" s="16"/>
      <c r="D164" s="16"/>
      <c r="E164" s="16"/>
      <c r="F164" s="17" t="str">
        <f>IF($A164="","",IF($K164&lt;Settings!$B$14,"",IF($P164=0,"",IFERROR(_xludf.MINIFS(Trade_Reports!$I$3:$I$502,Trade_Reports!$H$3:$H$502,$A164,Trade_Reports!$M$3:$M$502,"APPROVED",Trade_Reports!$Q$3:$Q$502,"&lt;="&amp;Settings!$B$4,Trade_Reports!$W$3:$W$502,"&gt;="&amp;0.5*$P164),""))))</f>
        <v/>
      </c>
      <c r="G164" s="17" t="str">
        <f>IF($A164="","",IF($K164=0,"",IFERROR(_xludf.MINIFS(Trade_Reports!$I$3:$I$502,Trade_Reports!$H$3:$H$502,$A164,Trade_Reports!$M$3:$M$502,"APPROVED",Trade_Reports!$Q$3:$Q$502,"&lt;="&amp;Settings!$B$4),"")))</f>
        <v/>
      </c>
      <c r="H164" s="17" t="str">
        <f>IF($A164="","",IF($K164=0,"",IFERROR(_xludf.MAXIFS(Trade_Reports!$I$3:$I$502,Trade_Reports!$H$3:$H$502,$A164,Trade_Reports!$M$3:$M$502,"APPROVED",Trade_Reports!$Q$3:$Q$502,"&lt;="&amp;Settings!$B$4),"")))</f>
        <v/>
      </c>
      <c r="I164" s="17" t="str">
        <f>IF($A164="","",IF($F164="","",IF($Q164="","",IF(ABS($F164-$Q164)/$Q164&lt;=Settings!$B$18,"STABLE",IF($F164&gt;$Q164,"UP","DOWN")))))</f>
        <v/>
      </c>
      <c r="J164" s="18" t="str">
        <f>IF($A164="","",IF($K164=0,"",MIN(100,ROUND($K164/Settings!$B$14*100,0))))</f>
        <v/>
      </c>
      <c r="K164" s="17" t="str">
        <f>IF($A164="","",COUNTIFS(Trade_Reports!$H$3:$H$502,$A164,Trade_Reports!$M$3:$M$502,"APPROVED",Trade_Reports!$Q$3:$Q$502,"&lt;="&amp;Settings!$B$4))</f>
        <v/>
      </c>
      <c r="L164" s="19" t="str">
        <f>IF($A164="","",IF($K164=0,"",IFERROR(_xludf.MAXIFS(Trade_Reports!$O$3:$O$502,Trade_Reports!$H$3:$H$502,$A164,Trade_Reports!$M$3:$M$502,"APPROVED"),"")))</f>
        <v/>
      </c>
      <c r="M164" s="16" t="s">
        <v>46</v>
      </c>
      <c r="N164" s="15"/>
      <c r="O164" s="9" t="str">
        <f t="shared" si="0"/>
        <v/>
      </c>
      <c r="P164" s="2" t="str">
        <f>IF($A164="","",SUMIFS(Trade_Reports!$U$3:$U$502,Trade_Reports!$H$3:$H$502,$A164,Trade_Reports!$M$3:$M$502,"APPROVED",Trade_Reports!$Q$3:$Q$502,"&lt;="&amp;Settings!$B$4))</f>
        <v/>
      </c>
      <c r="Q164" s="2" t="str">
        <f>IF($A164="","",SUMIFS(Trade_Reports!$U$3:$U$502,Trade_Reports!$H$3:$H$502,$A164,Trade_Reports!$M$3:$M$502,"APPROVED",Trade_Reports!$Q$3:$Q$502,"&lt;="&amp;Settings!$B$5))</f>
        <v/>
      </c>
      <c r="R164" s="2" t="str">
        <f>IF($A164="","",IF($Q164=0,"",IFERROR(_xludf.MINIFS(Trade_Reports!$I$3:$I$502,Trade_Reports!$H$3:$H$502,$A164,Trade_Reports!$M$3:$M$502,"APPROVED",Trade_Reports!$Q$3:$Q$502,"&lt;="&amp;Settings!$B$5,Trade_Reports!$X$3:$X$502,"&gt;="&amp;0.5*$Q164),"")))</f>
        <v/>
      </c>
      <c r="S164" s="2" t="str">
        <f>IF($A164="","",COUNTIFS(Trade_Reports!$H$3:$H$502,$A164,Trade_Reports!$M$3:$M$502,"APPROVED",Trade_Reports!$Q$3:$Q$502,"&lt;="&amp;Settings!$B$5))</f>
        <v/>
      </c>
      <c r="T164" s="2"/>
      <c r="U164" s="2"/>
      <c r="V164" s="21" t="str">
        <f>IF(OR($A164="",ISERROR(SEARCH("_",$A164))),"",IFERROR(SUMIFS(Trade_Reports!$Z$3:$Z$502,Trade_Reports!$H$3:$H$502,$A164,Trade_Reports!$M$3:$M$502,"APPROVED")/SUMIFS(Trade_Reports!$U$3:$U$502,Trade_Reports!$H$3:$H$502,$A164,Trade_Reports!$M$3:$M$502,"APPROVED"),""))</f>
        <v/>
      </c>
      <c r="W164" s="17" t="str">
        <f t="shared" si="1"/>
        <v/>
      </c>
      <c r="X164" s="2"/>
      <c r="Y164" s="2"/>
      <c r="Z164" s="2"/>
    </row>
    <row r="165" spans="1:26" ht="15.75" customHeight="1" x14ac:dyDescent="0.3">
      <c r="A165" s="15"/>
      <c r="B165" s="15"/>
      <c r="C165" s="16"/>
      <c r="D165" s="16"/>
      <c r="E165" s="16"/>
      <c r="F165" s="17" t="str">
        <f>IF($A165="","",IF($K165&lt;Settings!$B$14,"",IF($P165=0,"",IFERROR(_xludf.MINIFS(Trade_Reports!$I$3:$I$502,Trade_Reports!$H$3:$H$502,$A165,Trade_Reports!$M$3:$M$502,"APPROVED",Trade_Reports!$Q$3:$Q$502,"&lt;="&amp;Settings!$B$4,Trade_Reports!$W$3:$W$502,"&gt;="&amp;0.5*$P165),""))))</f>
        <v/>
      </c>
      <c r="G165" s="17" t="str">
        <f>IF($A165="","",IF($K165=0,"",IFERROR(_xludf.MINIFS(Trade_Reports!$I$3:$I$502,Trade_Reports!$H$3:$H$502,$A165,Trade_Reports!$M$3:$M$502,"APPROVED",Trade_Reports!$Q$3:$Q$502,"&lt;="&amp;Settings!$B$4),"")))</f>
        <v/>
      </c>
      <c r="H165" s="17" t="str">
        <f>IF($A165="","",IF($K165=0,"",IFERROR(_xludf.MAXIFS(Trade_Reports!$I$3:$I$502,Trade_Reports!$H$3:$H$502,$A165,Trade_Reports!$M$3:$M$502,"APPROVED",Trade_Reports!$Q$3:$Q$502,"&lt;="&amp;Settings!$B$4),"")))</f>
        <v/>
      </c>
      <c r="I165" s="17" t="str">
        <f>IF($A165="","",IF($F165="","",IF($Q165="","",IF(ABS($F165-$Q165)/$Q165&lt;=Settings!$B$18,"STABLE",IF($F165&gt;$Q165,"UP","DOWN")))))</f>
        <v/>
      </c>
      <c r="J165" s="18" t="str">
        <f>IF($A165="","",IF($K165=0,"",MIN(100,ROUND($K165/Settings!$B$14*100,0))))</f>
        <v/>
      </c>
      <c r="K165" s="17" t="str">
        <f>IF($A165="","",COUNTIFS(Trade_Reports!$H$3:$H$502,$A165,Trade_Reports!$M$3:$M$502,"APPROVED",Trade_Reports!$Q$3:$Q$502,"&lt;="&amp;Settings!$B$4))</f>
        <v/>
      </c>
      <c r="L165" s="19" t="str">
        <f>IF($A165="","",IF($K165=0,"",IFERROR(_xludf.MAXIFS(Trade_Reports!$O$3:$O$502,Trade_Reports!$H$3:$H$502,$A165,Trade_Reports!$M$3:$M$502,"APPROVED"),"")))</f>
        <v/>
      </c>
      <c r="M165" s="16" t="s">
        <v>46</v>
      </c>
      <c r="N165" s="15"/>
      <c r="O165" s="9" t="str">
        <f t="shared" si="0"/>
        <v/>
      </c>
      <c r="P165" s="2" t="str">
        <f>IF($A165="","",SUMIFS(Trade_Reports!$U$3:$U$502,Trade_Reports!$H$3:$H$502,$A165,Trade_Reports!$M$3:$M$502,"APPROVED",Trade_Reports!$Q$3:$Q$502,"&lt;="&amp;Settings!$B$4))</f>
        <v/>
      </c>
      <c r="Q165" s="2" t="str">
        <f>IF($A165="","",SUMIFS(Trade_Reports!$U$3:$U$502,Trade_Reports!$H$3:$H$502,$A165,Trade_Reports!$M$3:$M$502,"APPROVED",Trade_Reports!$Q$3:$Q$502,"&lt;="&amp;Settings!$B$5))</f>
        <v/>
      </c>
      <c r="R165" s="2" t="str">
        <f>IF($A165="","",IF($Q165=0,"",IFERROR(_xludf.MINIFS(Trade_Reports!$I$3:$I$502,Trade_Reports!$H$3:$H$502,$A165,Trade_Reports!$M$3:$M$502,"APPROVED",Trade_Reports!$Q$3:$Q$502,"&lt;="&amp;Settings!$B$5,Trade_Reports!$X$3:$X$502,"&gt;="&amp;0.5*$Q165),"")))</f>
        <v/>
      </c>
      <c r="S165" s="2" t="str">
        <f>IF($A165="","",COUNTIFS(Trade_Reports!$H$3:$H$502,$A165,Trade_Reports!$M$3:$M$502,"APPROVED",Trade_Reports!$Q$3:$Q$502,"&lt;="&amp;Settings!$B$5))</f>
        <v/>
      </c>
      <c r="T165" s="2"/>
      <c r="U165" s="2"/>
      <c r="V165" s="21" t="str">
        <f>IF(OR($A165="",ISERROR(SEARCH("_",$A165))),"",IFERROR(SUMIFS(Trade_Reports!$Z$3:$Z$502,Trade_Reports!$H$3:$H$502,$A165,Trade_Reports!$M$3:$M$502,"APPROVED")/SUMIFS(Trade_Reports!$U$3:$U$502,Trade_Reports!$H$3:$H$502,$A165,Trade_Reports!$M$3:$M$502,"APPROVED"),""))</f>
        <v/>
      </c>
      <c r="W165" s="17" t="str">
        <f t="shared" si="1"/>
        <v/>
      </c>
      <c r="X165" s="2"/>
      <c r="Y165" s="2"/>
      <c r="Z165" s="2"/>
    </row>
    <row r="166" spans="1:26" ht="15.75" customHeight="1" x14ac:dyDescent="0.3">
      <c r="A166" s="15"/>
      <c r="B166" s="15"/>
      <c r="C166" s="16"/>
      <c r="D166" s="16"/>
      <c r="E166" s="16"/>
      <c r="F166" s="17" t="str">
        <f>IF($A166="","",IF($K166&lt;Settings!$B$14,"",IF($P166=0,"",IFERROR(_xludf.MINIFS(Trade_Reports!$I$3:$I$502,Trade_Reports!$H$3:$H$502,$A166,Trade_Reports!$M$3:$M$502,"APPROVED",Trade_Reports!$Q$3:$Q$502,"&lt;="&amp;Settings!$B$4,Trade_Reports!$W$3:$W$502,"&gt;="&amp;0.5*$P166),""))))</f>
        <v/>
      </c>
      <c r="G166" s="17" t="str">
        <f>IF($A166="","",IF($K166=0,"",IFERROR(_xludf.MINIFS(Trade_Reports!$I$3:$I$502,Trade_Reports!$H$3:$H$502,$A166,Trade_Reports!$M$3:$M$502,"APPROVED",Trade_Reports!$Q$3:$Q$502,"&lt;="&amp;Settings!$B$4),"")))</f>
        <v/>
      </c>
      <c r="H166" s="17" t="str">
        <f>IF($A166="","",IF($K166=0,"",IFERROR(_xludf.MAXIFS(Trade_Reports!$I$3:$I$502,Trade_Reports!$H$3:$H$502,$A166,Trade_Reports!$M$3:$M$502,"APPROVED",Trade_Reports!$Q$3:$Q$502,"&lt;="&amp;Settings!$B$4),"")))</f>
        <v/>
      </c>
      <c r="I166" s="17" t="str">
        <f>IF($A166="","",IF($F166="","",IF($Q166="","",IF(ABS($F166-$Q166)/$Q166&lt;=Settings!$B$18,"STABLE",IF($F166&gt;$Q166,"UP","DOWN")))))</f>
        <v/>
      </c>
      <c r="J166" s="18" t="str">
        <f>IF($A166="","",IF($K166=0,"",MIN(100,ROUND($K166/Settings!$B$14*100,0))))</f>
        <v/>
      </c>
      <c r="K166" s="17" t="str">
        <f>IF($A166="","",COUNTIFS(Trade_Reports!$H$3:$H$502,$A166,Trade_Reports!$M$3:$M$502,"APPROVED",Trade_Reports!$Q$3:$Q$502,"&lt;="&amp;Settings!$B$4))</f>
        <v/>
      </c>
      <c r="L166" s="19" t="str">
        <f>IF($A166="","",IF($K166=0,"",IFERROR(_xludf.MAXIFS(Trade_Reports!$O$3:$O$502,Trade_Reports!$H$3:$H$502,$A166,Trade_Reports!$M$3:$M$502,"APPROVED"),"")))</f>
        <v/>
      </c>
      <c r="M166" s="16" t="s">
        <v>46</v>
      </c>
      <c r="N166" s="15"/>
      <c r="O166" s="9" t="str">
        <f t="shared" si="0"/>
        <v/>
      </c>
      <c r="P166" s="2" t="str">
        <f>IF($A166="","",SUMIFS(Trade_Reports!$U$3:$U$502,Trade_Reports!$H$3:$H$502,$A166,Trade_Reports!$M$3:$M$502,"APPROVED",Trade_Reports!$Q$3:$Q$502,"&lt;="&amp;Settings!$B$4))</f>
        <v/>
      </c>
      <c r="Q166" s="2" t="str">
        <f>IF($A166="","",SUMIFS(Trade_Reports!$U$3:$U$502,Trade_Reports!$H$3:$H$502,$A166,Trade_Reports!$M$3:$M$502,"APPROVED",Trade_Reports!$Q$3:$Q$502,"&lt;="&amp;Settings!$B$5))</f>
        <v/>
      </c>
      <c r="R166" s="2" t="str">
        <f>IF($A166="","",IF($Q166=0,"",IFERROR(_xludf.MINIFS(Trade_Reports!$I$3:$I$502,Trade_Reports!$H$3:$H$502,$A166,Trade_Reports!$M$3:$M$502,"APPROVED",Trade_Reports!$Q$3:$Q$502,"&lt;="&amp;Settings!$B$5,Trade_Reports!$X$3:$X$502,"&gt;="&amp;0.5*$Q166),"")))</f>
        <v/>
      </c>
      <c r="S166" s="2" t="str">
        <f>IF($A166="","",COUNTIFS(Trade_Reports!$H$3:$H$502,$A166,Trade_Reports!$M$3:$M$502,"APPROVED",Trade_Reports!$Q$3:$Q$502,"&lt;="&amp;Settings!$B$5))</f>
        <v/>
      </c>
      <c r="T166" s="2"/>
      <c r="U166" s="2"/>
      <c r="V166" s="21" t="str">
        <f>IF(OR($A166="",ISERROR(SEARCH("_",$A166))),"",IFERROR(SUMIFS(Trade_Reports!$Z$3:$Z$502,Trade_Reports!$H$3:$H$502,$A166,Trade_Reports!$M$3:$M$502,"APPROVED")/SUMIFS(Trade_Reports!$U$3:$U$502,Trade_Reports!$H$3:$H$502,$A166,Trade_Reports!$M$3:$M$502,"APPROVED"),""))</f>
        <v/>
      </c>
      <c r="W166" s="17" t="str">
        <f t="shared" si="1"/>
        <v/>
      </c>
      <c r="X166" s="2"/>
      <c r="Y166" s="2"/>
      <c r="Z166" s="2"/>
    </row>
    <row r="167" spans="1:26" ht="15.75" customHeight="1" x14ac:dyDescent="0.3">
      <c r="A167" s="15"/>
      <c r="B167" s="15"/>
      <c r="C167" s="16"/>
      <c r="D167" s="16"/>
      <c r="E167" s="16"/>
      <c r="F167" s="17" t="str">
        <f>IF($A167="","",IF($K167&lt;Settings!$B$14,"",IF($P167=0,"",IFERROR(_xludf.MINIFS(Trade_Reports!$I$3:$I$502,Trade_Reports!$H$3:$H$502,$A167,Trade_Reports!$M$3:$M$502,"APPROVED",Trade_Reports!$Q$3:$Q$502,"&lt;="&amp;Settings!$B$4,Trade_Reports!$W$3:$W$502,"&gt;="&amp;0.5*$P167),""))))</f>
        <v/>
      </c>
      <c r="G167" s="17" t="str">
        <f>IF($A167="","",IF($K167=0,"",IFERROR(_xludf.MINIFS(Trade_Reports!$I$3:$I$502,Trade_Reports!$H$3:$H$502,$A167,Trade_Reports!$M$3:$M$502,"APPROVED",Trade_Reports!$Q$3:$Q$502,"&lt;="&amp;Settings!$B$4),"")))</f>
        <v/>
      </c>
      <c r="H167" s="17" t="str">
        <f>IF($A167="","",IF($K167=0,"",IFERROR(_xludf.MAXIFS(Trade_Reports!$I$3:$I$502,Trade_Reports!$H$3:$H$502,$A167,Trade_Reports!$M$3:$M$502,"APPROVED",Trade_Reports!$Q$3:$Q$502,"&lt;="&amp;Settings!$B$4),"")))</f>
        <v/>
      </c>
      <c r="I167" s="17" t="str">
        <f>IF($A167="","",IF($F167="","",IF($Q167="","",IF(ABS($F167-$Q167)/$Q167&lt;=Settings!$B$18,"STABLE",IF($F167&gt;$Q167,"UP","DOWN")))))</f>
        <v/>
      </c>
      <c r="J167" s="18" t="str">
        <f>IF($A167="","",IF($K167=0,"",MIN(100,ROUND($K167/Settings!$B$14*100,0))))</f>
        <v/>
      </c>
      <c r="K167" s="17" t="str">
        <f>IF($A167="","",COUNTIFS(Trade_Reports!$H$3:$H$502,$A167,Trade_Reports!$M$3:$M$502,"APPROVED",Trade_Reports!$Q$3:$Q$502,"&lt;="&amp;Settings!$B$4))</f>
        <v/>
      </c>
      <c r="L167" s="19" t="str">
        <f>IF($A167="","",IF($K167=0,"",IFERROR(_xludf.MAXIFS(Trade_Reports!$O$3:$O$502,Trade_Reports!$H$3:$H$502,$A167,Trade_Reports!$M$3:$M$502,"APPROVED"),"")))</f>
        <v/>
      </c>
      <c r="M167" s="16" t="s">
        <v>46</v>
      </c>
      <c r="N167" s="15"/>
      <c r="O167" s="9" t="str">
        <f t="shared" si="0"/>
        <v/>
      </c>
      <c r="P167" s="2" t="str">
        <f>IF($A167="","",SUMIFS(Trade_Reports!$U$3:$U$502,Trade_Reports!$H$3:$H$502,$A167,Trade_Reports!$M$3:$M$502,"APPROVED",Trade_Reports!$Q$3:$Q$502,"&lt;="&amp;Settings!$B$4))</f>
        <v/>
      </c>
      <c r="Q167" s="2" t="str">
        <f>IF($A167="","",SUMIFS(Trade_Reports!$U$3:$U$502,Trade_Reports!$H$3:$H$502,$A167,Trade_Reports!$M$3:$M$502,"APPROVED",Trade_Reports!$Q$3:$Q$502,"&lt;="&amp;Settings!$B$5))</f>
        <v/>
      </c>
      <c r="R167" s="2" t="str">
        <f>IF($A167="","",IF($Q167=0,"",IFERROR(_xludf.MINIFS(Trade_Reports!$I$3:$I$502,Trade_Reports!$H$3:$H$502,$A167,Trade_Reports!$M$3:$M$502,"APPROVED",Trade_Reports!$Q$3:$Q$502,"&lt;="&amp;Settings!$B$5,Trade_Reports!$X$3:$X$502,"&gt;="&amp;0.5*$Q167),"")))</f>
        <v/>
      </c>
      <c r="S167" s="2" t="str">
        <f>IF($A167="","",COUNTIFS(Trade_Reports!$H$3:$H$502,$A167,Trade_Reports!$M$3:$M$502,"APPROVED",Trade_Reports!$Q$3:$Q$502,"&lt;="&amp;Settings!$B$5))</f>
        <v/>
      </c>
      <c r="T167" s="2"/>
      <c r="U167" s="2"/>
      <c r="V167" s="21" t="str">
        <f>IF(OR($A167="",ISERROR(SEARCH("_",$A167))),"",IFERROR(SUMIFS(Trade_Reports!$Z$3:$Z$502,Trade_Reports!$H$3:$H$502,$A167,Trade_Reports!$M$3:$M$502,"APPROVED")/SUMIFS(Trade_Reports!$U$3:$U$502,Trade_Reports!$H$3:$H$502,$A167,Trade_Reports!$M$3:$M$502,"APPROVED"),""))</f>
        <v/>
      </c>
      <c r="W167" s="17" t="str">
        <f t="shared" si="1"/>
        <v/>
      </c>
      <c r="X167" s="2"/>
      <c r="Y167" s="2"/>
      <c r="Z167" s="2"/>
    </row>
    <row r="168" spans="1:26" ht="15.75" customHeight="1" x14ac:dyDescent="0.3">
      <c r="A168" s="15"/>
      <c r="B168" s="15"/>
      <c r="C168" s="16"/>
      <c r="D168" s="16"/>
      <c r="E168" s="16"/>
      <c r="F168" s="17" t="str">
        <f>IF($A168="","",IF($K168&lt;Settings!$B$14,"",IF($P168=0,"",IFERROR(_xludf.MINIFS(Trade_Reports!$I$3:$I$502,Trade_Reports!$H$3:$H$502,$A168,Trade_Reports!$M$3:$M$502,"APPROVED",Trade_Reports!$Q$3:$Q$502,"&lt;="&amp;Settings!$B$4,Trade_Reports!$W$3:$W$502,"&gt;="&amp;0.5*$P168),""))))</f>
        <v/>
      </c>
      <c r="G168" s="17" t="str">
        <f>IF($A168="","",IF($K168=0,"",IFERROR(_xludf.MINIFS(Trade_Reports!$I$3:$I$502,Trade_Reports!$H$3:$H$502,$A168,Trade_Reports!$M$3:$M$502,"APPROVED",Trade_Reports!$Q$3:$Q$502,"&lt;="&amp;Settings!$B$4),"")))</f>
        <v/>
      </c>
      <c r="H168" s="17" t="str">
        <f>IF($A168="","",IF($K168=0,"",IFERROR(_xludf.MAXIFS(Trade_Reports!$I$3:$I$502,Trade_Reports!$H$3:$H$502,$A168,Trade_Reports!$M$3:$M$502,"APPROVED",Trade_Reports!$Q$3:$Q$502,"&lt;="&amp;Settings!$B$4),"")))</f>
        <v/>
      </c>
      <c r="I168" s="17" t="str">
        <f>IF($A168="","",IF($F168="","",IF($Q168="","",IF(ABS($F168-$Q168)/$Q168&lt;=Settings!$B$18,"STABLE",IF($F168&gt;$Q168,"UP","DOWN")))))</f>
        <v/>
      </c>
      <c r="J168" s="18" t="str">
        <f>IF($A168="","",IF($K168=0,"",MIN(100,ROUND($K168/Settings!$B$14*100,0))))</f>
        <v/>
      </c>
      <c r="K168" s="17" t="str">
        <f>IF($A168="","",COUNTIFS(Trade_Reports!$H$3:$H$502,$A168,Trade_Reports!$M$3:$M$502,"APPROVED",Trade_Reports!$Q$3:$Q$502,"&lt;="&amp;Settings!$B$4))</f>
        <v/>
      </c>
      <c r="L168" s="19" t="str">
        <f>IF($A168="","",IF($K168=0,"",IFERROR(_xludf.MAXIFS(Trade_Reports!$O$3:$O$502,Trade_Reports!$H$3:$H$502,$A168,Trade_Reports!$M$3:$M$502,"APPROVED"),"")))</f>
        <v/>
      </c>
      <c r="M168" s="16" t="s">
        <v>46</v>
      </c>
      <c r="N168" s="15"/>
      <c r="O168" s="9" t="str">
        <f t="shared" si="0"/>
        <v/>
      </c>
      <c r="P168" s="2" t="str">
        <f>IF($A168="","",SUMIFS(Trade_Reports!$U$3:$U$502,Trade_Reports!$H$3:$H$502,$A168,Trade_Reports!$M$3:$M$502,"APPROVED",Trade_Reports!$Q$3:$Q$502,"&lt;="&amp;Settings!$B$4))</f>
        <v/>
      </c>
      <c r="Q168" s="2" t="str">
        <f>IF($A168="","",SUMIFS(Trade_Reports!$U$3:$U$502,Trade_Reports!$H$3:$H$502,$A168,Trade_Reports!$M$3:$M$502,"APPROVED",Trade_Reports!$Q$3:$Q$502,"&lt;="&amp;Settings!$B$5))</f>
        <v/>
      </c>
      <c r="R168" s="2" t="str">
        <f>IF($A168="","",IF($Q168=0,"",IFERROR(_xludf.MINIFS(Trade_Reports!$I$3:$I$502,Trade_Reports!$H$3:$H$502,$A168,Trade_Reports!$M$3:$M$502,"APPROVED",Trade_Reports!$Q$3:$Q$502,"&lt;="&amp;Settings!$B$5,Trade_Reports!$X$3:$X$502,"&gt;="&amp;0.5*$Q168),"")))</f>
        <v/>
      </c>
      <c r="S168" s="2" t="str">
        <f>IF($A168="","",COUNTIFS(Trade_Reports!$H$3:$H$502,$A168,Trade_Reports!$M$3:$M$502,"APPROVED",Trade_Reports!$Q$3:$Q$502,"&lt;="&amp;Settings!$B$5))</f>
        <v/>
      </c>
      <c r="T168" s="2"/>
      <c r="U168" s="2"/>
      <c r="V168" s="21" t="str">
        <f>IF(OR($A168="",ISERROR(SEARCH("_",$A168))),"",IFERROR(SUMIFS(Trade_Reports!$Z$3:$Z$502,Trade_Reports!$H$3:$H$502,$A168,Trade_Reports!$M$3:$M$502,"APPROVED")/SUMIFS(Trade_Reports!$U$3:$U$502,Trade_Reports!$H$3:$H$502,$A168,Trade_Reports!$M$3:$M$502,"APPROVED"),""))</f>
        <v/>
      </c>
      <c r="W168" s="17" t="str">
        <f t="shared" si="1"/>
        <v/>
      </c>
      <c r="X168" s="2"/>
      <c r="Y168" s="2"/>
      <c r="Z168" s="2"/>
    </row>
    <row r="169" spans="1:26" ht="15.75" customHeight="1" x14ac:dyDescent="0.3">
      <c r="A169" s="15"/>
      <c r="B169" s="15"/>
      <c r="C169" s="16"/>
      <c r="D169" s="16"/>
      <c r="E169" s="16"/>
      <c r="F169" s="17" t="str">
        <f>IF($A169="","",IF($K169&lt;Settings!$B$14,"",IF($P169=0,"",IFERROR(_xludf.MINIFS(Trade_Reports!$I$3:$I$502,Trade_Reports!$H$3:$H$502,$A169,Trade_Reports!$M$3:$M$502,"APPROVED",Trade_Reports!$Q$3:$Q$502,"&lt;="&amp;Settings!$B$4,Trade_Reports!$W$3:$W$502,"&gt;="&amp;0.5*$P169),""))))</f>
        <v/>
      </c>
      <c r="G169" s="17" t="str">
        <f>IF($A169="","",IF($K169=0,"",IFERROR(_xludf.MINIFS(Trade_Reports!$I$3:$I$502,Trade_Reports!$H$3:$H$502,$A169,Trade_Reports!$M$3:$M$502,"APPROVED",Trade_Reports!$Q$3:$Q$502,"&lt;="&amp;Settings!$B$4),"")))</f>
        <v/>
      </c>
      <c r="H169" s="17" t="str">
        <f>IF($A169="","",IF($K169=0,"",IFERROR(_xludf.MAXIFS(Trade_Reports!$I$3:$I$502,Trade_Reports!$H$3:$H$502,$A169,Trade_Reports!$M$3:$M$502,"APPROVED",Trade_Reports!$Q$3:$Q$502,"&lt;="&amp;Settings!$B$4),"")))</f>
        <v/>
      </c>
      <c r="I169" s="17" t="str">
        <f>IF($A169="","",IF($F169="","",IF($Q169="","",IF(ABS($F169-$Q169)/$Q169&lt;=Settings!$B$18,"STABLE",IF($F169&gt;$Q169,"UP","DOWN")))))</f>
        <v/>
      </c>
      <c r="J169" s="18" t="str">
        <f>IF($A169="","",IF($K169=0,"",MIN(100,ROUND($K169/Settings!$B$14*100,0))))</f>
        <v/>
      </c>
      <c r="K169" s="17" t="str">
        <f>IF($A169="","",COUNTIFS(Trade_Reports!$H$3:$H$502,$A169,Trade_Reports!$M$3:$M$502,"APPROVED",Trade_Reports!$Q$3:$Q$502,"&lt;="&amp;Settings!$B$4))</f>
        <v/>
      </c>
      <c r="L169" s="19" t="str">
        <f>IF($A169="","",IF($K169=0,"",IFERROR(_xludf.MAXIFS(Trade_Reports!$O$3:$O$502,Trade_Reports!$H$3:$H$502,$A169,Trade_Reports!$M$3:$M$502,"APPROVED"),"")))</f>
        <v/>
      </c>
      <c r="M169" s="16" t="s">
        <v>46</v>
      </c>
      <c r="N169" s="15"/>
      <c r="O169" s="9" t="str">
        <f t="shared" si="0"/>
        <v/>
      </c>
      <c r="P169" s="2" t="str">
        <f>IF($A169="","",SUMIFS(Trade_Reports!$U$3:$U$502,Trade_Reports!$H$3:$H$502,$A169,Trade_Reports!$M$3:$M$502,"APPROVED",Trade_Reports!$Q$3:$Q$502,"&lt;="&amp;Settings!$B$4))</f>
        <v/>
      </c>
      <c r="Q169" s="2" t="str">
        <f>IF($A169="","",SUMIFS(Trade_Reports!$U$3:$U$502,Trade_Reports!$H$3:$H$502,$A169,Trade_Reports!$M$3:$M$502,"APPROVED",Trade_Reports!$Q$3:$Q$502,"&lt;="&amp;Settings!$B$5))</f>
        <v/>
      </c>
      <c r="R169" s="2" t="str">
        <f>IF($A169="","",IF($Q169=0,"",IFERROR(_xludf.MINIFS(Trade_Reports!$I$3:$I$502,Trade_Reports!$H$3:$H$502,$A169,Trade_Reports!$M$3:$M$502,"APPROVED",Trade_Reports!$Q$3:$Q$502,"&lt;="&amp;Settings!$B$5,Trade_Reports!$X$3:$X$502,"&gt;="&amp;0.5*$Q169),"")))</f>
        <v/>
      </c>
      <c r="S169" s="2" t="str">
        <f>IF($A169="","",COUNTIFS(Trade_Reports!$H$3:$H$502,$A169,Trade_Reports!$M$3:$M$502,"APPROVED",Trade_Reports!$Q$3:$Q$502,"&lt;="&amp;Settings!$B$5))</f>
        <v/>
      </c>
      <c r="T169" s="2"/>
      <c r="U169" s="2"/>
      <c r="V169" s="21" t="str">
        <f>IF(OR($A169="",ISERROR(SEARCH("_",$A169))),"",IFERROR(SUMIFS(Trade_Reports!$Z$3:$Z$502,Trade_Reports!$H$3:$H$502,$A169,Trade_Reports!$M$3:$M$502,"APPROVED")/SUMIFS(Trade_Reports!$U$3:$U$502,Trade_Reports!$H$3:$H$502,$A169,Trade_Reports!$M$3:$M$502,"APPROVED"),""))</f>
        <v/>
      </c>
      <c r="W169" s="17" t="str">
        <f t="shared" si="1"/>
        <v/>
      </c>
      <c r="X169" s="2"/>
      <c r="Y169" s="2"/>
      <c r="Z169" s="2"/>
    </row>
    <row r="170" spans="1:26" ht="15.75" customHeight="1" x14ac:dyDescent="0.3">
      <c r="A170" s="15"/>
      <c r="B170" s="15"/>
      <c r="C170" s="16"/>
      <c r="D170" s="16"/>
      <c r="E170" s="16"/>
      <c r="F170" s="17" t="str">
        <f>IF($A170="","",IF($K170&lt;Settings!$B$14,"",IF($P170=0,"",IFERROR(_xludf.MINIFS(Trade_Reports!$I$3:$I$502,Trade_Reports!$H$3:$H$502,$A170,Trade_Reports!$M$3:$M$502,"APPROVED",Trade_Reports!$Q$3:$Q$502,"&lt;="&amp;Settings!$B$4,Trade_Reports!$W$3:$W$502,"&gt;="&amp;0.5*$P170),""))))</f>
        <v/>
      </c>
      <c r="G170" s="17" t="str">
        <f>IF($A170="","",IF($K170=0,"",IFERROR(_xludf.MINIFS(Trade_Reports!$I$3:$I$502,Trade_Reports!$H$3:$H$502,$A170,Trade_Reports!$M$3:$M$502,"APPROVED",Trade_Reports!$Q$3:$Q$502,"&lt;="&amp;Settings!$B$4),"")))</f>
        <v/>
      </c>
      <c r="H170" s="17" t="str">
        <f>IF($A170="","",IF($K170=0,"",IFERROR(_xludf.MAXIFS(Trade_Reports!$I$3:$I$502,Trade_Reports!$H$3:$H$502,$A170,Trade_Reports!$M$3:$M$502,"APPROVED",Trade_Reports!$Q$3:$Q$502,"&lt;="&amp;Settings!$B$4),"")))</f>
        <v/>
      </c>
      <c r="I170" s="17" t="str">
        <f>IF($A170="","",IF($F170="","",IF($Q170="","",IF(ABS($F170-$Q170)/$Q170&lt;=Settings!$B$18,"STABLE",IF($F170&gt;$Q170,"UP","DOWN")))))</f>
        <v/>
      </c>
      <c r="J170" s="18" t="str">
        <f>IF($A170="","",IF($K170=0,"",MIN(100,ROUND($K170/Settings!$B$14*100,0))))</f>
        <v/>
      </c>
      <c r="K170" s="17" t="str">
        <f>IF($A170="","",COUNTIFS(Trade_Reports!$H$3:$H$502,$A170,Trade_Reports!$M$3:$M$502,"APPROVED",Trade_Reports!$Q$3:$Q$502,"&lt;="&amp;Settings!$B$4))</f>
        <v/>
      </c>
      <c r="L170" s="19" t="str">
        <f>IF($A170="","",IF($K170=0,"",IFERROR(_xludf.MAXIFS(Trade_Reports!$O$3:$O$502,Trade_Reports!$H$3:$H$502,$A170,Trade_Reports!$M$3:$M$502,"APPROVED"),"")))</f>
        <v/>
      </c>
      <c r="M170" s="16" t="s">
        <v>46</v>
      </c>
      <c r="N170" s="15"/>
      <c r="O170" s="9" t="str">
        <f t="shared" si="0"/>
        <v/>
      </c>
      <c r="P170" s="2" t="str">
        <f>IF($A170="","",SUMIFS(Trade_Reports!$U$3:$U$502,Trade_Reports!$H$3:$H$502,$A170,Trade_Reports!$M$3:$M$502,"APPROVED",Trade_Reports!$Q$3:$Q$502,"&lt;="&amp;Settings!$B$4))</f>
        <v/>
      </c>
      <c r="Q170" s="2" t="str">
        <f>IF($A170="","",SUMIFS(Trade_Reports!$U$3:$U$502,Trade_Reports!$H$3:$H$502,$A170,Trade_Reports!$M$3:$M$502,"APPROVED",Trade_Reports!$Q$3:$Q$502,"&lt;="&amp;Settings!$B$5))</f>
        <v/>
      </c>
      <c r="R170" s="2" t="str">
        <f>IF($A170="","",IF($Q170=0,"",IFERROR(_xludf.MINIFS(Trade_Reports!$I$3:$I$502,Trade_Reports!$H$3:$H$502,$A170,Trade_Reports!$M$3:$M$502,"APPROVED",Trade_Reports!$Q$3:$Q$502,"&lt;="&amp;Settings!$B$5,Trade_Reports!$X$3:$X$502,"&gt;="&amp;0.5*$Q170),"")))</f>
        <v/>
      </c>
      <c r="S170" s="2" t="str">
        <f>IF($A170="","",COUNTIFS(Trade_Reports!$H$3:$H$502,$A170,Trade_Reports!$M$3:$M$502,"APPROVED",Trade_Reports!$Q$3:$Q$502,"&lt;="&amp;Settings!$B$5))</f>
        <v/>
      </c>
      <c r="T170" s="2"/>
      <c r="U170" s="2"/>
      <c r="V170" s="21" t="str">
        <f>IF(OR($A170="",ISERROR(SEARCH("_",$A170))),"",IFERROR(SUMIFS(Trade_Reports!$Z$3:$Z$502,Trade_Reports!$H$3:$H$502,$A170,Trade_Reports!$M$3:$M$502,"APPROVED")/SUMIFS(Trade_Reports!$U$3:$U$502,Trade_Reports!$H$3:$H$502,$A170,Trade_Reports!$M$3:$M$502,"APPROVED"),""))</f>
        <v/>
      </c>
      <c r="W170" s="17" t="str">
        <f t="shared" si="1"/>
        <v/>
      </c>
      <c r="X170" s="2"/>
      <c r="Y170" s="2"/>
      <c r="Z170" s="2"/>
    </row>
    <row r="171" spans="1:26" ht="15.75" customHeight="1" x14ac:dyDescent="0.3">
      <c r="A171" s="15"/>
      <c r="B171" s="15"/>
      <c r="C171" s="16"/>
      <c r="D171" s="16"/>
      <c r="E171" s="16"/>
      <c r="F171" s="17" t="str">
        <f>IF($A171="","",IF($K171&lt;Settings!$B$14,"",IF($P171=0,"",IFERROR(_xludf.MINIFS(Trade_Reports!$I$3:$I$502,Trade_Reports!$H$3:$H$502,$A171,Trade_Reports!$M$3:$M$502,"APPROVED",Trade_Reports!$Q$3:$Q$502,"&lt;="&amp;Settings!$B$4,Trade_Reports!$W$3:$W$502,"&gt;="&amp;0.5*$P171),""))))</f>
        <v/>
      </c>
      <c r="G171" s="17" t="str">
        <f>IF($A171="","",IF($K171=0,"",IFERROR(_xludf.MINIFS(Trade_Reports!$I$3:$I$502,Trade_Reports!$H$3:$H$502,$A171,Trade_Reports!$M$3:$M$502,"APPROVED",Trade_Reports!$Q$3:$Q$502,"&lt;="&amp;Settings!$B$4),"")))</f>
        <v/>
      </c>
      <c r="H171" s="17" t="str">
        <f>IF($A171="","",IF($K171=0,"",IFERROR(_xludf.MAXIFS(Trade_Reports!$I$3:$I$502,Trade_Reports!$H$3:$H$502,$A171,Trade_Reports!$M$3:$M$502,"APPROVED",Trade_Reports!$Q$3:$Q$502,"&lt;="&amp;Settings!$B$4),"")))</f>
        <v/>
      </c>
      <c r="I171" s="17" t="str">
        <f>IF($A171="","",IF($F171="","",IF($Q171="","",IF(ABS($F171-$Q171)/$Q171&lt;=Settings!$B$18,"STABLE",IF($F171&gt;$Q171,"UP","DOWN")))))</f>
        <v/>
      </c>
      <c r="J171" s="18" t="str">
        <f>IF($A171="","",IF($K171=0,"",MIN(100,ROUND($K171/Settings!$B$14*100,0))))</f>
        <v/>
      </c>
      <c r="K171" s="17" t="str">
        <f>IF($A171="","",COUNTIFS(Trade_Reports!$H$3:$H$502,$A171,Trade_Reports!$M$3:$M$502,"APPROVED",Trade_Reports!$Q$3:$Q$502,"&lt;="&amp;Settings!$B$4))</f>
        <v/>
      </c>
      <c r="L171" s="19" t="str">
        <f>IF($A171="","",IF($K171=0,"",IFERROR(_xludf.MAXIFS(Trade_Reports!$O$3:$O$502,Trade_Reports!$H$3:$H$502,$A171,Trade_Reports!$M$3:$M$502,"APPROVED"),"")))</f>
        <v/>
      </c>
      <c r="M171" s="16" t="s">
        <v>46</v>
      </c>
      <c r="N171" s="15"/>
      <c r="O171" s="9" t="str">
        <f t="shared" si="0"/>
        <v/>
      </c>
      <c r="P171" s="2" t="str">
        <f>IF($A171="","",SUMIFS(Trade_Reports!$U$3:$U$502,Trade_Reports!$H$3:$H$502,$A171,Trade_Reports!$M$3:$M$502,"APPROVED",Trade_Reports!$Q$3:$Q$502,"&lt;="&amp;Settings!$B$4))</f>
        <v/>
      </c>
      <c r="Q171" s="2" t="str">
        <f>IF($A171="","",SUMIFS(Trade_Reports!$U$3:$U$502,Trade_Reports!$H$3:$H$502,$A171,Trade_Reports!$M$3:$M$502,"APPROVED",Trade_Reports!$Q$3:$Q$502,"&lt;="&amp;Settings!$B$5))</f>
        <v/>
      </c>
      <c r="R171" s="2" t="str">
        <f>IF($A171="","",IF($Q171=0,"",IFERROR(_xludf.MINIFS(Trade_Reports!$I$3:$I$502,Trade_Reports!$H$3:$H$502,$A171,Trade_Reports!$M$3:$M$502,"APPROVED",Trade_Reports!$Q$3:$Q$502,"&lt;="&amp;Settings!$B$5,Trade_Reports!$X$3:$X$502,"&gt;="&amp;0.5*$Q171),"")))</f>
        <v/>
      </c>
      <c r="S171" s="2" t="str">
        <f>IF($A171="","",COUNTIFS(Trade_Reports!$H$3:$H$502,$A171,Trade_Reports!$M$3:$M$502,"APPROVED",Trade_Reports!$Q$3:$Q$502,"&lt;="&amp;Settings!$B$5))</f>
        <v/>
      </c>
      <c r="T171" s="2"/>
      <c r="U171" s="2"/>
      <c r="V171" s="21" t="str">
        <f>IF(OR($A171="",ISERROR(SEARCH("_",$A171))),"",IFERROR(SUMIFS(Trade_Reports!$Z$3:$Z$502,Trade_Reports!$H$3:$H$502,$A171,Trade_Reports!$M$3:$M$502,"APPROVED")/SUMIFS(Trade_Reports!$U$3:$U$502,Trade_Reports!$H$3:$H$502,$A171,Trade_Reports!$M$3:$M$502,"APPROVED"),""))</f>
        <v/>
      </c>
      <c r="W171" s="17" t="str">
        <f t="shared" si="1"/>
        <v/>
      </c>
      <c r="X171" s="2"/>
      <c r="Y171" s="2"/>
      <c r="Z171" s="2"/>
    </row>
    <row r="172" spans="1:26" ht="15.75" customHeight="1" x14ac:dyDescent="0.3">
      <c r="A172" s="15"/>
      <c r="B172" s="15"/>
      <c r="C172" s="16"/>
      <c r="D172" s="16"/>
      <c r="E172" s="16"/>
      <c r="F172" s="17" t="str">
        <f>IF($A172="","",IF($K172&lt;Settings!$B$14,"",IF($P172=0,"",IFERROR(_xludf.MINIFS(Trade_Reports!$I$3:$I$502,Trade_Reports!$H$3:$H$502,$A172,Trade_Reports!$M$3:$M$502,"APPROVED",Trade_Reports!$Q$3:$Q$502,"&lt;="&amp;Settings!$B$4,Trade_Reports!$W$3:$W$502,"&gt;="&amp;0.5*$P172),""))))</f>
        <v/>
      </c>
      <c r="G172" s="17" t="str">
        <f>IF($A172="","",IF($K172=0,"",IFERROR(_xludf.MINIFS(Trade_Reports!$I$3:$I$502,Trade_Reports!$H$3:$H$502,$A172,Trade_Reports!$M$3:$M$502,"APPROVED",Trade_Reports!$Q$3:$Q$502,"&lt;="&amp;Settings!$B$4),"")))</f>
        <v/>
      </c>
      <c r="H172" s="17" t="str">
        <f>IF($A172="","",IF($K172=0,"",IFERROR(_xludf.MAXIFS(Trade_Reports!$I$3:$I$502,Trade_Reports!$H$3:$H$502,$A172,Trade_Reports!$M$3:$M$502,"APPROVED",Trade_Reports!$Q$3:$Q$502,"&lt;="&amp;Settings!$B$4),"")))</f>
        <v/>
      </c>
      <c r="I172" s="17" t="str">
        <f>IF($A172="","",IF($F172="","",IF($Q172="","",IF(ABS($F172-$Q172)/$Q172&lt;=Settings!$B$18,"STABLE",IF($F172&gt;$Q172,"UP","DOWN")))))</f>
        <v/>
      </c>
      <c r="J172" s="18" t="str">
        <f>IF($A172="","",IF($K172=0,"",MIN(100,ROUND($K172/Settings!$B$14*100,0))))</f>
        <v/>
      </c>
      <c r="K172" s="17" t="str">
        <f>IF($A172="","",COUNTIFS(Trade_Reports!$H$3:$H$502,$A172,Trade_Reports!$M$3:$M$502,"APPROVED",Trade_Reports!$Q$3:$Q$502,"&lt;="&amp;Settings!$B$4))</f>
        <v/>
      </c>
      <c r="L172" s="19" t="str">
        <f>IF($A172="","",IF($K172=0,"",IFERROR(_xludf.MAXIFS(Trade_Reports!$O$3:$O$502,Trade_Reports!$H$3:$H$502,$A172,Trade_Reports!$M$3:$M$502,"APPROVED"),"")))</f>
        <v/>
      </c>
      <c r="M172" s="16" t="s">
        <v>46</v>
      </c>
      <c r="N172" s="15"/>
      <c r="O172" s="9" t="str">
        <f t="shared" si="0"/>
        <v/>
      </c>
      <c r="P172" s="2" t="str">
        <f>IF($A172="","",SUMIFS(Trade_Reports!$U$3:$U$502,Trade_Reports!$H$3:$H$502,$A172,Trade_Reports!$M$3:$M$502,"APPROVED",Trade_Reports!$Q$3:$Q$502,"&lt;="&amp;Settings!$B$4))</f>
        <v/>
      </c>
      <c r="Q172" s="2" t="str">
        <f>IF($A172="","",SUMIFS(Trade_Reports!$U$3:$U$502,Trade_Reports!$H$3:$H$502,$A172,Trade_Reports!$M$3:$M$502,"APPROVED",Trade_Reports!$Q$3:$Q$502,"&lt;="&amp;Settings!$B$5))</f>
        <v/>
      </c>
      <c r="R172" s="2" t="str">
        <f>IF($A172="","",IF($Q172=0,"",IFERROR(_xludf.MINIFS(Trade_Reports!$I$3:$I$502,Trade_Reports!$H$3:$H$502,$A172,Trade_Reports!$M$3:$M$502,"APPROVED",Trade_Reports!$Q$3:$Q$502,"&lt;="&amp;Settings!$B$5,Trade_Reports!$X$3:$X$502,"&gt;="&amp;0.5*$Q172),"")))</f>
        <v/>
      </c>
      <c r="S172" s="2" t="str">
        <f>IF($A172="","",COUNTIFS(Trade_Reports!$H$3:$H$502,$A172,Trade_Reports!$M$3:$M$502,"APPROVED",Trade_Reports!$Q$3:$Q$502,"&lt;="&amp;Settings!$B$5))</f>
        <v/>
      </c>
      <c r="T172" s="2"/>
      <c r="U172" s="2"/>
      <c r="V172" s="21" t="str">
        <f>IF(OR($A172="",ISERROR(SEARCH("_",$A172))),"",IFERROR(SUMIFS(Trade_Reports!$Z$3:$Z$502,Trade_Reports!$H$3:$H$502,$A172,Trade_Reports!$M$3:$M$502,"APPROVED")/SUMIFS(Trade_Reports!$U$3:$U$502,Trade_Reports!$H$3:$H$502,$A172,Trade_Reports!$M$3:$M$502,"APPROVED"),""))</f>
        <v/>
      </c>
      <c r="W172" s="17" t="str">
        <f t="shared" si="1"/>
        <v/>
      </c>
      <c r="X172" s="2"/>
      <c r="Y172" s="2"/>
      <c r="Z172" s="2"/>
    </row>
    <row r="173" spans="1:26" ht="15.75" customHeight="1" x14ac:dyDescent="0.3">
      <c r="A173" s="15"/>
      <c r="B173" s="15"/>
      <c r="C173" s="16"/>
      <c r="D173" s="16"/>
      <c r="E173" s="16"/>
      <c r="F173" s="17" t="str">
        <f>IF($A173="","",IF($K173&lt;Settings!$B$14,"",IF($P173=0,"",IFERROR(_xludf.MINIFS(Trade_Reports!$I$3:$I$502,Trade_Reports!$H$3:$H$502,$A173,Trade_Reports!$M$3:$M$502,"APPROVED",Trade_Reports!$Q$3:$Q$502,"&lt;="&amp;Settings!$B$4,Trade_Reports!$W$3:$W$502,"&gt;="&amp;0.5*$P173),""))))</f>
        <v/>
      </c>
      <c r="G173" s="17" t="str">
        <f>IF($A173="","",IF($K173=0,"",IFERROR(_xludf.MINIFS(Trade_Reports!$I$3:$I$502,Trade_Reports!$H$3:$H$502,$A173,Trade_Reports!$M$3:$M$502,"APPROVED",Trade_Reports!$Q$3:$Q$502,"&lt;="&amp;Settings!$B$4),"")))</f>
        <v/>
      </c>
      <c r="H173" s="17" t="str">
        <f>IF($A173="","",IF($K173=0,"",IFERROR(_xludf.MAXIFS(Trade_Reports!$I$3:$I$502,Trade_Reports!$H$3:$H$502,$A173,Trade_Reports!$M$3:$M$502,"APPROVED",Trade_Reports!$Q$3:$Q$502,"&lt;="&amp;Settings!$B$4),"")))</f>
        <v/>
      </c>
      <c r="I173" s="17" t="str">
        <f>IF($A173="","",IF($F173="","",IF($Q173="","",IF(ABS($F173-$Q173)/$Q173&lt;=Settings!$B$18,"STABLE",IF($F173&gt;$Q173,"UP","DOWN")))))</f>
        <v/>
      </c>
      <c r="J173" s="18" t="str">
        <f>IF($A173="","",IF($K173=0,"",MIN(100,ROUND($K173/Settings!$B$14*100,0))))</f>
        <v/>
      </c>
      <c r="K173" s="17" t="str">
        <f>IF($A173="","",COUNTIFS(Trade_Reports!$H$3:$H$502,$A173,Trade_Reports!$M$3:$M$502,"APPROVED",Trade_Reports!$Q$3:$Q$502,"&lt;="&amp;Settings!$B$4))</f>
        <v/>
      </c>
      <c r="L173" s="19" t="str">
        <f>IF($A173="","",IF($K173=0,"",IFERROR(_xludf.MAXIFS(Trade_Reports!$O$3:$O$502,Trade_Reports!$H$3:$H$502,$A173,Trade_Reports!$M$3:$M$502,"APPROVED"),"")))</f>
        <v/>
      </c>
      <c r="M173" s="16" t="s">
        <v>46</v>
      </c>
      <c r="N173" s="15"/>
      <c r="O173" s="9" t="str">
        <f t="shared" si="0"/>
        <v/>
      </c>
      <c r="P173" s="2" t="str">
        <f>IF($A173="","",SUMIFS(Trade_Reports!$U$3:$U$502,Trade_Reports!$H$3:$H$502,$A173,Trade_Reports!$M$3:$M$502,"APPROVED",Trade_Reports!$Q$3:$Q$502,"&lt;="&amp;Settings!$B$4))</f>
        <v/>
      </c>
      <c r="Q173" s="2" t="str">
        <f>IF($A173="","",SUMIFS(Trade_Reports!$U$3:$U$502,Trade_Reports!$H$3:$H$502,$A173,Trade_Reports!$M$3:$M$502,"APPROVED",Trade_Reports!$Q$3:$Q$502,"&lt;="&amp;Settings!$B$5))</f>
        <v/>
      </c>
      <c r="R173" s="2" t="str">
        <f>IF($A173="","",IF($Q173=0,"",IFERROR(_xludf.MINIFS(Trade_Reports!$I$3:$I$502,Trade_Reports!$H$3:$H$502,$A173,Trade_Reports!$M$3:$M$502,"APPROVED",Trade_Reports!$Q$3:$Q$502,"&lt;="&amp;Settings!$B$5,Trade_Reports!$X$3:$X$502,"&gt;="&amp;0.5*$Q173),"")))</f>
        <v/>
      </c>
      <c r="S173" s="2" t="str">
        <f>IF($A173="","",COUNTIFS(Trade_Reports!$H$3:$H$502,$A173,Trade_Reports!$M$3:$M$502,"APPROVED",Trade_Reports!$Q$3:$Q$502,"&lt;="&amp;Settings!$B$5))</f>
        <v/>
      </c>
      <c r="T173" s="2"/>
      <c r="U173" s="2"/>
      <c r="V173" s="21" t="str">
        <f>IF(OR($A173="",ISERROR(SEARCH("_",$A173))),"",IFERROR(SUMIFS(Trade_Reports!$Z$3:$Z$502,Trade_Reports!$H$3:$H$502,$A173,Trade_Reports!$M$3:$M$502,"APPROVED")/SUMIFS(Trade_Reports!$U$3:$U$502,Trade_Reports!$H$3:$H$502,$A173,Trade_Reports!$M$3:$M$502,"APPROVED"),""))</f>
        <v/>
      </c>
      <c r="W173" s="17" t="str">
        <f t="shared" si="1"/>
        <v/>
      </c>
      <c r="X173" s="2"/>
      <c r="Y173" s="2"/>
      <c r="Z173" s="2"/>
    </row>
    <row r="174" spans="1:26" ht="15.75" customHeight="1" x14ac:dyDescent="0.3">
      <c r="A174" s="15"/>
      <c r="B174" s="15"/>
      <c r="C174" s="16"/>
      <c r="D174" s="16"/>
      <c r="E174" s="16"/>
      <c r="F174" s="17" t="str">
        <f>IF($A174="","",IF($K174&lt;Settings!$B$14,"",IF($P174=0,"",IFERROR(_xludf.MINIFS(Trade_Reports!$I$3:$I$502,Trade_Reports!$H$3:$H$502,$A174,Trade_Reports!$M$3:$M$502,"APPROVED",Trade_Reports!$Q$3:$Q$502,"&lt;="&amp;Settings!$B$4,Trade_Reports!$W$3:$W$502,"&gt;="&amp;0.5*$P174),""))))</f>
        <v/>
      </c>
      <c r="G174" s="17" t="str">
        <f>IF($A174="","",IF($K174=0,"",IFERROR(_xludf.MINIFS(Trade_Reports!$I$3:$I$502,Trade_Reports!$H$3:$H$502,$A174,Trade_Reports!$M$3:$M$502,"APPROVED",Trade_Reports!$Q$3:$Q$502,"&lt;="&amp;Settings!$B$4),"")))</f>
        <v/>
      </c>
      <c r="H174" s="17" t="str">
        <f>IF($A174="","",IF($K174=0,"",IFERROR(_xludf.MAXIFS(Trade_Reports!$I$3:$I$502,Trade_Reports!$H$3:$H$502,$A174,Trade_Reports!$M$3:$M$502,"APPROVED",Trade_Reports!$Q$3:$Q$502,"&lt;="&amp;Settings!$B$4),"")))</f>
        <v/>
      </c>
      <c r="I174" s="17" t="str">
        <f>IF($A174="","",IF($F174="","",IF($Q174="","",IF(ABS($F174-$Q174)/$Q174&lt;=Settings!$B$18,"STABLE",IF($F174&gt;$Q174,"UP","DOWN")))))</f>
        <v/>
      </c>
      <c r="J174" s="18" t="str">
        <f>IF($A174="","",IF($K174=0,"",MIN(100,ROUND($K174/Settings!$B$14*100,0))))</f>
        <v/>
      </c>
      <c r="K174" s="17" t="str">
        <f>IF($A174="","",COUNTIFS(Trade_Reports!$H$3:$H$502,$A174,Trade_Reports!$M$3:$M$502,"APPROVED",Trade_Reports!$Q$3:$Q$502,"&lt;="&amp;Settings!$B$4))</f>
        <v/>
      </c>
      <c r="L174" s="19" t="str">
        <f>IF($A174="","",IF($K174=0,"",IFERROR(_xludf.MAXIFS(Trade_Reports!$O$3:$O$502,Trade_Reports!$H$3:$H$502,$A174,Trade_Reports!$M$3:$M$502,"APPROVED"),"")))</f>
        <v/>
      </c>
      <c r="M174" s="16" t="s">
        <v>46</v>
      </c>
      <c r="N174" s="15"/>
      <c r="O174" s="9" t="str">
        <f t="shared" si="0"/>
        <v/>
      </c>
      <c r="P174" s="2" t="str">
        <f>IF($A174="","",SUMIFS(Trade_Reports!$U$3:$U$502,Trade_Reports!$H$3:$H$502,$A174,Trade_Reports!$M$3:$M$502,"APPROVED",Trade_Reports!$Q$3:$Q$502,"&lt;="&amp;Settings!$B$4))</f>
        <v/>
      </c>
      <c r="Q174" s="2" t="str">
        <f>IF($A174="","",SUMIFS(Trade_Reports!$U$3:$U$502,Trade_Reports!$H$3:$H$502,$A174,Trade_Reports!$M$3:$M$502,"APPROVED",Trade_Reports!$Q$3:$Q$502,"&lt;="&amp;Settings!$B$5))</f>
        <v/>
      </c>
      <c r="R174" s="2" t="str">
        <f>IF($A174="","",IF($Q174=0,"",IFERROR(_xludf.MINIFS(Trade_Reports!$I$3:$I$502,Trade_Reports!$H$3:$H$502,$A174,Trade_Reports!$M$3:$M$502,"APPROVED",Trade_Reports!$Q$3:$Q$502,"&lt;="&amp;Settings!$B$5,Trade_Reports!$X$3:$X$502,"&gt;="&amp;0.5*$Q174),"")))</f>
        <v/>
      </c>
      <c r="S174" s="2" t="str">
        <f>IF($A174="","",COUNTIFS(Trade_Reports!$H$3:$H$502,$A174,Trade_Reports!$M$3:$M$502,"APPROVED",Trade_Reports!$Q$3:$Q$502,"&lt;="&amp;Settings!$B$5))</f>
        <v/>
      </c>
      <c r="T174" s="2"/>
      <c r="U174" s="2"/>
      <c r="V174" s="21" t="str">
        <f>IF(OR($A174="",ISERROR(SEARCH("_",$A174))),"",IFERROR(SUMIFS(Trade_Reports!$Z$3:$Z$502,Trade_Reports!$H$3:$H$502,$A174,Trade_Reports!$M$3:$M$502,"APPROVED")/SUMIFS(Trade_Reports!$U$3:$U$502,Trade_Reports!$H$3:$H$502,$A174,Trade_Reports!$M$3:$M$502,"APPROVED"),""))</f>
        <v/>
      </c>
      <c r="W174" s="17" t="str">
        <f t="shared" si="1"/>
        <v/>
      </c>
      <c r="X174" s="2"/>
      <c r="Y174" s="2"/>
      <c r="Z174" s="2"/>
    </row>
    <row r="175" spans="1:26" ht="15.75" customHeight="1" x14ac:dyDescent="0.3">
      <c r="A175" s="15"/>
      <c r="B175" s="15"/>
      <c r="C175" s="16"/>
      <c r="D175" s="16"/>
      <c r="E175" s="16"/>
      <c r="F175" s="17" t="str">
        <f>IF($A175="","",IF($K175&lt;Settings!$B$14,"",IF($P175=0,"",IFERROR(_xludf.MINIFS(Trade_Reports!$I$3:$I$502,Trade_Reports!$H$3:$H$502,$A175,Trade_Reports!$M$3:$M$502,"APPROVED",Trade_Reports!$Q$3:$Q$502,"&lt;="&amp;Settings!$B$4,Trade_Reports!$W$3:$W$502,"&gt;="&amp;0.5*$P175),""))))</f>
        <v/>
      </c>
      <c r="G175" s="17" t="str">
        <f>IF($A175="","",IF($K175=0,"",IFERROR(_xludf.MINIFS(Trade_Reports!$I$3:$I$502,Trade_Reports!$H$3:$H$502,$A175,Trade_Reports!$M$3:$M$502,"APPROVED",Trade_Reports!$Q$3:$Q$502,"&lt;="&amp;Settings!$B$4),"")))</f>
        <v/>
      </c>
      <c r="H175" s="17" t="str">
        <f>IF($A175="","",IF($K175=0,"",IFERROR(_xludf.MAXIFS(Trade_Reports!$I$3:$I$502,Trade_Reports!$H$3:$H$502,$A175,Trade_Reports!$M$3:$M$502,"APPROVED",Trade_Reports!$Q$3:$Q$502,"&lt;="&amp;Settings!$B$4),"")))</f>
        <v/>
      </c>
      <c r="I175" s="17" t="str">
        <f>IF($A175="","",IF($F175="","",IF($Q175="","",IF(ABS($F175-$Q175)/$Q175&lt;=Settings!$B$18,"STABLE",IF($F175&gt;$Q175,"UP","DOWN")))))</f>
        <v/>
      </c>
      <c r="J175" s="18" t="str">
        <f>IF($A175="","",IF($K175=0,"",MIN(100,ROUND($K175/Settings!$B$14*100,0))))</f>
        <v/>
      </c>
      <c r="K175" s="17" t="str">
        <f>IF($A175="","",COUNTIFS(Trade_Reports!$H$3:$H$502,$A175,Trade_Reports!$M$3:$M$502,"APPROVED",Trade_Reports!$Q$3:$Q$502,"&lt;="&amp;Settings!$B$4))</f>
        <v/>
      </c>
      <c r="L175" s="19" t="str">
        <f>IF($A175="","",IF($K175=0,"",IFERROR(_xludf.MAXIFS(Trade_Reports!$O$3:$O$502,Trade_Reports!$H$3:$H$502,$A175,Trade_Reports!$M$3:$M$502,"APPROVED"),"")))</f>
        <v/>
      </c>
      <c r="M175" s="16" t="s">
        <v>46</v>
      </c>
      <c r="N175" s="15"/>
      <c r="O175" s="9" t="str">
        <f t="shared" si="0"/>
        <v/>
      </c>
      <c r="P175" s="2" t="str">
        <f>IF($A175="","",SUMIFS(Trade_Reports!$U$3:$U$502,Trade_Reports!$H$3:$H$502,$A175,Trade_Reports!$M$3:$M$502,"APPROVED",Trade_Reports!$Q$3:$Q$502,"&lt;="&amp;Settings!$B$4))</f>
        <v/>
      </c>
      <c r="Q175" s="2" t="str">
        <f>IF($A175="","",SUMIFS(Trade_Reports!$U$3:$U$502,Trade_Reports!$H$3:$H$502,$A175,Trade_Reports!$M$3:$M$502,"APPROVED",Trade_Reports!$Q$3:$Q$502,"&lt;="&amp;Settings!$B$5))</f>
        <v/>
      </c>
      <c r="R175" s="2" t="str">
        <f>IF($A175="","",IF($Q175=0,"",IFERROR(_xludf.MINIFS(Trade_Reports!$I$3:$I$502,Trade_Reports!$H$3:$H$502,$A175,Trade_Reports!$M$3:$M$502,"APPROVED",Trade_Reports!$Q$3:$Q$502,"&lt;="&amp;Settings!$B$5,Trade_Reports!$X$3:$X$502,"&gt;="&amp;0.5*$Q175),"")))</f>
        <v/>
      </c>
      <c r="S175" s="2" t="str">
        <f>IF($A175="","",COUNTIFS(Trade_Reports!$H$3:$H$502,$A175,Trade_Reports!$M$3:$M$502,"APPROVED",Trade_Reports!$Q$3:$Q$502,"&lt;="&amp;Settings!$B$5))</f>
        <v/>
      </c>
      <c r="T175" s="2"/>
      <c r="U175" s="2"/>
      <c r="V175" s="21" t="str">
        <f>IF(OR($A175="",ISERROR(SEARCH("_",$A175))),"",IFERROR(SUMIFS(Trade_Reports!$Z$3:$Z$502,Trade_Reports!$H$3:$H$502,$A175,Trade_Reports!$M$3:$M$502,"APPROVED")/SUMIFS(Trade_Reports!$U$3:$U$502,Trade_Reports!$H$3:$H$502,$A175,Trade_Reports!$M$3:$M$502,"APPROVED"),""))</f>
        <v/>
      </c>
      <c r="W175" s="17" t="str">
        <f t="shared" si="1"/>
        <v/>
      </c>
      <c r="X175" s="2"/>
      <c r="Y175" s="2"/>
      <c r="Z175" s="2"/>
    </row>
    <row r="176" spans="1:26" ht="15.75" customHeight="1" x14ac:dyDescent="0.3">
      <c r="A176" s="15"/>
      <c r="B176" s="15"/>
      <c r="C176" s="16"/>
      <c r="D176" s="16"/>
      <c r="E176" s="16"/>
      <c r="F176" s="17" t="str">
        <f>IF($A176="","",IF($K176&lt;Settings!$B$14,"",IF($P176=0,"",IFERROR(_xludf.MINIFS(Trade_Reports!$I$3:$I$502,Trade_Reports!$H$3:$H$502,$A176,Trade_Reports!$M$3:$M$502,"APPROVED",Trade_Reports!$Q$3:$Q$502,"&lt;="&amp;Settings!$B$4,Trade_Reports!$W$3:$W$502,"&gt;="&amp;0.5*$P176),""))))</f>
        <v/>
      </c>
      <c r="G176" s="17" t="str">
        <f>IF($A176="","",IF($K176=0,"",IFERROR(_xludf.MINIFS(Trade_Reports!$I$3:$I$502,Trade_Reports!$H$3:$H$502,$A176,Trade_Reports!$M$3:$M$502,"APPROVED",Trade_Reports!$Q$3:$Q$502,"&lt;="&amp;Settings!$B$4),"")))</f>
        <v/>
      </c>
      <c r="H176" s="17" t="str">
        <f>IF($A176="","",IF($K176=0,"",IFERROR(_xludf.MAXIFS(Trade_Reports!$I$3:$I$502,Trade_Reports!$H$3:$H$502,$A176,Trade_Reports!$M$3:$M$502,"APPROVED",Trade_Reports!$Q$3:$Q$502,"&lt;="&amp;Settings!$B$4),"")))</f>
        <v/>
      </c>
      <c r="I176" s="17" t="str">
        <f>IF($A176="","",IF($F176="","",IF($Q176="","",IF(ABS($F176-$Q176)/$Q176&lt;=Settings!$B$18,"STABLE",IF($F176&gt;$Q176,"UP","DOWN")))))</f>
        <v/>
      </c>
      <c r="J176" s="18" t="str">
        <f>IF($A176="","",IF($K176=0,"",MIN(100,ROUND($K176/Settings!$B$14*100,0))))</f>
        <v/>
      </c>
      <c r="K176" s="17" t="str">
        <f>IF($A176="","",COUNTIFS(Trade_Reports!$H$3:$H$502,$A176,Trade_Reports!$M$3:$M$502,"APPROVED",Trade_Reports!$Q$3:$Q$502,"&lt;="&amp;Settings!$B$4))</f>
        <v/>
      </c>
      <c r="L176" s="19" t="str">
        <f>IF($A176="","",IF($K176=0,"",IFERROR(_xludf.MAXIFS(Trade_Reports!$O$3:$O$502,Trade_Reports!$H$3:$H$502,$A176,Trade_Reports!$M$3:$M$502,"APPROVED"),"")))</f>
        <v/>
      </c>
      <c r="M176" s="16" t="s">
        <v>46</v>
      </c>
      <c r="N176" s="15"/>
      <c r="O176" s="9" t="str">
        <f t="shared" si="0"/>
        <v/>
      </c>
      <c r="P176" s="2" t="str">
        <f>IF($A176="","",SUMIFS(Trade_Reports!$U$3:$U$502,Trade_Reports!$H$3:$H$502,$A176,Trade_Reports!$M$3:$M$502,"APPROVED",Trade_Reports!$Q$3:$Q$502,"&lt;="&amp;Settings!$B$4))</f>
        <v/>
      </c>
      <c r="Q176" s="2" t="str">
        <f>IF($A176="","",SUMIFS(Trade_Reports!$U$3:$U$502,Trade_Reports!$H$3:$H$502,$A176,Trade_Reports!$M$3:$M$502,"APPROVED",Trade_Reports!$Q$3:$Q$502,"&lt;="&amp;Settings!$B$5))</f>
        <v/>
      </c>
      <c r="R176" s="2" t="str">
        <f>IF($A176="","",IF($Q176=0,"",IFERROR(_xludf.MINIFS(Trade_Reports!$I$3:$I$502,Trade_Reports!$H$3:$H$502,$A176,Trade_Reports!$M$3:$M$502,"APPROVED",Trade_Reports!$Q$3:$Q$502,"&lt;="&amp;Settings!$B$5,Trade_Reports!$X$3:$X$502,"&gt;="&amp;0.5*$Q176),"")))</f>
        <v/>
      </c>
      <c r="S176" s="2" t="str">
        <f>IF($A176="","",COUNTIFS(Trade_Reports!$H$3:$H$502,$A176,Trade_Reports!$M$3:$M$502,"APPROVED",Trade_Reports!$Q$3:$Q$502,"&lt;="&amp;Settings!$B$5))</f>
        <v/>
      </c>
      <c r="T176" s="2"/>
      <c r="U176" s="2"/>
      <c r="V176" s="21" t="str">
        <f>IF(OR($A176="",ISERROR(SEARCH("_",$A176))),"",IFERROR(SUMIFS(Trade_Reports!$Z$3:$Z$502,Trade_Reports!$H$3:$H$502,$A176,Trade_Reports!$M$3:$M$502,"APPROVED")/SUMIFS(Trade_Reports!$U$3:$U$502,Trade_Reports!$H$3:$H$502,$A176,Trade_Reports!$M$3:$M$502,"APPROVED"),""))</f>
        <v/>
      </c>
      <c r="W176" s="17" t="str">
        <f t="shared" si="1"/>
        <v/>
      </c>
      <c r="X176" s="2"/>
      <c r="Y176" s="2"/>
      <c r="Z176" s="2"/>
    </row>
    <row r="177" spans="1:26" ht="15.75" customHeight="1" x14ac:dyDescent="0.3">
      <c r="A177" s="15"/>
      <c r="B177" s="15"/>
      <c r="C177" s="16"/>
      <c r="D177" s="16"/>
      <c r="E177" s="16"/>
      <c r="F177" s="17" t="str">
        <f>IF($A177="","",IF($K177&lt;Settings!$B$14,"",IF($P177=0,"",IFERROR(_xludf.MINIFS(Trade_Reports!$I$3:$I$502,Trade_Reports!$H$3:$H$502,$A177,Trade_Reports!$M$3:$M$502,"APPROVED",Trade_Reports!$Q$3:$Q$502,"&lt;="&amp;Settings!$B$4,Trade_Reports!$W$3:$W$502,"&gt;="&amp;0.5*$P177),""))))</f>
        <v/>
      </c>
      <c r="G177" s="17" t="str">
        <f>IF($A177="","",IF($K177=0,"",IFERROR(_xludf.MINIFS(Trade_Reports!$I$3:$I$502,Trade_Reports!$H$3:$H$502,$A177,Trade_Reports!$M$3:$M$502,"APPROVED",Trade_Reports!$Q$3:$Q$502,"&lt;="&amp;Settings!$B$4),"")))</f>
        <v/>
      </c>
      <c r="H177" s="17" t="str">
        <f>IF($A177="","",IF($K177=0,"",IFERROR(_xludf.MAXIFS(Trade_Reports!$I$3:$I$502,Trade_Reports!$H$3:$H$502,$A177,Trade_Reports!$M$3:$M$502,"APPROVED",Trade_Reports!$Q$3:$Q$502,"&lt;="&amp;Settings!$B$4),"")))</f>
        <v/>
      </c>
      <c r="I177" s="17" t="str">
        <f>IF($A177="","",IF($F177="","",IF($Q177="","",IF(ABS($F177-$Q177)/$Q177&lt;=Settings!$B$18,"STABLE",IF($F177&gt;$Q177,"UP","DOWN")))))</f>
        <v/>
      </c>
      <c r="J177" s="18" t="str">
        <f>IF($A177="","",IF($K177=0,"",MIN(100,ROUND($K177/Settings!$B$14*100,0))))</f>
        <v/>
      </c>
      <c r="K177" s="17" t="str">
        <f>IF($A177="","",COUNTIFS(Trade_Reports!$H$3:$H$502,$A177,Trade_Reports!$M$3:$M$502,"APPROVED",Trade_Reports!$Q$3:$Q$502,"&lt;="&amp;Settings!$B$4))</f>
        <v/>
      </c>
      <c r="L177" s="19" t="str">
        <f>IF($A177="","",IF($K177=0,"",IFERROR(_xludf.MAXIFS(Trade_Reports!$O$3:$O$502,Trade_Reports!$H$3:$H$502,$A177,Trade_Reports!$M$3:$M$502,"APPROVED"),"")))</f>
        <v/>
      </c>
      <c r="M177" s="16" t="s">
        <v>46</v>
      </c>
      <c r="N177" s="15"/>
      <c r="O177" s="9" t="str">
        <f t="shared" si="0"/>
        <v/>
      </c>
      <c r="P177" s="2" t="str">
        <f>IF($A177="","",SUMIFS(Trade_Reports!$U$3:$U$502,Trade_Reports!$H$3:$H$502,$A177,Trade_Reports!$M$3:$M$502,"APPROVED",Trade_Reports!$Q$3:$Q$502,"&lt;="&amp;Settings!$B$4))</f>
        <v/>
      </c>
      <c r="Q177" s="2" t="str">
        <f>IF($A177="","",SUMIFS(Trade_Reports!$U$3:$U$502,Trade_Reports!$H$3:$H$502,$A177,Trade_Reports!$M$3:$M$502,"APPROVED",Trade_Reports!$Q$3:$Q$502,"&lt;="&amp;Settings!$B$5))</f>
        <v/>
      </c>
      <c r="R177" s="2" t="str">
        <f>IF($A177="","",IF($Q177=0,"",IFERROR(_xludf.MINIFS(Trade_Reports!$I$3:$I$502,Trade_Reports!$H$3:$H$502,$A177,Trade_Reports!$M$3:$M$502,"APPROVED",Trade_Reports!$Q$3:$Q$502,"&lt;="&amp;Settings!$B$5,Trade_Reports!$X$3:$X$502,"&gt;="&amp;0.5*$Q177),"")))</f>
        <v/>
      </c>
      <c r="S177" s="2" t="str">
        <f>IF($A177="","",COUNTIFS(Trade_Reports!$H$3:$H$502,$A177,Trade_Reports!$M$3:$M$502,"APPROVED",Trade_Reports!$Q$3:$Q$502,"&lt;="&amp;Settings!$B$5))</f>
        <v/>
      </c>
      <c r="T177" s="2"/>
      <c r="U177" s="2"/>
      <c r="V177" s="21" t="str">
        <f>IF(OR($A177="",ISERROR(SEARCH("_",$A177))),"",IFERROR(SUMIFS(Trade_Reports!$Z$3:$Z$502,Trade_Reports!$H$3:$H$502,$A177,Trade_Reports!$M$3:$M$502,"APPROVED")/SUMIFS(Trade_Reports!$U$3:$U$502,Trade_Reports!$H$3:$H$502,$A177,Trade_Reports!$M$3:$M$502,"APPROVED"),""))</f>
        <v/>
      </c>
      <c r="W177" s="17" t="str">
        <f t="shared" si="1"/>
        <v/>
      </c>
      <c r="X177" s="2"/>
      <c r="Y177" s="2"/>
      <c r="Z177" s="2"/>
    </row>
    <row r="178" spans="1:26" ht="15.75" customHeight="1" x14ac:dyDescent="0.3">
      <c r="A178" s="15"/>
      <c r="B178" s="15"/>
      <c r="C178" s="16"/>
      <c r="D178" s="16"/>
      <c r="E178" s="16"/>
      <c r="F178" s="17" t="str">
        <f>IF($A178="","",IF($K178&lt;Settings!$B$14,"",IF($P178=0,"",IFERROR(_xludf.MINIFS(Trade_Reports!$I$3:$I$502,Trade_Reports!$H$3:$H$502,$A178,Trade_Reports!$M$3:$M$502,"APPROVED",Trade_Reports!$Q$3:$Q$502,"&lt;="&amp;Settings!$B$4,Trade_Reports!$W$3:$W$502,"&gt;="&amp;0.5*$P178),""))))</f>
        <v/>
      </c>
      <c r="G178" s="17" t="str">
        <f>IF($A178="","",IF($K178=0,"",IFERROR(_xludf.MINIFS(Trade_Reports!$I$3:$I$502,Trade_Reports!$H$3:$H$502,$A178,Trade_Reports!$M$3:$M$502,"APPROVED",Trade_Reports!$Q$3:$Q$502,"&lt;="&amp;Settings!$B$4),"")))</f>
        <v/>
      </c>
      <c r="H178" s="17" t="str">
        <f>IF($A178="","",IF($K178=0,"",IFERROR(_xludf.MAXIFS(Trade_Reports!$I$3:$I$502,Trade_Reports!$H$3:$H$502,$A178,Trade_Reports!$M$3:$M$502,"APPROVED",Trade_Reports!$Q$3:$Q$502,"&lt;="&amp;Settings!$B$4),"")))</f>
        <v/>
      </c>
      <c r="I178" s="17" t="str">
        <f>IF($A178="","",IF($F178="","",IF($Q178="","",IF(ABS($F178-$Q178)/$Q178&lt;=Settings!$B$18,"STABLE",IF($F178&gt;$Q178,"UP","DOWN")))))</f>
        <v/>
      </c>
      <c r="J178" s="18" t="str">
        <f>IF($A178="","",IF($K178=0,"",MIN(100,ROUND($K178/Settings!$B$14*100,0))))</f>
        <v/>
      </c>
      <c r="K178" s="17" t="str">
        <f>IF($A178="","",COUNTIFS(Trade_Reports!$H$3:$H$502,$A178,Trade_Reports!$M$3:$M$502,"APPROVED",Trade_Reports!$Q$3:$Q$502,"&lt;="&amp;Settings!$B$4))</f>
        <v/>
      </c>
      <c r="L178" s="19" t="str">
        <f>IF($A178="","",IF($K178=0,"",IFERROR(_xludf.MAXIFS(Trade_Reports!$O$3:$O$502,Trade_Reports!$H$3:$H$502,$A178,Trade_Reports!$M$3:$M$502,"APPROVED"),"")))</f>
        <v/>
      </c>
      <c r="M178" s="16" t="s">
        <v>46</v>
      </c>
      <c r="N178" s="15"/>
      <c r="O178" s="9" t="str">
        <f t="shared" si="0"/>
        <v/>
      </c>
      <c r="P178" s="2" t="str">
        <f>IF($A178="","",SUMIFS(Trade_Reports!$U$3:$U$502,Trade_Reports!$H$3:$H$502,$A178,Trade_Reports!$M$3:$M$502,"APPROVED",Trade_Reports!$Q$3:$Q$502,"&lt;="&amp;Settings!$B$4))</f>
        <v/>
      </c>
      <c r="Q178" s="2" t="str">
        <f>IF($A178="","",SUMIFS(Trade_Reports!$U$3:$U$502,Trade_Reports!$H$3:$H$502,$A178,Trade_Reports!$M$3:$M$502,"APPROVED",Trade_Reports!$Q$3:$Q$502,"&lt;="&amp;Settings!$B$5))</f>
        <v/>
      </c>
      <c r="R178" s="2" t="str">
        <f>IF($A178="","",IF($Q178=0,"",IFERROR(_xludf.MINIFS(Trade_Reports!$I$3:$I$502,Trade_Reports!$H$3:$H$502,$A178,Trade_Reports!$M$3:$M$502,"APPROVED",Trade_Reports!$Q$3:$Q$502,"&lt;="&amp;Settings!$B$5,Trade_Reports!$X$3:$X$502,"&gt;="&amp;0.5*$Q178),"")))</f>
        <v/>
      </c>
      <c r="S178" s="2" t="str">
        <f>IF($A178="","",COUNTIFS(Trade_Reports!$H$3:$H$502,$A178,Trade_Reports!$M$3:$M$502,"APPROVED",Trade_Reports!$Q$3:$Q$502,"&lt;="&amp;Settings!$B$5))</f>
        <v/>
      </c>
      <c r="T178" s="2"/>
      <c r="U178" s="2"/>
      <c r="V178" s="21" t="str">
        <f>IF(OR($A178="",ISERROR(SEARCH("_",$A178))),"",IFERROR(SUMIFS(Trade_Reports!$Z$3:$Z$502,Trade_Reports!$H$3:$H$502,$A178,Trade_Reports!$M$3:$M$502,"APPROVED")/SUMIFS(Trade_Reports!$U$3:$U$502,Trade_Reports!$H$3:$H$502,$A178,Trade_Reports!$M$3:$M$502,"APPROVED"),""))</f>
        <v/>
      </c>
      <c r="W178" s="17" t="str">
        <f t="shared" si="1"/>
        <v/>
      </c>
      <c r="X178" s="2"/>
      <c r="Y178" s="2"/>
      <c r="Z178" s="2"/>
    </row>
    <row r="179" spans="1:26" ht="15.75" customHeight="1" x14ac:dyDescent="0.3">
      <c r="A179" s="15"/>
      <c r="B179" s="15"/>
      <c r="C179" s="16"/>
      <c r="D179" s="16"/>
      <c r="E179" s="16"/>
      <c r="F179" s="17" t="str">
        <f>IF($A179="","",IF($K179&lt;Settings!$B$14,"",IF($P179=0,"",IFERROR(_xludf.MINIFS(Trade_Reports!$I$3:$I$502,Trade_Reports!$H$3:$H$502,$A179,Trade_Reports!$M$3:$M$502,"APPROVED",Trade_Reports!$Q$3:$Q$502,"&lt;="&amp;Settings!$B$4,Trade_Reports!$W$3:$W$502,"&gt;="&amp;0.5*$P179),""))))</f>
        <v/>
      </c>
      <c r="G179" s="17" t="str">
        <f>IF($A179="","",IF($K179=0,"",IFERROR(_xludf.MINIFS(Trade_Reports!$I$3:$I$502,Trade_Reports!$H$3:$H$502,$A179,Trade_Reports!$M$3:$M$502,"APPROVED",Trade_Reports!$Q$3:$Q$502,"&lt;="&amp;Settings!$B$4),"")))</f>
        <v/>
      </c>
      <c r="H179" s="17" t="str">
        <f>IF($A179="","",IF($K179=0,"",IFERROR(_xludf.MAXIFS(Trade_Reports!$I$3:$I$502,Trade_Reports!$H$3:$H$502,$A179,Trade_Reports!$M$3:$M$502,"APPROVED",Trade_Reports!$Q$3:$Q$502,"&lt;="&amp;Settings!$B$4),"")))</f>
        <v/>
      </c>
      <c r="I179" s="17" t="str">
        <f>IF($A179="","",IF($F179="","",IF($Q179="","",IF(ABS($F179-$Q179)/$Q179&lt;=Settings!$B$18,"STABLE",IF($F179&gt;$Q179,"UP","DOWN")))))</f>
        <v/>
      </c>
      <c r="J179" s="18" t="str">
        <f>IF($A179="","",IF($K179=0,"",MIN(100,ROUND($K179/Settings!$B$14*100,0))))</f>
        <v/>
      </c>
      <c r="K179" s="17" t="str">
        <f>IF($A179="","",COUNTIFS(Trade_Reports!$H$3:$H$502,$A179,Trade_Reports!$M$3:$M$502,"APPROVED",Trade_Reports!$Q$3:$Q$502,"&lt;="&amp;Settings!$B$4))</f>
        <v/>
      </c>
      <c r="L179" s="19" t="str">
        <f>IF($A179="","",IF($K179=0,"",IFERROR(_xludf.MAXIFS(Trade_Reports!$O$3:$O$502,Trade_Reports!$H$3:$H$502,$A179,Trade_Reports!$M$3:$M$502,"APPROVED"),"")))</f>
        <v/>
      </c>
      <c r="M179" s="16" t="s">
        <v>46</v>
      </c>
      <c r="N179" s="15"/>
      <c r="O179" s="9" t="str">
        <f t="shared" si="0"/>
        <v/>
      </c>
      <c r="P179" s="2" t="str">
        <f>IF($A179="","",SUMIFS(Trade_Reports!$U$3:$U$502,Trade_Reports!$H$3:$H$502,$A179,Trade_Reports!$M$3:$M$502,"APPROVED",Trade_Reports!$Q$3:$Q$502,"&lt;="&amp;Settings!$B$4))</f>
        <v/>
      </c>
      <c r="Q179" s="2" t="str">
        <f>IF($A179="","",SUMIFS(Trade_Reports!$U$3:$U$502,Trade_Reports!$H$3:$H$502,$A179,Trade_Reports!$M$3:$M$502,"APPROVED",Trade_Reports!$Q$3:$Q$502,"&lt;="&amp;Settings!$B$5))</f>
        <v/>
      </c>
      <c r="R179" s="2" t="str">
        <f>IF($A179="","",IF($Q179=0,"",IFERROR(_xludf.MINIFS(Trade_Reports!$I$3:$I$502,Trade_Reports!$H$3:$H$502,$A179,Trade_Reports!$M$3:$M$502,"APPROVED",Trade_Reports!$Q$3:$Q$502,"&lt;="&amp;Settings!$B$5,Trade_Reports!$X$3:$X$502,"&gt;="&amp;0.5*$Q179),"")))</f>
        <v/>
      </c>
      <c r="S179" s="2" t="str">
        <f>IF($A179="","",COUNTIFS(Trade_Reports!$H$3:$H$502,$A179,Trade_Reports!$M$3:$M$502,"APPROVED",Trade_Reports!$Q$3:$Q$502,"&lt;="&amp;Settings!$B$5))</f>
        <v/>
      </c>
      <c r="T179" s="2"/>
      <c r="U179" s="2"/>
      <c r="V179" s="21" t="str">
        <f>IF(OR($A179="",ISERROR(SEARCH("_",$A179))),"",IFERROR(SUMIFS(Trade_Reports!$Z$3:$Z$502,Trade_Reports!$H$3:$H$502,$A179,Trade_Reports!$M$3:$M$502,"APPROVED")/SUMIFS(Trade_Reports!$U$3:$U$502,Trade_Reports!$H$3:$H$502,$A179,Trade_Reports!$M$3:$M$502,"APPROVED"),""))</f>
        <v/>
      </c>
      <c r="W179" s="17" t="str">
        <f t="shared" si="1"/>
        <v/>
      </c>
      <c r="X179" s="2"/>
      <c r="Y179" s="2"/>
      <c r="Z179" s="2"/>
    </row>
    <row r="180" spans="1:26" ht="15.75" customHeight="1" x14ac:dyDescent="0.3">
      <c r="A180" s="15"/>
      <c r="B180" s="15"/>
      <c r="C180" s="16"/>
      <c r="D180" s="16"/>
      <c r="E180" s="16"/>
      <c r="F180" s="17" t="str">
        <f>IF($A180="","",IF($K180&lt;Settings!$B$14,"",IF($P180=0,"",IFERROR(_xludf.MINIFS(Trade_Reports!$I$3:$I$502,Trade_Reports!$H$3:$H$502,$A180,Trade_Reports!$M$3:$M$502,"APPROVED",Trade_Reports!$Q$3:$Q$502,"&lt;="&amp;Settings!$B$4,Trade_Reports!$W$3:$W$502,"&gt;="&amp;0.5*$P180),""))))</f>
        <v/>
      </c>
      <c r="G180" s="17" t="str">
        <f>IF($A180="","",IF($K180=0,"",IFERROR(_xludf.MINIFS(Trade_Reports!$I$3:$I$502,Trade_Reports!$H$3:$H$502,$A180,Trade_Reports!$M$3:$M$502,"APPROVED",Trade_Reports!$Q$3:$Q$502,"&lt;="&amp;Settings!$B$4),"")))</f>
        <v/>
      </c>
      <c r="H180" s="17" t="str">
        <f>IF($A180="","",IF($K180=0,"",IFERROR(_xludf.MAXIFS(Trade_Reports!$I$3:$I$502,Trade_Reports!$H$3:$H$502,$A180,Trade_Reports!$M$3:$M$502,"APPROVED",Trade_Reports!$Q$3:$Q$502,"&lt;="&amp;Settings!$B$4),"")))</f>
        <v/>
      </c>
      <c r="I180" s="17" t="str">
        <f>IF($A180="","",IF($F180="","",IF($Q180="","",IF(ABS($F180-$Q180)/$Q180&lt;=Settings!$B$18,"STABLE",IF($F180&gt;$Q180,"UP","DOWN")))))</f>
        <v/>
      </c>
      <c r="J180" s="18" t="str">
        <f>IF($A180="","",IF($K180=0,"",MIN(100,ROUND($K180/Settings!$B$14*100,0))))</f>
        <v/>
      </c>
      <c r="K180" s="17" t="str">
        <f>IF($A180="","",COUNTIFS(Trade_Reports!$H$3:$H$502,$A180,Trade_Reports!$M$3:$M$502,"APPROVED",Trade_Reports!$Q$3:$Q$502,"&lt;="&amp;Settings!$B$4))</f>
        <v/>
      </c>
      <c r="L180" s="19" t="str">
        <f>IF($A180="","",IF($K180=0,"",IFERROR(_xludf.MAXIFS(Trade_Reports!$O$3:$O$502,Trade_Reports!$H$3:$H$502,$A180,Trade_Reports!$M$3:$M$502,"APPROVED"),"")))</f>
        <v/>
      </c>
      <c r="M180" s="16" t="s">
        <v>46</v>
      </c>
      <c r="N180" s="15"/>
      <c r="O180" s="9" t="str">
        <f t="shared" si="0"/>
        <v/>
      </c>
      <c r="P180" s="2" t="str">
        <f>IF($A180="","",SUMIFS(Trade_Reports!$U$3:$U$502,Trade_Reports!$H$3:$H$502,$A180,Trade_Reports!$M$3:$M$502,"APPROVED",Trade_Reports!$Q$3:$Q$502,"&lt;="&amp;Settings!$B$4))</f>
        <v/>
      </c>
      <c r="Q180" s="2" t="str">
        <f>IF($A180="","",SUMIFS(Trade_Reports!$U$3:$U$502,Trade_Reports!$H$3:$H$502,$A180,Trade_Reports!$M$3:$M$502,"APPROVED",Trade_Reports!$Q$3:$Q$502,"&lt;="&amp;Settings!$B$5))</f>
        <v/>
      </c>
      <c r="R180" s="2" t="str">
        <f>IF($A180="","",IF($Q180=0,"",IFERROR(_xludf.MINIFS(Trade_Reports!$I$3:$I$502,Trade_Reports!$H$3:$H$502,$A180,Trade_Reports!$M$3:$M$502,"APPROVED",Trade_Reports!$Q$3:$Q$502,"&lt;="&amp;Settings!$B$5,Trade_Reports!$X$3:$X$502,"&gt;="&amp;0.5*$Q180),"")))</f>
        <v/>
      </c>
      <c r="S180" s="2" t="str">
        <f>IF($A180="","",COUNTIFS(Trade_Reports!$H$3:$H$502,$A180,Trade_Reports!$M$3:$M$502,"APPROVED",Trade_Reports!$Q$3:$Q$502,"&lt;="&amp;Settings!$B$5))</f>
        <v/>
      </c>
      <c r="T180" s="2"/>
      <c r="U180" s="2"/>
      <c r="V180" s="21" t="str">
        <f>IF(OR($A180="",ISERROR(SEARCH("_",$A180))),"",IFERROR(SUMIFS(Trade_Reports!$Z$3:$Z$502,Trade_Reports!$H$3:$H$502,$A180,Trade_Reports!$M$3:$M$502,"APPROVED")/SUMIFS(Trade_Reports!$U$3:$U$502,Trade_Reports!$H$3:$H$502,$A180,Trade_Reports!$M$3:$M$502,"APPROVED"),""))</f>
        <v/>
      </c>
      <c r="W180" s="17" t="str">
        <f t="shared" si="1"/>
        <v/>
      </c>
      <c r="X180" s="2"/>
      <c r="Y180" s="2"/>
      <c r="Z180" s="2"/>
    </row>
    <row r="181" spans="1:26" ht="15.75" customHeight="1" x14ac:dyDescent="0.3">
      <c r="A181" s="15"/>
      <c r="B181" s="15"/>
      <c r="C181" s="16"/>
      <c r="D181" s="16"/>
      <c r="E181" s="16"/>
      <c r="F181" s="17" t="str">
        <f>IF($A181="","",IF($K181&lt;Settings!$B$14,"",IF($P181=0,"",IFERROR(_xludf.MINIFS(Trade_Reports!$I$3:$I$502,Trade_Reports!$H$3:$H$502,$A181,Trade_Reports!$M$3:$M$502,"APPROVED",Trade_Reports!$Q$3:$Q$502,"&lt;="&amp;Settings!$B$4,Trade_Reports!$W$3:$W$502,"&gt;="&amp;0.5*$P181),""))))</f>
        <v/>
      </c>
      <c r="G181" s="17" t="str">
        <f>IF($A181="","",IF($K181=0,"",IFERROR(_xludf.MINIFS(Trade_Reports!$I$3:$I$502,Trade_Reports!$H$3:$H$502,$A181,Trade_Reports!$M$3:$M$502,"APPROVED",Trade_Reports!$Q$3:$Q$502,"&lt;="&amp;Settings!$B$4),"")))</f>
        <v/>
      </c>
      <c r="H181" s="17" t="str">
        <f>IF($A181="","",IF($K181=0,"",IFERROR(_xludf.MAXIFS(Trade_Reports!$I$3:$I$502,Trade_Reports!$H$3:$H$502,$A181,Trade_Reports!$M$3:$M$502,"APPROVED",Trade_Reports!$Q$3:$Q$502,"&lt;="&amp;Settings!$B$4),"")))</f>
        <v/>
      </c>
      <c r="I181" s="17" t="str">
        <f>IF($A181="","",IF($F181="","",IF($Q181="","",IF(ABS($F181-$Q181)/$Q181&lt;=Settings!$B$18,"STABLE",IF($F181&gt;$Q181,"UP","DOWN")))))</f>
        <v/>
      </c>
      <c r="J181" s="18" t="str">
        <f>IF($A181="","",IF($K181=0,"",MIN(100,ROUND($K181/Settings!$B$14*100,0))))</f>
        <v/>
      </c>
      <c r="K181" s="17" t="str">
        <f>IF($A181="","",COUNTIFS(Trade_Reports!$H$3:$H$502,$A181,Trade_Reports!$M$3:$M$502,"APPROVED",Trade_Reports!$Q$3:$Q$502,"&lt;="&amp;Settings!$B$4))</f>
        <v/>
      </c>
      <c r="L181" s="19" t="str">
        <f>IF($A181="","",IF($K181=0,"",IFERROR(_xludf.MAXIFS(Trade_Reports!$O$3:$O$502,Trade_Reports!$H$3:$H$502,$A181,Trade_Reports!$M$3:$M$502,"APPROVED"),"")))</f>
        <v/>
      </c>
      <c r="M181" s="16" t="s">
        <v>46</v>
      </c>
      <c r="N181" s="15"/>
      <c r="O181" s="9" t="str">
        <f t="shared" si="0"/>
        <v/>
      </c>
      <c r="P181" s="2" t="str">
        <f>IF($A181="","",SUMIFS(Trade_Reports!$U$3:$U$502,Trade_Reports!$H$3:$H$502,$A181,Trade_Reports!$M$3:$M$502,"APPROVED",Trade_Reports!$Q$3:$Q$502,"&lt;="&amp;Settings!$B$4))</f>
        <v/>
      </c>
      <c r="Q181" s="2" t="str">
        <f>IF($A181="","",SUMIFS(Trade_Reports!$U$3:$U$502,Trade_Reports!$H$3:$H$502,$A181,Trade_Reports!$M$3:$M$502,"APPROVED",Trade_Reports!$Q$3:$Q$502,"&lt;="&amp;Settings!$B$5))</f>
        <v/>
      </c>
      <c r="R181" s="2" t="str">
        <f>IF($A181="","",IF($Q181=0,"",IFERROR(_xludf.MINIFS(Trade_Reports!$I$3:$I$502,Trade_Reports!$H$3:$H$502,$A181,Trade_Reports!$M$3:$M$502,"APPROVED",Trade_Reports!$Q$3:$Q$502,"&lt;="&amp;Settings!$B$5,Trade_Reports!$X$3:$X$502,"&gt;="&amp;0.5*$Q181),"")))</f>
        <v/>
      </c>
      <c r="S181" s="2" t="str">
        <f>IF($A181="","",COUNTIFS(Trade_Reports!$H$3:$H$502,$A181,Trade_Reports!$M$3:$M$502,"APPROVED",Trade_Reports!$Q$3:$Q$502,"&lt;="&amp;Settings!$B$5))</f>
        <v/>
      </c>
      <c r="T181" s="2"/>
      <c r="U181" s="2"/>
      <c r="V181" s="21" t="str">
        <f>IF(OR($A181="",ISERROR(SEARCH("_",$A181))),"",IFERROR(SUMIFS(Trade_Reports!$Z$3:$Z$502,Trade_Reports!$H$3:$H$502,$A181,Trade_Reports!$M$3:$M$502,"APPROVED")/SUMIFS(Trade_Reports!$U$3:$U$502,Trade_Reports!$H$3:$H$502,$A181,Trade_Reports!$M$3:$M$502,"APPROVED"),""))</f>
        <v/>
      </c>
      <c r="W181" s="17" t="str">
        <f t="shared" si="1"/>
        <v/>
      </c>
      <c r="X181" s="2"/>
      <c r="Y181" s="2"/>
      <c r="Z181" s="2"/>
    </row>
    <row r="182" spans="1:26" ht="15.75" customHeight="1" x14ac:dyDescent="0.3">
      <c r="A182" s="15"/>
      <c r="B182" s="15"/>
      <c r="C182" s="16"/>
      <c r="D182" s="16"/>
      <c r="E182" s="16"/>
      <c r="F182" s="17" t="str">
        <f>IF($A182="","",IF($K182&lt;Settings!$B$14,"",IF($P182=0,"",IFERROR(_xludf.MINIFS(Trade_Reports!$I$3:$I$502,Trade_Reports!$H$3:$H$502,$A182,Trade_Reports!$M$3:$M$502,"APPROVED",Trade_Reports!$Q$3:$Q$502,"&lt;="&amp;Settings!$B$4,Trade_Reports!$W$3:$W$502,"&gt;="&amp;0.5*$P182),""))))</f>
        <v/>
      </c>
      <c r="G182" s="17" t="str">
        <f>IF($A182="","",IF($K182=0,"",IFERROR(_xludf.MINIFS(Trade_Reports!$I$3:$I$502,Trade_Reports!$H$3:$H$502,$A182,Trade_Reports!$M$3:$M$502,"APPROVED",Trade_Reports!$Q$3:$Q$502,"&lt;="&amp;Settings!$B$4),"")))</f>
        <v/>
      </c>
      <c r="H182" s="17" t="str">
        <f>IF($A182="","",IF($K182=0,"",IFERROR(_xludf.MAXIFS(Trade_Reports!$I$3:$I$502,Trade_Reports!$H$3:$H$502,$A182,Trade_Reports!$M$3:$M$502,"APPROVED",Trade_Reports!$Q$3:$Q$502,"&lt;="&amp;Settings!$B$4),"")))</f>
        <v/>
      </c>
      <c r="I182" s="17" t="str">
        <f>IF($A182="","",IF($F182="","",IF($Q182="","",IF(ABS($F182-$Q182)/$Q182&lt;=Settings!$B$18,"STABLE",IF($F182&gt;$Q182,"UP","DOWN")))))</f>
        <v/>
      </c>
      <c r="J182" s="18" t="str">
        <f>IF($A182="","",IF($K182=0,"",MIN(100,ROUND($K182/Settings!$B$14*100,0))))</f>
        <v/>
      </c>
      <c r="K182" s="17" t="str">
        <f>IF($A182="","",COUNTIFS(Trade_Reports!$H$3:$H$502,$A182,Trade_Reports!$M$3:$M$502,"APPROVED",Trade_Reports!$Q$3:$Q$502,"&lt;="&amp;Settings!$B$4))</f>
        <v/>
      </c>
      <c r="L182" s="19" t="str">
        <f>IF($A182="","",IF($K182=0,"",IFERROR(_xludf.MAXIFS(Trade_Reports!$O$3:$O$502,Trade_Reports!$H$3:$H$502,$A182,Trade_Reports!$M$3:$M$502,"APPROVED"),"")))</f>
        <v/>
      </c>
      <c r="M182" s="16" t="s">
        <v>46</v>
      </c>
      <c r="N182" s="15"/>
      <c r="O182" s="9" t="str">
        <f t="shared" si="0"/>
        <v/>
      </c>
      <c r="P182" s="2" t="str">
        <f>IF($A182="","",SUMIFS(Trade_Reports!$U$3:$U$502,Trade_Reports!$H$3:$H$502,$A182,Trade_Reports!$M$3:$M$502,"APPROVED",Trade_Reports!$Q$3:$Q$502,"&lt;="&amp;Settings!$B$4))</f>
        <v/>
      </c>
      <c r="Q182" s="2" t="str">
        <f>IF($A182="","",SUMIFS(Trade_Reports!$U$3:$U$502,Trade_Reports!$H$3:$H$502,$A182,Trade_Reports!$M$3:$M$502,"APPROVED",Trade_Reports!$Q$3:$Q$502,"&lt;="&amp;Settings!$B$5))</f>
        <v/>
      </c>
      <c r="R182" s="2" t="str">
        <f>IF($A182="","",IF($Q182=0,"",IFERROR(_xludf.MINIFS(Trade_Reports!$I$3:$I$502,Trade_Reports!$H$3:$H$502,$A182,Trade_Reports!$M$3:$M$502,"APPROVED",Trade_Reports!$Q$3:$Q$502,"&lt;="&amp;Settings!$B$5,Trade_Reports!$X$3:$X$502,"&gt;="&amp;0.5*$Q182),"")))</f>
        <v/>
      </c>
      <c r="S182" s="2" t="str">
        <f>IF($A182="","",COUNTIFS(Trade_Reports!$H$3:$H$502,$A182,Trade_Reports!$M$3:$M$502,"APPROVED",Trade_Reports!$Q$3:$Q$502,"&lt;="&amp;Settings!$B$5))</f>
        <v/>
      </c>
      <c r="T182" s="2"/>
      <c r="U182" s="2"/>
      <c r="V182" s="21" t="str">
        <f>IF(OR($A182="",ISERROR(SEARCH("_",$A182))),"",IFERROR(SUMIFS(Trade_Reports!$Z$3:$Z$502,Trade_Reports!$H$3:$H$502,$A182,Trade_Reports!$M$3:$M$502,"APPROVED")/SUMIFS(Trade_Reports!$U$3:$U$502,Trade_Reports!$H$3:$H$502,$A182,Trade_Reports!$M$3:$M$502,"APPROVED"),""))</f>
        <v/>
      </c>
      <c r="W182" s="17" t="str">
        <f t="shared" si="1"/>
        <v/>
      </c>
      <c r="X182" s="2"/>
      <c r="Y182" s="2"/>
      <c r="Z182" s="2"/>
    </row>
    <row r="183" spans="1:26" ht="15.75" customHeight="1" x14ac:dyDescent="0.3">
      <c r="A183" s="15"/>
      <c r="B183" s="15"/>
      <c r="C183" s="16"/>
      <c r="D183" s="16"/>
      <c r="E183" s="16"/>
      <c r="F183" s="17" t="str">
        <f>IF($A183="","",IF($K183&lt;Settings!$B$14,"",IF($P183=0,"",IFERROR(_xludf.MINIFS(Trade_Reports!$I$3:$I$502,Trade_Reports!$H$3:$H$502,$A183,Trade_Reports!$M$3:$M$502,"APPROVED",Trade_Reports!$Q$3:$Q$502,"&lt;="&amp;Settings!$B$4,Trade_Reports!$W$3:$W$502,"&gt;="&amp;0.5*$P183),""))))</f>
        <v/>
      </c>
      <c r="G183" s="17" t="str">
        <f>IF($A183="","",IF($K183=0,"",IFERROR(_xludf.MINIFS(Trade_Reports!$I$3:$I$502,Trade_Reports!$H$3:$H$502,$A183,Trade_Reports!$M$3:$M$502,"APPROVED",Trade_Reports!$Q$3:$Q$502,"&lt;="&amp;Settings!$B$4),"")))</f>
        <v/>
      </c>
      <c r="H183" s="17" t="str">
        <f>IF($A183="","",IF($K183=0,"",IFERROR(_xludf.MAXIFS(Trade_Reports!$I$3:$I$502,Trade_Reports!$H$3:$H$502,$A183,Trade_Reports!$M$3:$M$502,"APPROVED",Trade_Reports!$Q$3:$Q$502,"&lt;="&amp;Settings!$B$4),"")))</f>
        <v/>
      </c>
      <c r="I183" s="17" t="str">
        <f>IF($A183="","",IF($F183="","",IF($Q183="","",IF(ABS($F183-$Q183)/$Q183&lt;=Settings!$B$18,"STABLE",IF($F183&gt;$Q183,"UP","DOWN")))))</f>
        <v/>
      </c>
      <c r="J183" s="18" t="str">
        <f>IF($A183="","",IF($K183=0,"",MIN(100,ROUND($K183/Settings!$B$14*100,0))))</f>
        <v/>
      </c>
      <c r="K183" s="17" t="str">
        <f>IF($A183="","",COUNTIFS(Trade_Reports!$H$3:$H$502,$A183,Trade_Reports!$M$3:$M$502,"APPROVED",Trade_Reports!$Q$3:$Q$502,"&lt;="&amp;Settings!$B$4))</f>
        <v/>
      </c>
      <c r="L183" s="19" t="str">
        <f>IF($A183="","",IF($K183=0,"",IFERROR(_xludf.MAXIFS(Trade_Reports!$O$3:$O$502,Trade_Reports!$H$3:$H$502,$A183,Trade_Reports!$M$3:$M$502,"APPROVED"),"")))</f>
        <v/>
      </c>
      <c r="M183" s="16" t="s">
        <v>46</v>
      </c>
      <c r="N183" s="15"/>
      <c r="O183" s="9" t="str">
        <f t="shared" si="0"/>
        <v/>
      </c>
      <c r="P183" s="2" t="str">
        <f>IF($A183="","",SUMIFS(Trade_Reports!$U$3:$U$502,Trade_Reports!$H$3:$H$502,$A183,Trade_Reports!$M$3:$M$502,"APPROVED",Trade_Reports!$Q$3:$Q$502,"&lt;="&amp;Settings!$B$4))</f>
        <v/>
      </c>
      <c r="Q183" s="2" t="str">
        <f>IF($A183="","",SUMIFS(Trade_Reports!$U$3:$U$502,Trade_Reports!$H$3:$H$502,$A183,Trade_Reports!$M$3:$M$502,"APPROVED",Trade_Reports!$Q$3:$Q$502,"&lt;="&amp;Settings!$B$5))</f>
        <v/>
      </c>
      <c r="R183" s="2" t="str">
        <f>IF($A183="","",IF($Q183=0,"",IFERROR(_xludf.MINIFS(Trade_Reports!$I$3:$I$502,Trade_Reports!$H$3:$H$502,$A183,Trade_Reports!$M$3:$M$502,"APPROVED",Trade_Reports!$Q$3:$Q$502,"&lt;="&amp;Settings!$B$5,Trade_Reports!$X$3:$X$502,"&gt;="&amp;0.5*$Q183),"")))</f>
        <v/>
      </c>
      <c r="S183" s="2" t="str">
        <f>IF($A183="","",COUNTIFS(Trade_Reports!$H$3:$H$502,$A183,Trade_Reports!$M$3:$M$502,"APPROVED",Trade_Reports!$Q$3:$Q$502,"&lt;="&amp;Settings!$B$5))</f>
        <v/>
      </c>
      <c r="T183" s="2"/>
      <c r="U183" s="2"/>
      <c r="V183" s="21" t="str">
        <f>IF(OR($A183="",ISERROR(SEARCH("_",$A183))),"",IFERROR(SUMIFS(Trade_Reports!$Z$3:$Z$502,Trade_Reports!$H$3:$H$502,$A183,Trade_Reports!$M$3:$M$502,"APPROVED")/SUMIFS(Trade_Reports!$U$3:$U$502,Trade_Reports!$H$3:$H$502,$A183,Trade_Reports!$M$3:$M$502,"APPROVED"),""))</f>
        <v/>
      </c>
      <c r="W183" s="17" t="str">
        <f t="shared" si="1"/>
        <v/>
      </c>
      <c r="X183" s="2"/>
      <c r="Y183" s="2"/>
      <c r="Z183" s="2"/>
    </row>
    <row r="184" spans="1:26" ht="15.75" customHeight="1" x14ac:dyDescent="0.3">
      <c r="A184" s="15"/>
      <c r="B184" s="15"/>
      <c r="C184" s="16"/>
      <c r="D184" s="16"/>
      <c r="E184" s="16"/>
      <c r="F184" s="17" t="str">
        <f>IF($A184="","",IF($K184&lt;Settings!$B$14,"",IF($P184=0,"",IFERROR(_xludf.MINIFS(Trade_Reports!$I$3:$I$502,Trade_Reports!$H$3:$H$502,$A184,Trade_Reports!$M$3:$M$502,"APPROVED",Trade_Reports!$Q$3:$Q$502,"&lt;="&amp;Settings!$B$4,Trade_Reports!$W$3:$W$502,"&gt;="&amp;0.5*$P184),""))))</f>
        <v/>
      </c>
      <c r="G184" s="17" t="str">
        <f>IF($A184="","",IF($K184=0,"",IFERROR(_xludf.MINIFS(Trade_Reports!$I$3:$I$502,Trade_Reports!$H$3:$H$502,$A184,Trade_Reports!$M$3:$M$502,"APPROVED",Trade_Reports!$Q$3:$Q$502,"&lt;="&amp;Settings!$B$4),"")))</f>
        <v/>
      </c>
      <c r="H184" s="17" t="str">
        <f>IF($A184="","",IF($K184=0,"",IFERROR(_xludf.MAXIFS(Trade_Reports!$I$3:$I$502,Trade_Reports!$H$3:$H$502,$A184,Trade_Reports!$M$3:$M$502,"APPROVED",Trade_Reports!$Q$3:$Q$502,"&lt;="&amp;Settings!$B$4),"")))</f>
        <v/>
      </c>
      <c r="I184" s="17" t="str">
        <f>IF($A184="","",IF($F184="","",IF($Q184="","",IF(ABS($F184-$Q184)/$Q184&lt;=Settings!$B$18,"STABLE",IF($F184&gt;$Q184,"UP","DOWN")))))</f>
        <v/>
      </c>
      <c r="J184" s="18" t="str">
        <f>IF($A184="","",IF($K184=0,"",MIN(100,ROUND($K184/Settings!$B$14*100,0))))</f>
        <v/>
      </c>
      <c r="K184" s="17" t="str">
        <f>IF($A184="","",COUNTIFS(Trade_Reports!$H$3:$H$502,$A184,Trade_Reports!$M$3:$M$502,"APPROVED",Trade_Reports!$Q$3:$Q$502,"&lt;="&amp;Settings!$B$4))</f>
        <v/>
      </c>
      <c r="L184" s="19" t="str">
        <f>IF($A184="","",IF($K184=0,"",IFERROR(_xludf.MAXIFS(Trade_Reports!$O$3:$O$502,Trade_Reports!$H$3:$H$502,$A184,Trade_Reports!$M$3:$M$502,"APPROVED"),"")))</f>
        <v/>
      </c>
      <c r="M184" s="16" t="s">
        <v>46</v>
      </c>
      <c r="N184" s="15"/>
      <c r="O184" s="9" t="str">
        <f t="shared" si="0"/>
        <v/>
      </c>
      <c r="P184" s="2" t="str">
        <f>IF($A184="","",SUMIFS(Trade_Reports!$U$3:$U$502,Trade_Reports!$H$3:$H$502,$A184,Trade_Reports!$M$3:$M$502,"APPROVED",Trade_Reports!$Q$3:$Q$502,"&lt;="&amp;Settings!$B$4))</f>
        <v/>
      </c>
      <c r="Q184" s="2" t="str">
        <f>IF($A184="","",SUMIFS(Trade_Reports!$U$3:$U$502,Trade_Reports!$H$3:$H$502,$A184,Trade_Reports!$M$3:$M$502,"APPROVED",Trade_Reports!$Q$3:$Q$502,"&lt;="&amp;Settings!$B$5))</f>
        <v/>
      </c>
      <c r="R184" s="2" t="str">
        <f>IF($A184="","",IF($Q184=0,"",IFERROR(_xludf.MINIFS(Trade_Reports!$I$3:$I$502,Trade_Reports!$H$3:$H$502,$A184,Trade_Reports!$M$3:$M$502,"APPROVED",Trade_Reports!$Q$3:$Q$502,"&lt;="&amp;Settings!$B$5,Trade_Reports!$X$3:$X$502,"&gt;="&amp;0.5*$Q184),"")))</f>
        <v/>
      </c>
      <c r="S184" s="2" t="str">
        <f>IF($A184="","",COUNTIFS(Trade_Reports!$H$3:$H$502,$A184,Trade_Reports!$M$3:$M$502,"APPROVED",Trade_Reports!$Q$3:$Q$502,"&lt;="&amp;Settings!$B$5))</f>
        <v/>
      </c>
      <c r="T184" s="2"/>
      <c r="U184" s="2"/>
      <c r="V184" s="21" t="str">
        <f>IF(OR($A184="",ISERROR(SEARCH("_",$A184))),"",IFERROR(SUMIFS(Trade_Reports!$Z$3:$Z$502,Trade_Reports!$H$3:$H$502,$A184,Trade_Reports!$M$3:$M$502,"APPROVED")/SUMIFS(Trade_Reports!$U$3:$U$502,Trade_Reports!$H$3:$H$502,$A184,Trade_Reports!$M$3:$M$502,"APPROVED"),""))</f>
        <v/>
      </c>
      <c r="W184" s="17" t="str">
        <f t="shared" si="1"/>
        <v/>
      </c>
      <c r="X184" s="2"/>
      <c r="Y184" s="2"/>
      <c r="Z184" s="2"/>
    </row>
    <row r="185" spans="1:26" ht="15.75" customHeight="1" x14ac:dyDescent="0.3">
      <c r="A185" s="15"/>
      <c r="B185" s="15"/>
      <c r="C185" s="16"/>
      <c r="D185" s="16"/>
      <c r="E185" s="16"/>
      <c r="F185" s="17" t="str">
        <f>IF($A185="","",IF($K185&lt;Settings!$B$14,"",IF($P185=0,"",IFERROR(_xludf.MINIFS(Trade_Reports!$I$3:$I$502,Trade_Reports!$H$3:$H$502,$A185,Trade_Reports!$M$3:$M$502,"APPROVED",Trade_Reports!$Q$3:$Q$502,"&lt;="&amp;Settings!$B$4,Trade_Reports!$W$3:$W$502,"&gt;="&amp;0.5*$P185),""))))</f>
        <v/>
      </c>
      <c r="G185" s="17" t="str">
        <f>IF($A185="","",IF($K185=0,"",IFERROR(_xludf.MINIFS(Trade_Reports!$I$3:$I$502,Trade_Reports!$H$3:$H$502,$A185,Trade_Reports!$M$3:$M$502,"APPROVED",Trade_Reports!$Q$3:$Q$502,"&lt;="&amp;Settings!$B$4),"")))</f>
        <v/>
      </c>
      <c r="H185" s="17" t="str">
        <f>IF($A185="","",IF($K185=0,"",IFERROR(_xludf.MAXIFS(Trade_Reports!$I$3:$I$502,Trade_Reports!$H$3:$H$502,$A185,Trade_Reports!$M$3:$M$502,"APPROVED",Trade_Reports!$Q$3:$Q$502,"&lt;="&amp;Settings!$B$4),"")))</f>
        <v/>
      </c>
      <c r="I185" s="17" t="str">
        <f>IF($A185="","",IF($F185="","",IF($Q185="","",IF(ABS($F185-$Q185)/$Q185&lt;=Settings!$B$18,"STABLE",IF($F185&gt;$Q185,"UP","DOWN")))))</f>
        <v/>
      </c>
      <c r="J185" s="18" t="str">
        <f>IF($A185="","",IF($K185=0,"",MIN(100,ROUND($K185/Settings!$B$14*100,0))))</f>
        <v/>
      </c>
      <c r="K185" s="17" t="str">
        <f>IF($A185="","",COUNTIFS(Trade_Reports!$H$3:$H$502,$A185,Trade_Reports!$M$3:$M$502,"APPROVED",Trade_Reports!$Q$3:$Q$502,"&lt;="&amp;Settings!$B$4))</f>
        <v/>
      </c>
      <c r="L185" s="19" t="str">
        <f>IF($A185="","",IF($K185=0,"",IFERROR(_xludf.MAXIFS(Trade_Reports!$O$3:$O$502,Trade_Reports!$H$3:$H$502,$A185,Trade_Reports!$M$3:$M$502,"APPROVED"),"")))</f>
        <v/>
      </c>
      <c r="M185" s="16" t="s">
        <v>46</v>
      </c>
      <c r="N185" s="15"/>
      <c r="O185" s="9" t="str">
        <f t="shared" si="0"/>
        <v/>
      </c>
      <c r="P185" s="2" t="str">
        <f>IF($A185="","",SUMIFS(Trade_Reports!$U$3:$U$502,Trade_Reports!$H$3:$H$502,$A185,Trade_Reports!$M$3:$M$502,"APPROVED",Trade_Reports!$Q$3:$Q$502,"&lt;="&amp;Settings!$B$4))</f>
        <v/>
      </c>
      <c r="Q185" s="2" t="str">
        <f>IF($A185="","",SUMIFS(Trade_Reports!$U$3:$U$502,Trade_Reports!$H$3:$H$502,$A185,Trade_Reports!$M$3:$M$502,"APPROVED",Trade_Reports!$Q$3:$Q$502,"&lt;="&amp;Settings!$B$5))</f>
        <v/>
      </c>
      <c r="R185" s="2" t="str">
        <f>IF($A185="","",IF($Q185=0,"",IFERROR(_xludf.MINIFS(Trade_Reports!$I$3:$I$502,Trade_Reports!$H$3:$H$502,$A185,Trade_Reports!$M$3:$M$502,"APPROVED",Trade_Reports!$Q$3:$Q$502,"&lt;="&amp;Settings!$B$5,Trade_Reports!$X$3:$X$502,"&gt;="&amp;0.5*$Q185),"")))</f>
        <v/>
      </c>
      <c r="S185" s="2" t="str">
        <f>IF($A185="","",COUNTIFS(Trade_Reports!$H$3:$H$502,$A185,Trade_Reports!$M$3:$M$502,"APPROVED",Trade_Reports!$Q$3:$Q$502,"&lt;="&amp;Settings!$B$5))</f>
        <v/>
      </c>
      <c r="T185" s="2"/>
      <c r="U185" s="2"/>
      <c r="V185" s="21" t="str">
        <f>IF(OR($A185="",ISERROR(SEARCH("_",$A185))),"",IFERROR(SUMIFS(Trade_Reports!$Z$3:$Z$502,Trade_Reports!$H$3:$H$502,$A185,Trade_Reports!$M$3:$M$502,"APPROVED")/SUMIFS(Trade_Reports!$U$3:$U$502,Trade_Reports!$H$3:$H$502,$A185,Trade_Reports!$M$3:$M$502,"APPROVED"),""))</f>
        <v/>
      </c>
      <c r="W185" s="17" t="str">
        <f t="shared" si="1"/>
        <v/>
      </c>
      <c r="X185" s="2"/>
      <c r="Y185" s="2"/>
      <c r="Z185" s="2"/>
    </row>
    <row r="186" spans="1:26" ht="15.75" customHeight="1" x14ac:dyDescent="0.3">
      <c r="A186" s="15"/>
      <c r="B186" s="15"/>
      <c r="C186" s="16"/>
      <c r="D186" s="16"/>
      <c r="E186" s="16"/>
      <c r="F186" s="17" t="str">
        <f>IF($A186="","",IF($K186&lt;Settings!$B$14,"",IF($P186=0,"",IFERROR(_xludf.MINIFS(Trade_Reports!$I$3:$I$502,Trade_Reports!$H$3:$H$502,$A186,Trade_Reports!$M$3:$M$502,"APPROVED",Trade_Reports!$Q$3:$Q$502,"&lt;="&amp;Settings!$B$4,Trade_Reports!$W$3:$W$502,"&gt;="&amp;0.5*$P186),""))))</f>
        <v/>
      </c>
      <c r="G186" s="17" t="str">
        <f>IF($A186="","",IF($K186=0,"",IFERROR(_xludf.MINIFS(Trade_Reports!$I$3:$I$502,Trade_Reports!$H$3:$H$502,$A186,Trade_Reports!$M$3:$M$502,"APPROVED",Trade_Reports!$Q$3:$Q$502,"&lt;="&amp;Settings!$B$4),"")))</f>
        <v/>
      </c>
      <c r="H186" s="17" t="str">
        <f>IF($A186="","",IF($K186=0,"",IFERROR(_xludf.MAXIFS(Trade_Reports!$I$3:$I$502,Trade_Reports!$H$3:$H$502,$A186,Trade_Reports!$M$3:$M$502,"APPROVED",Trade_Reports!$Q$3:$Q$502,"&lt;="&amp;Settings!$B$4),"")))</f>
        <v/>
      </c>
      <c r="I186" s="17" t="str">
        <f>IF($A186="","",IF($F186="","",IF($Q186="","",IF(ABS($F186-$Q186)/$Q186&lt;=Settings!$B$18,"STABLE",IF($F186&gt;$Q186,"UP","DOWN")))))</f>
        <v/>
      </c>
      <c r="J186" s="18" t="str">
        <f>IF($A186="","",IF($K186=0,"",MIN(100,ROUND($K186/Settings!$B$14*100,0))))</f>
        <v/>
      </c>
      <c r="K186" s="17" t="str">
        <f>IF($A186="","",COUNTIFS(Trade_Reports!$H$3:$H$502,$A186,Trade_Reports!$M$3:$M$502,"APPROVED",Trade_Reports!$Q$3:$Q$502,"&lt;="&amp;Settings!$B$4))</f>
        <v/>
      </c>
      <c r="L186" s="19" t="str">
        <f>IF($A186="","",IF($K186=0,"",IFERROR(_xludf.MAXIFS(Trade_Reports!$O$3:$O$502,Trade_Reports!$H$3:$H$502,$A186,Trade_Reports!$M$3:$M$502,"APPROVED"),"")))</f>
        <v/>
      </c>
      <c r="M186" s="16" t="s">
        <v>46</v>
      </c>
      <c r="N186" s="15"/>
      <c r="O186" s="9" t="str">
        <f t="shared" si="0"/>
        <v/>
      </c>
      <c r="P186" s="2" t="str">
        <f>IF($A186="","",SUMIFS(Trade_Reports!$U$3:$U$502,Trade_Reports!$H$3:$H$502,$A186,Trade_Reports!$M$3:$M$502,"APPROVED",Trade_Reports!$Q$3:$Q$502,"&lt;="&amp;Settings!$B$4))</f>
        <v/>
      </c>
      <c r="Q186" s="2" t="str">
        <f>IF($A186="","",SUMIFS(Trade_Reports!$U$3:$U$502,Trade_Reports!$H$3:$H$502,$A186,Trade_Reports!$M$3:$M$502,"APPROVED",Trade_Reports!$Q$3:$Q$502,"&lt;="&amp;Settings!$B$5))</f>
        <v/>
      </c>
      <c r="R186" s="2" t="str">
        <f>IF($A186="","",IF($Q186=0,"",IFERROR(_xludf.MINIFS(Trade_Reports!$I$3:$I$502,Trade_Reports!$H$3:$H$502,$A186,Trade_Reports!$M$3:$M$502,"APPROVED",Trade_Reports!$Q$3:$Q$502,"&lt;="&amp;Settings!$B$5,Trade_Reports!$X$3:$X$502,"&gt;="&amp;0.5*$Q186),"")))</f>
        <v/>
      </c>
      <c r="S186" s="2" t="str">
        <f>IF($A186="","",COUNTIFS(Trade_Reports!$H$3:$H$502,$A186,Trade_Reports!$M$3:$M$502,"APPROVED",Trade_Reports!$Q$3:$Q$502,"&lt;="&amp;Settings!$B$5))</f>
        <v/>
      </c>
      <c r="T186" s="2"/>
      <c r="U186" s="2"/>
      <c r="V186" s="21" t="str">
        <f>IF(OR($A186="",ISERROR(SEARCH("_",$A186))),"",IFERROR(SUMIFS(Trade_Reports!$Z$3:$Z$502,Trade_Reports!$H$3:$H$502,$A186,Trade_Reports!$M$3:$M$502,"APPROVED")/SUMIFS(Trade_Reports!$U$3:$U$502,Trade_Reports!$H$3:$H$502,$A186,Trade_Reports!$M$3:$M$502,"APPROVED"),""))</f>
        <v/>
      </c>
      <c r="W186" s="17" t="str">
        <f t="shared" si="1"/>
        <v/>
      </c>
      <c r="X186" s="2"/>
      <c r="Y186" s="2"/>
      <c r="Z186" s="2"/>
    </row>
    <row r="187" spans="1:26" ht="15.75" customHeight="1" x14ac:dyDescent="0.3">
      <c r="A187" s="15"/>
      <c r="B187" s="15"/>
      <c r="C187" s="16"/>
      <c r="D187" s="16"/>
      <c r="E187" s="16"/>
      <c r="F187" s="17" t="str">
        <f>IF($A187="","",IF($K187&lt;Settings!$B$14,"",IF($P187=0,"",IFERROR(_xludf.MINIFS(Trade_Reports!$I$3:$I$502,Trade_Reports!$H$3:$H$502,$A187,Trade_Reports!$M$3:$M$502,"APPROVED",Trade_Reports!$Q$3:$Q$502,"&lt;="&amp;Settings!$B$4,Trade_Reports!$W$3:$W$502,"&gt;="&amp;0.5*$P187),""))))</f>
        <v/>
      </c>
      <c r="G187" s="17" t="str">
        <f>IF($A187="","",IF($K187=0,"",IFERROR(_xludf.MINIFS(Trade_Reports!$I$3:$I$502,Trade_Reports!$H$3:$H$502,$A187,Trade_Reports!$M$3:$M$502,"APPROVED",Trade_Reports!$Q$3:$Q$502,"&lt;="&amp;Settings!$B$4),"")))</f>
        <v/>
      </c>
      <c r="H187" s="17" t="str">
        <f>IF($A187="","",IF($K187=0,"",IFERROR(_xludf.MAXIFS(Trade_Reports!$I$3:$I$502,Trade_Reports!$H$3:$H$502,$A187,Trade_Reports!$M$3:$M$502,"APPROVED",Trade_Reports!$Q$3:$Q$502,"&lt;="&amp;Settings!$B$4),"")))</f>
        <v/>
      </c>
      <c r="I187" s="17" t="str">
        <f>IF($A187="","",IF($F187="","",IF($Q187="","",IF(ABS($F187-$Q187)/$Q187&lt;=Settings!$B$18,"STABLE",IF($F187&gt;$Q187,"UP","DOWN")))))</f>
        <v/>
      </c>
      <c r="J187" s="18" t="str">
        <f>IF($A187="","",IF($K187=0,"",MIN(100,ROUND($K187/Settings!$B$14*100,0))))</f>
        <v/>
      </c>
      <c r="K187" s="17" t="str">
        <f>IF($A187="","",COUNTIFS(Trade_Reports!$H$3:$H$502,$A187,Trade_Reports!$M$3:$M$502,"APPROVED",Trade_Reports!$Q$3:$Q$502,"&lt;="&amp;Settings!$B$4))</f>
        <v/>
      </c>
      <c r="L187" s="19" t="str">
        <f>IF($A187="","",IF($K187=0,"",IFERROR(_xludf.MAXIFS(Trade_Reports!$O$3:$O$502,Trade_Reports!$H$3:$H$502,$A187,Trade_Reports!$M$3:$M$502,"APPROVED"),"")))</f>
        <v/>
      </c>
      <c r="M187" s="16" t="s">
        <v>46</v>
      </c>
      <c r="N187" s="15"/>
      <c r="O187" s="9" t="str">
        <f t="shared" si="0"/>
        <v/>
      </c>
      <c r="P187" s="2" t="str">
        <f>IF($A187="","",SUMIFS(Trade_Reports!$U$3:$U$502,Trade_Reports!$H$3:$H$502,$A187,Trade_Reports!$M$3:$M$502,"APPROVED",Trade_Reports!$Q$3:$Q$502,"&lt;="&amp;Settings!$B$4))</f>
        <v/>
      </c>
      <c r="Q187" s="2" t="str">
        <f>IF($A187="","",SUMIFS(Trade_Reports!$U$3:$U$502,Trade_Reports!$H$3:$H$502,$A187,Trade_Reports!$M$3:$M$502,"APPROVED",Trade_Reports!$Q$3:$Q$502,"&lt;="&amp;Settings!$B$5))</f>
        <v/>
      </c>
      <c r="R187" s="2" t="str">
        <f>IF($A187="","",IF($Q187=0,"",IFERROR(_xludf.MINIFS(Trade_Reports!$I$3:$I$502,Trade_Reports!$H$3:$H$502,$A187,Trade_Reports!$M$3:$M$502,"APPROVED",Trade_Reports!$Q$3:$Q$502,"&lt;="&amp;Settings!$B$5,Trade_Reports!$X$3:$X$502,"&gt;="&amp;0.5*$Q187),"")))</f>
        <v/>
      </c>
      <c r="S187" s="2" t="str">
        <f>IF($A187="","",COUNTIFS(Trade_Reports!$H$3:$H$502,$A187,Trade_Reports!$M$3:$M$502,"APPROVED",Trade_Reports!$Q$3:$Q$502,"&lt;="&amp;Settings!$B$5))</f>
        <v/>
      </c>
      <c r="T187" s="2"/>
      <c r="U187" s="2"/>
      <c r="V187" s="21" t="str">
        <f>IF(OR($A187="",ISERROR(SEARCH("_",$A187))),"",IFERROR(SUMIFS(Trade_Reports!$Z$3:$Z$502,Trade_Reports!$H$3:$H$502,$A187,Trade_Reports!$M$3:$M$502,"APPROVED")/SUMIFS(Trade_Reports!$U$3:$U$502,Trade_Reports!$H$3:$H$502,$A187,Trade_Reports!$M$3:$M$502,"APPROVED"),""))</f>
        <v/>
      </c>
      <c r="W187" s="17" t="str">
        <f t="shared" si="1"/>
        <v/>
      </c>
      <c r="X187" s="2"/>
      <c r="Y187" s="2"/>
      <c r="Z187" s="2"/>
    </row>
    <row r="188" spans="1:26" ht="15.75" customHeight="1" x14ac:dyDescent="0.3">
      <c r="A188" s="15"/>
      <c r="B188" s="15"/>
      <c r="C188" s="16"/>
      <c r="D188" s="16"/>
      <c r="E188" s="16"/>
      <c r="F188" s="17" t="str">
        <f>IF($A188="","",IF($K188&lt;Settings!$B$14,"",IF($P188=0,"",IFERROR(_xludf.MINIFS(Trade_Reports!$I$3:$I$502,Trade_Reports!$H$3:$H$502,$A188,Trade_Reports!$M$3:$M$502,"APPROVED",Trade_Reports!$Q$3:$Q$502,"&lt;="&amp;Settings!$B$4,Trade_Reports!$W$3:$W$502,"&gt;="&amp;0.5*$P188),""))))</f>
        <v/>
      </c>
      <c r="G188" s="17" t="str">
        <f>IF($A188="","",IF($K188=0,"",IFERROR(_xludf.MINIFS(Trade_Reports!$I$3:$I$502,Trade_Reports!$H$3:$H$502,$A188,Trade_Reports!$M$3:$M$502,"APPROVED",Trade_Reports!$Q$3:$Q$502,"&lt;="&amp;Settings!$B$4),"")))</f>
        <v/>
      </c>
      <c r="H188" s="17" t="str">
        <f>IF($A188="","",IF($K188=0,"",IFERROR(_xludf.MAXIFS(Trade_Reports!$I$3:$I$502,Trade_Reports!$H$3:$H$502,$A188,Trade_Reports!$M$3:$M$502,"APPROVED",Trade_Reports!$Q$3:$Q$502,"&lt;="&amp;Settings!$B$4),"")))</f>
        <v/>
      </c>
      <c r="I188" s="17" t="str">
        <f>IF($A188="","",IF($F188="","",IF($Q188="","",IF(ABS($F188-$Q188)/$Q188&lt;=Settings!$B$18,"STABLE",IF($F188&gt;$Q188,"UP","DOWN")))))</f>
        <v/>
      </c>
      <c r="J188" s="18" t="str">
        <f>IF($A188="","",IF($K188=0,"",MIN(100,ROUND($K188/Settings!$B$14*100,0))))</f>
        <v/>
      </c>
      <c r="K188" s="17" t="str">
        <f>IF($A188="","",COUNTIFS(Trade_Reports!$H$3:$H$502,$A188,Trade_Reports!$M$3:$M$502,"APPROVED",Trade_Reports!$Q$3:$Q$502,"&lt;="&amp;Settings!$B$4))</f>
        <v/>
      </c>
      <c r="L188" s="19" t="str">
        <f>IF($A188="","",IF($K188=0,"",IFERROR(_xludf.MAXIFS(Trade_Reports!$O$3:$O$502,Trade_Reports!$H$3:$H$502,$A188,Trade_Reports!$M$3:$M$502,"APPROVED"),"")))</f>
        <v/>
      </c>
      <c r="M188" s="16" t="s">
        <v>46</v>
      </c>
      <c r="N188" s="15"/>
      <c r="O188" s="9" t="str">
        <f t="shared" si="0"/>
        <v/>
      </c>
      <c r="P188" s="2" t="str">
        <f>IF($A188="","",SUMIFS(Trade_Reports!$U$3:$U$502,Trade_Reports!$H$3:$H$502,$A188,Trade_Reports!$M$3:$M$502,"APPROVED",Trade_Reports!$Q$3:$Q$502,"&lt;="&amp;Settings!$B$4))</f>
        <v/>
      </c>
      <c r="Q188" s="2" t="str">
        <f>IF($A188="","",SUMIFS(Trade_Reports!$U$3:$U$502,Trade_Reports!$H$3:$H$502,$A188,Trade_Reports!$M$3:$M$502,"APPROVED",Trade_Reports!$Q$3:$Q$502,"&lt;="&amp;Settings!$B$5))</f>
        <v/>
      </c>
      <c r="R188" s="2" t="str">
        <f>IF($A188="","",IF($Q188=0,"",IFERROR(_xludf.MINIFS(Trade_Reports!$I$3:$I$502,Trade_Reports!$H$3:$H$502,$A188,Trade_Reports!$M$3:$M$502,"APPROVED",Trade_Reports!$Q$3:$Q$502,"&lt;="&amp;Settings!$B$5,Trade_Reports!$X$3:$X$502,"&gt;="&amp;0.5*$Q188),"")))</f>
        <v/>
      </c>
      <c r="S188" s="2" t="str">
        <f>IF($A188="","",COUNTIFS(Trade_Reports!$H$3:$H$502,$A188,Trade_Reports!$M$3:$M$502,"APPROVED",Trade_Reports!$Q$3:$Q$502,"&lt;="&amp;Settings!$B$5))</f>
        <v/>
      </c>
      <c r="T188" s="2"/>
      <c r="U188" s="2"/>
      <c r="V188" s="21" t="str">
        <f>IF(OR($A188="",ISERROR(SEARCH("_",$A188))),"",IFERROR(SUMIFS(Trade_Reports!$Z$3:$Z$502,Trade_Reports!$H$3:$H$502,$A188,Trade_Reports!$M$3:$M$502,"APPROVED")/SUMIFS(Trade_Reports!$U$3:$U$502,Trade_Reports!$H$3:$H$502,$A188,Trade_Reports!$M$3:$M$502,"APPROVED"),""))</f>
        <v/>
      </c>
      <c r="W188" s="17" t="str">
        <f t="shared" si="1"/>
        <v/>
      </c>
      <c r="X188" s="2"/>
      <c r="Y188" s="2"/>
      <c r="Z188" s="2"/>
    </row>
    <row r="189" spans="1:26" ht="15.75" customHeight="1" x14ac:dyDescent="0.3">
      <c r="A189" s="15"/>
      <c r="B189" s="15"/>
      <c r="C189" s="16"/>
      <c r="D189" s="16"/>
      <c r="E189" s="16"/>
      <c r="F189" s="17" t="str">
        <f>IF($A189="","",IF($K189&lt;Settings!$B$14,"",IF($P189=0,"",IFERROR(_xludf.MINIFS(Trade_Reports!$I$3:$I$502,Trade_Reports!$H$3:$H$502,$A189,Trade_Reports!$M$3:$M$502,"APPROVED",Trade_Reports!$Q$3:$Q$502,"&lt;="&amp;Settings!$B$4,Trade_Reports!$W$3:$W$502,"&gt;="&amp;0.5*$P189),""))))</f>
        <v/>
      </c>
      <c r="G189" s="17" t="str">
        <f>IF($A189="","",IF($K189=0,"",IFERROR(_xludf.MINIFS(Trade_Reports!$I$3:$I$502,Trade_Reports!$H$3:$H$502,$A189,Trade_Reports!$M$3:$M$502,"APPROVED",Trade_Reports!$Q$3:$Q$502,"&lt;="&amp;Settings!$B$4),"")))</f>
        <v/>
      </c>
      <c r="H189" s="17" t="str">
        <f>IF($A189="","",IF($K189=0,"",IFERROR(_xludf.MAXIFS(Trade_Reports!$I$3:$I$502,Trade_Reports!$H$3:$H$502,$A189,Trade_Reports!$M$3:$M$502,"APPROVED",Trade_Reports!$Q$3:$Q$502,"&lt;="&amp;Settings!$B$4),"")))</f>
        <v/>
      </c>
      <c r="I189" s="17" t="str">
        <f>IF($A189="","",IF($F189="","",IF($Q189="","",IF(ABS($F189-$Q189)/$Q189&lt;=Settings!$B$18,"STABLE",IF($F189&gt;$Q189,"UP","DOWN")))))</f>
        <v/>
      </c>
      <c r="J189" s="18" t="str">
        <f>IF($A189="","",IF($K189=0,"",MIN(100,ROUND($K189/Settings!$B$14*100,0))))</f>
        <v/>
      </c>
      <c r="K189" s="17" t="str">
        <f>IF($A189="","",COUNTIFS(Trade_Reports!$H$3:$H$502,$A189,Trade_Reports!$M$3:$M$502,"APPROVED",Trade_Reports!$Q$3:$Q$502,"&lt;="&amp;Settings!$B$4))</f>
        <v/>
      </c>
      <c r="L189" s="19" t="str">
        <f>IF($A189="","",IF($K189=0,"",IFERROR(_xludf.MAXIFS(Trade_Reports!$O$3:$O$502,Trade_Reports!$H$3:$H$502,$A189,Trade_Reports!$M$3:$M$502,"APPROVED"),"")))</f>
        <v/>
      </c>
      <c r="M189" s="16" t="s">
        <v>46</v>
      </c>
      <c r="N189" s="15"/>
      <c r="O189" s="9" t="str">
        <f t="shared" si="0"/>
        <v/>
      </c>
      <c r="P189" s="2" t="str">
        <f>IF($A189="","",SUMIFS(Trade_Reports!$U$3:$U$502,Trade_Reports!$H$3:$H$502,$A189,Trade_Reports!$M$3:$M$502,"APPROVED",Trade_Reports!$Q$3:$Q$502,"&lt;="&amp;Settings!$B$4))</f>
        <v/>
      </c>
      <c r="Q189" s="2" t="str">
        <f>IF($A189="","",SUMIFS(Trade_Reports!$U$3:$U$502,Trade_Reports!$H$3:$H$502,$A189,Trade_Reports!$M$3:$M$502,"APPROVED",Trade_Reports!$Q$3:$Q$502,"&lt;="&amp;Settings!$B$5))</f>
        <v/>
      </c>
      <c r="R189" s="2" t="str">
        <f>IF($A189="","",IF($Q189=0,"",IFERROR(_xludf.MINIFS(Trade_Reports!$I$3:$I$502,Trade_Reports!$H$3:$H$502,$A189,Trade_Reports!$M$3:$M$502,"APPROVED",Trade_Reports!$Q$3:$Q$502,"&lt;="&amp;Settings!$B$5,Trade_Reports!$X$3:$X$502,"&gt;="&amp;0.5*$Q189),"")))</f>
        <v/>
      </c>
      <c r="S189" s="2" t="str">
        <f>IF($A189="","",COUNTIFS(Trade_Reports!$H$3:$H$502,$A189,Trade_Reports!$M$3:$M$502,"APPROVED",Trade_Reports!$Q$3:$Q$502,"&lt;="&amp;Settings!$B$5))</f>
        <v/>
      </c>
      <c r="T189" s="2"/>
      <c r="U189" s="2"/>
      <c r="V189" s="21" t="str">
        <f>IF(OR($A189="",ISERROR(SEARCH("_",$A189))),"",IFERROR(SUMIFS(Trade_Reports!$Z$3:$Z$502,Trade_Reports!$H$3:$H$502,$A189,Trade_Reports!$M$3:$M$502,"APPROVED")/SUMIFS(Trade_Reports!$U$3:$U$502,Trade_Reports!$H$3:$H$502,$A189,Trade_Reports!$M$3:$M$502,"APPROVED"),""))</f>
        <v/>
      </c>
      <c r="W189" s="17" t="str">
        <f t="shared" si="1"/>
        <v/>
      </c>
      <c r="X189" s="2"/>
      <c r="Y189" s="2"/>
      <c r="Z189" s="2"/>
    </row>
    <row r="190" spans="1:26" ht="15.75" customHeight="1" x14ac:dyDescent="0.3">
      <c r="A190" s="15"/>
      <c r="B190" s="15"/>
      <c r="C190" s="16"/>
      <c r="D190" s="16"/>
      <c r="E190" s="16"/>
      <c r="F190" s="17" t="str">
        <f>IF($A190="","",IF($K190&lt;Settings!$B$14,"",IF($P190=0,"",IFERROR(_xludf.MINIFS(Trade_Reports!$I$3:$I$502,Trade_Reports!$H$3:$H$502,$A190,Trade_Reports!$M$3:$M$502,"APPROVED",Trade_Reports!$Q$3:$Q$502,"&lt;="&amp;Settings!$B$4,Trade_Reports!$W$3:$W$502,"&gt;="&amp;0.5*$P190),""))))</f>
        <v/>
      </c>
      <c r="G190" s="17" t="str">
        <f>IF($A190="","",IF($K190=0,"",IFERROR(_xludf.MINIFS(Trade_Reports!$I$3:$I$502,Trade_Reports!$H$3:$H$502,$A190,Trade_Reports!$M$3:$M$502,"APPROVED",Trade_Reports!$Q$3:$Q$502,"&lt;="&amp;Settings!$B$4),"")))</f>
        <v/>
      </c>
      <c r="H190" s="17" t="str">
        <f>IF($A190="","",IF($K190=0,"",IFERROR(_xludf.MAXIFS(Trade_Reports!$I$3:$I$502,Trade_Reports!$H$3:$H$502,$A190,Trade_Reports!$M$3:$M$502,"APPROVED",Trade_Reports!$Q$3:$Q$502,"&lt;="&amp;Settings!$B$4),"")))</f>
        <v/>
      </c>
      <c r="I190" s="17" t="str">
        <f>IF($A190="","",IF($F190="","",IF($Q190="","",IF(ABS($F190-$Q190)/$Q190&lt;=Settings!$B$18,"STABLE",IF($F190&gt;$Q190,"UP","DOWN")))))</f>
        <v/>
      </c>
      <c r="J190" s="18" t="str">
        <f>IF($A190="","",IF($K190=0,"",MIN(100,ROUND($K190/Settings!$B$14*100,0))))</f>
        <v/>
      </c>
      <c r="K190" s="17" t="str">
        <f>IF($A190="","",COUNTIFS(Trade_Reports!$H$3:$H$502,$A190,Trade_Reports!$M$3:$M$502,"APPROVED",Trade_Reports!$Q$3:$Q$502,"&lt;="&amp;Settings!$B$4))</f>
        <v/>
      </c>
      <c r="L190" s="19" t="str">
        <f>IF($A190="","",IF($K190=0,"",IFERROR(_xludf.MAXIFS(Trade_Reports!$O$3:$O$502,Trade_Reports!$H$3:$H$502,$A190,Trade_Reports!$M$3:$M$502,"APPROVED"),"")))</f>
        <v/>
      </c>
      <c r="M190" s="16" t="s">
        <v>46</v>
      </c>
      <c r="N190" s="15"/>
      <c r="O190" s="9" t="str">
        <f t="shared" si="0"/>
        <v/>
      </c>
      <c r="P190" s="2" t="str">
        <f>IF($A190="","",SUMIFS(Trade_Reports!$U$3:$U$502,Trade_Reports!$H$3:$H$502,$A190,Trade_Reports!$M$3:$M$502,"APPROVED",Trade_Reports!$Q$3:$Q$502,"&lt;="&amp;Settings!$B$4))</f>
        <v/>
      </c>
      <c r="Q190" s="2" t="str">
        <f>IF($A190="","",SUMIFS(Trade_Reports!$U$3:$U$502,Trade_Reports!$H$3:$H$502,$A190,Trade_Reports!$M$3:$M$502,"APPROVED",Trade_Reports!$Q$3:$Q$502,"&lt;="&amp;Settings!$B$5))</f>
        <v/>
      </c>
      <c r="R190" s="2" t="str">
        <f>IF($A190="","",IF($Q190=0,"",IFERROR(_xludf.MINIFS(Trade_Reports!$I$3:$I$502,Trade_Reports!$H$3:$H$502,$A190,Trade_Reports!$M$3:$M$502,"APPROVED",Trade_Reports!$Q$3:$Q$502,"&lt;="&amp;Settings!$B$5,Trade_Reports!$X$3:$X$502,"&gt;="&amp;0.5*$Q190),"")))</f>
        <v/>
      </c>
      <c r="S190" s="2" t="str">
        <f>IF($A190="","",COUNTIFS(Trade_Reports!$H$3:$H$502,$A190,Trade_Reports!$M$3:$M$502,"APPROVED",Trade_Reports!$Q$3:$Q$502,"&lt;="&amp;Settings!$B$5))</f>
        <v/>
      </c>
      <c r="T190" s="2"/>
      <c r="U190" s="2"/>
      <c r="V190" s="21" t="str">
        <f>IF(OR($A190="",ISERROR(SEARCH("_",$A190))),"",IFERROR(SUMIFS(Trade_Reports!$Z$3:$Z$502,Trade_Reports!$H$3:$H$502,$A190,Trade_Reports!$M$3:$M$502,"APPROVED")/SUMIFS(Trade_Reports!$U$3:$U$502,Trade_Reports!$H$3:$H$502,$A190,Trade_Reports!$M$3:$M$502,"APPROVED"),""))</f>
        <v/>
      </c>
      <c r="W190" s="17" t="str">
        <f t="shared" si="1"/>
        <v/>
      </c>
      <c r="X190" s="2"/>
      <c r="Y190" s="2"/>
      <c r="Z190" s="2"/>
    </row>
    <row r="191" spans="1:26" ht="15.75" customHeight="1" x14ac:dyDescent="0.3">
      <c r="A191" s="15"/>
      <c r="B191" s="15"/>
      <c r="C191" s="16"/>
      <c r="D191" s="16"/>
      <c r="E191" s="16"/>
      <c r="F191" s="17" t="str">
        <f>IF($A191="","",IF($K191&lt;Settings!$B$14,"",IF($P191=0,"",IFERROR(_xludf.MINIFS(Trade_Reports!$I$3:$I$502,Trade_Reports!$H$3:$H$502,$A191,Trade_Reports!$M$3:$M$502,"APPROVED",Trade_Reports!$Q$3:$Q$502,"&lt;="&amp;Settings!$B$4,Trade_Reports!$W$3:$W$502,"&gt;="&amp;0.5*$P191),""))))</f>
        <v/>
      </c>
      <c r="G191" s="17" t="str">
        <f>IF($A191="","",IF($K191=0,"",IFERROR(_xludf.MINIFS(Trade_Reports!$I$3:$I$502,Trade_Reports!$H$3:$H$502,$A191,Trade_Reports!$M$3:$M$502,"APPROVED",Trade_Reports!$Q$3:$Q$502,"&lt;="&amp;Settings!$B$4),"")))</f>
        <v/>
      </c>
      <c r="H191" s="17" t="str">
        <f>IF($A191="","",IF($K191=0,"",IFERROR(_xludf.MAXIFS(Trade_Reports!$I$3:$I$502,Trade_Reports!$H$3:$H$502,$A191,Trade_Reports!$M$3:$M$502,"APPROVED",Trade_Reports!$Q$3:$Q$502,"&lt;="&amp;Settings!$B$4),"")))</f>
        <v/>
      </c>
      <c r="I191" s="17" t="str">
        <f>IF($A191="","",IF($F191="","",IF($Q191="","",IF(ABS($F191-$Q191)/$Q191&lt;=Settings!$B$18,"STABLE",IF($F191&gt;$Q191,"UP","DOWN")))))</f>
        <v/>
      </c>
      <c r="J191" s="18" t="str">
        <f>IF($A191="","",IF($K191=0,"",MIN(100,ROUND($K191/Settings!$B$14*100,0))))</f>
        <v/>
      </c>
      <c r="K191" s="17" t="str">
        <f>IF($A191="","",COUNTIFS(Trade_Reports!$H$3:$H$502,$A191,Trade_Reports!$M$3:$M$502,"APPROVED",Trade_Reports!$Q$3:$Q$502,"&lt;="&amp;Settings!$B$4))</f>
        <v/>
      </c>
      <c r="L191" s="19" t="str">
        <f>IF($A191="","",IF($K191=0,"",IFERROR(_xludf.MAXIFS(Trade_Reports!$O$3:$O$502,Trade_Reports!$H$3:$H$502,$A191,Trade_Reports!$M$3:$M$502,"APPROVED"),"")))</f>
        <v/>
      </c>
      <c r="M191" s="16" t="s">
        <v>46</v>
      </c>
      <c r="N191" s="15"/>
      <c r="O191" s="9" t="str">
        <f t="shared" si="0"/>
        <v/>
      </c>
      <c r="P191" s="2" t="str">
        <f>IF($A191="","",SUMIFS(Trade_Reports!$U$3:$U$502,Trade_Reports!$H$3:$H$502,$A191,Trade_Reports!$M$3:$M$502,"APPROVED",Trade_Reports!$Q$3:$Q$502,"&lt;="&amp;Settings!$B$4))</f>
        <v/>
      </c>
      <c r="Q191" s="2" t="str">
        <f>IF($A191="","",SUMIFS(Trade_Reports!$U$3:$U$502,Trade_Reports!$H$3:$H$502,$A191,Trade_Reports!$M$3:$M$502,"APPROVED",Trade_Reports!$Q$3:$Q$502,"&lt;="&amp;Settings!$B$5))</f>
        <v/>
      </c>
      <c r="R191" s="2" t="str">
        <f>IF($A191="","",IF($Q191=0,"",IFERROR(_xludf.MINIFS(Trade_Reports!$I$3:$I$502,Trade_Reports!$H$3:$H$502,$A191,Trade_Reports!$M$3:$M$502,"APPROVED",Trade_Reports!$Q$3:$Q$502,"&lt;="&amp;Settings!$B$5,Trade_Reports!$X$3:$X$502,"&gt;="&amp;0.5*$Q191),"")))</f>
        <v/>
      </c>
      <c r="S191" s="2" t="str">
        <f>IF($A191="","",COUNTIFS(Trade_Reports!$H$3:$H$502,$A191,Trade_Reports!$M$3:$M$502,"APPROVED",Trade_Reports!$Q$3:$Q$502,"&lt;="&amp;Settings!$B$5))</f>
        <v/>
      </c>
      <c r="T191" s="2"/>
      <c r="U191" s="2"/>
      <c r="V191" s="21" t="str">
        <f>IF(OR($A191="",ISERROR(SEARCH("_",$A191))),"",IFERROR(SUMIFS(Trade_Reports!$Z$3:$Z$502,Trade_Reports!$H$3:$H$502,$A191,Trade_Reports!$M$3:$M$502,"APPROVED")/SUMIFS(Trade_Reports!$U$3:$U$502,Trade_Reports!$H$3:$H$502,$A191,Trade_Reports!$M$3:$M$502,"APPROVED"),""))</f>
        <v/>
      </c>
      <c r="W191" s="17" t="str">
        <f t="shared" si="1"/>
        <v/>
      </c>
      <c r="X191" s="2"/>
      <c r="Y191" s="2"/>
      <c r="Z191" s="2"/>
    </row>
    <row r="192" spans="1:26" ht="15.75" customHeight="1" x14ac:dyDescent="0.3">
      <c r="A192" s="15"/>
      <c r="B192" s="15"/>
      <c r="C192" s="16"/>
      <c r="D192" s="16"/>
      <c r="E192" s="16"/>
      <c r="F192" s="17" t="str">
        <f>IF($A192="","",IF($K192&lt;Settings!$B$14,"",IF($P192=0,"",IFERROR(_xludf.MINIFS(Trade_Reports!$I$3:$I$502,Trade_Reports!$H$3:$H$502,$A192,Trade_Reports!$M$3:$M$502,"APPROVED",Trade_Reports!$Q$3:$Q$502,"&lt;="&amp;Settings!$B$4,Trade_Reports!$W$3:$W$502,"&gt;="&amp;0.5*$P192),""))))</f>
        <v/>
      </c>
      <c r="G192" s="17" t="str">
        <f>IF($A192="","",IF($K192=0,"",IFERROR(_xludf.MINIFS(Trade_Reports!$I$3:$I$502,Trade_Reports!$H$3:$H$502,$A192,Trade_Reports!$M$3:$M$502,"APPROVED",Trade_Reports!$Q$3:$Q$502,"&lt;="&amp;Settings!$B$4),"")))</f>
        <v/>
      </c>
      <c r="H192" s="17" t="str">
        <f>IF($A192="","",IF($K192=0,"",IFERROR(_xludf.MAXIFS(Trade_Reports!$I$3:$I$502,Trade_Reports!$H$3:$H$502,$A192,Trade_Reports!$M$3:$M$502,"APPROVED",Trade_Reports!$Q$3:$Q$502,"&lt;="&amp;Settings!$B$4),"")))</f>
        <v/>
      </c>
      <c r="I192" s="17" t="str">
        <f>IF($A192="","",IF($F192="","",IF($Q192="","",IF(ABS($F192-$Q192)/$Q192&lt;=Settings!$B$18,"STABLE",IF($F192&gt;$Q192,"UP","DOWN")))))</f>
        <v/>
      </c>
      <c r="J192" s="18" t="str">
        <f>IF($A192="","",IF($K192=0,"",MIN(100,ROUND($K192/Settings!$B$14*100,0))))</f>
        <v/>
      </c>
      <c r="K192" s="17" t="str">
        <f>IF($A192="","",COUNTIFS(Trade_Reports!$H$3:$H$502,$A192,Trade_Reports!$M$3:$M$502,"APPROVED",Trade_Reports!$Q$3:$Q$502,"&lt;="&amp;Settings!$B$4))</f>
        <v/>
      </c>
      <c r="L192" s="19" t="str">
        <f>IF($A192="","",IF($K192=0,"",IFERROR(_xludf.MAXIFS(Trade_Reports!$O$3:$O$502,Trade_Reports!$H$3:$H$502,$A192,Trade_Reports!$M$3:$M$502,"APPROVED"),"")))</f>
        <v/>
      </c>
      <c r="M192" s="16" t="s">
        <v>46</v>
      </c>
      <c r="N192" s="15"/>
      <c r="O192" s="9" t="str">
        <f t="shared" si="0"/>
        <v/>
      </c>
      <c r="P192" s="2" t="str">
        <f>IF($A192="","",SUMIFS(Trade_Reports!$U$3:$U$502,Trade_Reports!$H$3:$H$502,$A192,Trade_Reports!$M$3:$M$502,"APPROVED",Trade_Reports!$Q$3:$Q$502,"&lt;="&amp;Settings!$B$4))</f>
        <v/>
      </c>
      <c r="Q192" s="2" t="str">
        <f>IF($A192="","",SUMIFS(Trade_Reports!$U$3:$U$502,Trade_Reports!$H$3:$H$502,$A192,Trade_Reports!$M$3:$M$502,"APPROVED",Trade_Reports!$Q$3:$Q$502,"&lt;="&amp;Settings!$B$5))</f>
        <v/>
      </c>
      <c r="R192" s="2" t="str">
        <f>IF($A192="","",IF($Q192=0,"",IFERROR(_xludf.MINIFS(Trade_Reports!$I$3:$I$502,Trade_Reports!$H$3:$H$502,$A192,Trade_Reports!$M$3:$M$502,"APPROVED",Trade_Reports!$Q$3:$Q$502,"&lt;="&amp;Settings!$B$5,Trade_Reports!$X$3:$X$502,"&gt;="&amp;0.5*$Q192),"")))</f>
        <v/>
      </c>
      <c r="S192" s="2" t="str">
        <f>IF($A192="","",COUNTIFS(Trade_Reports!$H$3:$H$502,$A192,Trade_Reports!$M$3:$M$502,"APPROVED",Trade_Reports!$Q$3:$Q$502,"&lt;="&amp;Settings!$B$5))</f>
        <v/>
      </c>
      <c r="T192" s="2"/>
      <c r="U192" s="2"/>
      <c r="V192" s="21" t="str">
        <f>IF(OR($A192="",ISERROR(SEARCH("_",$A192))),"",IFERROR(SUMIFS(Trade_Reports!$Z$3:$Z$502,Trade_Reports!$H$3:$H$502,$A192,Trade_Reports!$M$3:$M$502,"APPROVED")/SUMIFS(Trade_Reports!$U$3:$U$502,Trade_Reports!$H$3:$H$502,$A192,Trade_Reports!$M$3:$M$502,"APPROVED"),""))</f>
        <v/>
      </c>
      <c r="W192" s="17" t="str">
        <f t="shared" si="1"/>
        <v/>
      </c>
      <c r="X192" s="2"/>
      <c r="Y192" s="2"/>
      <c r="Z192" s="2"/>
    </row>
    <row r="193" spans="1:26" ht="15.75" customHeight="1" x14ac:dyDescent="0.3">
      <c r="A193" s="15"/>
      <c r="B193" s="15"/>
      <c r="C193" s="16"/>
      <c r="D193" s="16"/>
      <c r="E193" s="16"/>
      <c r="F193" s="17" t="str">
        <f>IF($A193="","",IF($K193&lt;Settings!$B$14,"",IF($P193=0,"",IFERROR(_xludf.MINIFS(Trade_Reports!$I$3:$I$502,Trade_Reports!$H$3:$H$502,$A193,Trade_Reports!$M$3:$M$502,"APPROVED",Trade_Reports!$Q$3:$Q$502,"&lt;="&amp;Settings!$B$4,Trade_Reports!$W$3:$W$502,"&gt;="&amp;0.5*$P193),""))))</f>
        <v/>
      </c>
      <c r="G193" s="17" t="str">
        <f>IF($A193="","",IF($K193=0,"",IFERROR(_xludf.MINIFS(Trade_Reports!$I$3:$I$502,Trade_Reports!$H$3:$H$502,$A193,Trade_Reports!$M$3:$M$502,"APPROVED",Trade_Reports!$Q$3:$Q$502,"&lt;="&amp;Settings!$B$4),"")))</f>
        <v/>
      </c>
      <c r="H193" s="17" t="str">
        <f>IF($A193="","",IF($K193=0,"",IFERROR(_xludf.MAXIFS(Trade_Reports!$I$3:$I$502,Trade_Reports!$H$3:$H$502,$A193,Trade_Reports!$M$3:$M$502,"APPROVED",Trade_Reports!$Q$3:$Q$502,"&lt;="&amp;Settings!$B$4),"")))</f>
        <v/>
      </c>
      <c r="I193" s="17" t="str">
        <f>IF($A193="","",IF($F193="","",IF($Q193="","",IF(ABS($F193-$Q193)/$Q193&lt;=Settings!$B$18,"STABLE",IF($F193&gt;$Q193,"UP","DOWN")))))</f>
        <v/>
      </c>
      <c r="J193" s="18" t="str">
        <f>IF($A193="","",IF($K193=0,"",MIN(100,ROUND($K193/Settings!$B$14*100,0))))</f>
        <v/>
      </c>
      <c r="K193" s="17" t="str">
        <f>IF($A193="","",COUNTIFS(Trade_Reports!$H$3:$H$502,$A193,Trade_Reports!$M$3:$M$502,"APPROVED",Trade_Reports!$Q$3:$Q$502,"&lt;="&amp;Settings!$B$4))</f>
        <v/>
      </c>
      <c r="L193" s="19" t="str">
        <f>IF($A193="","",IF($K193=0,"",IFERROR(_xludf.MAXIFS(Trade_Reports!$O$3:$O$502,Trade_Reports!$H$3:$H$502,$A193,Trade_Reports!$M$3:$M$502,"APPROVED"),"")))</f>
        <v/>
      </c>
      <c r="M193" s="16" t="s">
        <v>46</v>
      </c>
      <c r="N193" s="15"/>
      <c r="O193" s="9" t="str">
        <f t="shared" si="0"/>
        <v/>
      </c>
      <c r="P193" s="2" t="str">
        <f>IF($A193="","",SUMIFS(Trade_Reports!$U$3:$U$502,Trade_Reports!$H$3:$H$502,$A193,Trade_Reports!$M$3:$M$502,"APPROVED",Trade_Reports!$Q$3:$Q$502,"&lt;="&amp;Settings!$B$4))</f>
        <v/>
      </c>
      <c r="Q193" s="2" t="str">
        <f>IF($A193="","",SUMIFS(Trade_Reports!$U$3:$U$502,Trade_Reports!$H$3:$H$502,$A193,Trade_Reports!$M$3:$M$502,"APPROVED",Trade_Reports!$Q$3:$Q$502,"&lt;="&amp;Settings!$B$5))</f>
        <v/>
      </c>
      <c r="R193" s="2" t="str">
        <f>IF($A193="","",IF($Q193=0,"",IFERROR(_xludf.MINIFS(Trade_Reports!$I$3:$I$502,Trade_Reports!$H$3:$H$502,$A193,Trade_Reports!$M$3:$M$502,"APPROVED",Trade_Reports!$Q$3:$Q$502,"&lt;="&amp;Settings!$B$5,Trade_Reports!$X$3:$X$502,"&gt;="&amp;0.5*$Q193),"")))</f>
        <v/>
      </c>
      <c r="S193" s="2" t="str">
        <f>IF($A193="","",COUNTIFS(Trade_Reports!$H$3:$H$502,$A193,Trade_Reports!$M$3:$M$502,"APPROVED",Trade_Reports!$Q$3:$Q$502,"&lt;="&amp;Settings!$B$5))</f>
        <v/>
      </c>
      <c r="T193" s="2"/>
      <c r="U193" s="2"/>
      <c r="V193" s="21" t="str">
        <f>IF(OR($A193="",ISERROR(SEARCH("_",$A193))),"",IFERROR(SUMIFS(Trade_Reports!$Z$3:$Z$502,Trade_Reports!$H$3:$H$502,$A193,Trade_Reports!$M$3:$M$502,"APPROVED")/SUMIFS(Trade_Reports!$U$3:$U$502,Trade_Reports!$H$3:$H$502,$A193,Trade_Reports!$M$3:$M$502,"APPROVED"),""))</f>
        <v/>
      </c>
      <c r="W193" s="17" t="str">
        <f t="shared" si="1"/>
        <v/>
      </c>
      <c r="X193" s="2"/>
      <c r="Y193" s="2"/>
      <c r="Z193" s="2"/>
    </row>
    <row r="194" spans="1:26" ht="15.75" customHeight="1" x14ac:dyDescent="0.3">
      <c r="A194" s="15"/>
      <c r="B194" s="15"/>
      <c r="C194" s="16"/>
      <c r="D194" s="16"/>
      <c r="E194" s="16"/>
      <c r="F194" s="17" t="str">
        <f>IF($A194="","",IF($K194&lt;Settings!$B$14,"",IF($P194=0,"",IFERROR(_xludf.MINIFS(Trade_Reports!$I$3:$I$502,Trade_Reports!$H$3:$H$502,$A194,Trade_Reports!$M$3:$M$502,"APPROVED",Trade_Reports!$Q$3:$Q$502,"&lt;="&amp;Settings!$B$4,Trade_Reports!$W$3:$W$502,"&gt;="&amp;0.5*$P194),""))))</f>
        <v/>
      </c>
      <c r="G194" s="17" t="str">
        <f>IF($A194="","",IF($K194=0,"",IFERROR(_xludf.MINIFS(Trade_Reports!$I$3:$I$502,Trade_Reports!$H$3:$H$502,$A194,Trade_Reports!$M$3:$M$502,"APPROVED",Trade_Reports!$Q$3:$Q$502,"&lt;="&amp;Settings!$B$4),"")))</f>
        <v/>
      </c>
      <c r="H194" s="17" t="str">
        <f>IF($A194="","",IF($K194=0,"",IFERROR(_xludf.MAXIFS(Trade_Reports!$I$3:$I$502,Trade_Reports!$H$3:$H$502,$A194,Trade_Reports!$M$3:$M$502,"APPROVED",Trade_Reports!$Q$3:$Q$502,"&lt;="&amp;Settings!$B$4),"")))</f>
        <v/>
      </c>
      <c r="I194" s="17" t="str">
        <f>IF($A194="","",IF($F194="","",IF($Q194="","",IF(ABS($F194-$Q194)/$Q194&lt;=Settings!$B$18,"STABLE",IF($F194&gt;$Q194,"UP","DOWN")))))</f>
        <v/>
      </c>
      <c r="J194" s="18" t="str">
        <f>IF($A194="","",IF($K194=0,"",MIN(100,ROUND($K194/Settings!$B$14*100,0))))</f>
        <v/>
      </c>
      <c r="K194" s="17" t="str">
        <f>IF($A194="","",COUNTIFS(Trade_Reports!$H$3:$H$502,$A194,Trade_Reports!$M$3:$M$502,"APPROVED",Trade_Reports!$Q$3:$Q$502,"&lt;="&amp;Settings!$B$4))</f>
        <v/>
      </c>
      <c r="L194" s="19" t="str">
        <f>IF($A194="","",IF($K194=0,"",IFERROR(_xludf.MAXIFS(Trade_Reports!$O$3:$O$502,Trade_Reports!$H$3:$H$502,$A194,Trade_Reports!$M$3:$M$502,"APPROVED"),"")))</f>
        <v/>
      </c>
      <c r="M194" s="16" t="s">
        <v>46</v>
      </c>
      <c r="N194" s="15"/>
      <c r="O194" s="9" t="str">
        <f t="shared" si="0"/>
        <v/>
      </c>
      <c r="P194" s="2" t="str">
        <f>IF($A194="","",SUMIFS(Trade_Reports!$U$3:$U$502,Trade_Reports!$H$3:$H$502,$A194,Trade_Reports!$M$3:$M$502,"APPROVED",Trade_Reports!$Q$3:$Q$502,"&lt;="&amp;Settings!$B$4))</f>
        <v/>
      </c>
      <c r="Q194" s="2" t="str">
        <f>IF($A194="","",SUMIFS(Trade_Reports!$U$3:$U$502,Trade_Reports!$H$3:$H$502,$A194,Trade_Reports!$M$3:$M$502,"APPROVED",Trade_Reports!$Q$3:$Q$502,"&lt;="&amp;Settings!$B$5))</f>
        <v/>
      </c>
      <c r="R194" s="2" t="str">
        <f>IF($A194="","",IF($Q194=0,"",IFERROR(_xludf.MINIFS(Trade_Reports!$I$3:$I$502,Trade_Reports!$H$3:$H$502,$A194,Trade_Reports!$M$3:$M$502,"APPROVED",Trade_Reports!$Q$3:$Q$502,"&lt;="&amp;Settings!$B$5,Trade_Reports!$X$3:$X$502,"&gt;="&amp;0.5*$Q194),"")))</f>
        <v/>
      </c>
      <c r="S194" s="2" t="str">
        <f>IF($A194="","",COUNTIFS(Trade_Reports!$H$3:$H$502,$A194,Trade_Reports!$M$3:$M$502,"APPROVED",Trade_Reports!$Q$3:$Q$502,"&lt;="&amp;Settings!$B$5))</f>
        <v/>
      </c>
      <c r="T194" s="2"/>
      <c r="U194" s="2"/>
      <c r="V194" s="21" t="str">
        <f>IF(OR($A194="",ISERROR(SEARCH("_",$A194))),"",IFERROR(SUMIFS(Trade_Reports!$Z$3:$Z$502,Trade_Reports!$H$3:$H$502,$A194,Trade_Reports!$M$3:$M$502,"APPROVED")/SUMIFS(Trade_Reports!$U$3:$U$502,Trade_Reports!$H$3:$H$502,$A194,Trade_Reports!$M$3:$M$502,"APPROVED"),""))</f>
        <v/>
      </c>
      <c r="W194" s="17" t="str">
        <f t="shared" si="1"/>
        <v/>
      </c>
      <c r="X194" s="2"/>
      <c r="Y194" s="2"/>
      <c r="Z194" s="2"/>
    </row>
    <row r="195" spans="1:26" ht="15.75" customHeight="1" x14ac:dyDescent="0.3">
      <c r="A195" s="15"/>
      <c r="B195" s="15"/>
      <c r="C195" s="16"/>
      <c r="D195" s="16"/>
      <c r="E195" s="16"/>
      <c r="F195" s="17" t="str">
        <f>IF($A195="","",IF($K195&lt;Settings!$B$14,"",IF($P195=0,"",IFERROR(_xludf.MINIFS(Trade_Reports!$I$3:$I$502,Trade_Reports!$H$3:$H$502,$A195,Trade_Reports!$M$3:$M$502,"APPROVED",Trade_Reports!$Q$3:$Q$502,"&lt;="&amp;Settings!$B$4,Trade_Reports!$W$3:$W$502,"&gt;="&amp;0.5*$P195),""))))</f>
        <v/>
      </c>
      <c r="G195" s="17" t="str">
        <f>IF($A195="","",IF($K195=0,"",IFERROR(_xludf.MINIFS(Trade_Reports!$I$3:$I$502,Trade_Reports!$H$3:$H$502,$A195,Trade_Reports!$M$3:$M$502,"APPROVED",Trade_Reports!$Q$3:$Q$502,"&lt;="&amp;Settings!$B$4),"")))</f>
        <v/>
      </c>
      <c r="H195" s="17" t="str">
        <f>IF($A195="","",IF($K195=0,"",IFERROR(_xludf.MAXIFS(Trade_Reports!$I$3:$I$502,Trade_Reports!$H$3:$H$502,$A195,Trade_Reports!$M$3:$M$502,"APPROVED",Trade_Reports!$Q$3:$Q$502,"&lt;="&amp;Settings!$B$4),"")))</f>
        <v/>
      </c>
      <c r="I195" s="17" t="str">
        <f>IF($A195="","",IF($F195="","",IF($Q195="","",IF(ABS($F195-$Q195)/$Q195&lt;=Settings!$B$18,"STABLE",IF($F195&gt;$Q195,"UP","DOWN")))))</f>
        <v/>
      </c>
      <c r="J195" s="18" t="str">
        <f>IF($A195="","",IF($K195=0,"",MIN(100,ROUND($K195/Settings!$B$14*100,0))))</f>
        <v/>
      </c>
      <c r="K195" s="17" t="str">
        <f>IF($A195="","",COUNTIFS(Trade_Reports!$H$3:$H$502,$A195,Trade_Reports!$M$3:$M$502,"APPROVED",Trade_Reports!$Q$3:$Q$502,"&lt;="&amp;Settings!$B$4))</f>
        <v/>
      </c>
      <c r="L195" s="19" t="str">
        <f>IF($A195="","",IF($K195=0,"",IFERROR(_xludf.MAXIFS(Trade_Reports!$O$3:$O$502,Trade_Reports!$H$3:$H$502,$A195,Trade_Reports!$M$3:$M$502,"APPROVED"),"")))</f>
        <v/>
      </c>
      <c r="M195" s="16" t="s">
        <v>46</v>
      </c>
      <c r="N195" s="15"/>
      <c r="O195" s="9" t="str">
        <f t="shared" si="0"/>
        <v/>
      </c>
      <c r="P195" s="2" t="str">
        <f>IF($A195="","",SUMIFS(Trade_Reports!$U$3:$U$502,Trade_Reports!$H$3:$H$502,$A195,Trade_Reports!$M$3:$M$502,"APPROVED",Trade_Reports!$Q$3:$Q$502,"&lt;="&amp;Settings!$B$4))</f>
        <v/>
      </c>
      <c r="Q195" s="2" t="str">
        <f>IF($A195="","",SUMIFS(Trade_Reports!$U$3:$U$502,Trade_Reports!$H$3:$H$502,$A195,Trade_Reports!$M$3:$M$502,"APPROVED",Trade_Reports!$Q$3:$Q$502,"&lt;="&amp;Settings!$B$5))</f>
        <v/>
      </c>
      <c r="R195" s="2" t="str">
        <f>IF($A195="","",IF($Q195=0,"",IFERROR(_xludf.MINIFS(Trade_Reports!$I$3:$I$502,Trade_Reports!$H$3:$H$502,$A195,Trade_Reports!$M$3:$M$502,"APPROVED",Trade_Reports!$Q$3:$Q$502,"&lt;="&amp;Settings!$B$5,Trade_Reports!$X$3:$X$502,"&gt;="&amp;0.5*$Q195),"")))</f>
        <v/>
      </c>
      <c r="S195" s="2" t="str">
        <f>IF($A195="","",COUNTIFS(Trade_Reports!$H$3:$H$502,$A195,Trade_Reports!$M$3:$M$502,"APPROVED",Trade_Reports!$Q$3:$Q$502,"&lt;="&amp;Settings!$B$5))</f>
        <v/>
      </c>
      <c r="T195" s="2"/>
      <c r="U195" s="2"/>
      <c r="V195" s="21" t="str">
        <f>IF(OR($A195="",ISERROR(SEARCH("_",$A195))),"",IFERROR(SUMIFS(Trade_Reports!$Z$3:$Z$502,Trade_Reports!$H$3:$H$502,$A195,Trade_Reports!$M$3:$M$502,"APPROVED")/SUMIFS(Trade_Reports!$U$3:$U$502,Trade_Reports!$H$3:$H$502,$A195,Trade_Reports!$M$3:$M$502,"APPROVED"),""))</f>
        <v/>
      </c>
      <c r="W195" s="17" t="str">
        <f t="shared" si="1"/>
        <v/>
      </c>
      <c r="X195" s="2"/>
      <c r="Y195" s="2"/>
      <c r="Z195" s="2"/>
    </row>
    <row r="196" spans="1:26" ht="15.75" customHeight="1" x14ac:dyDescent="0.3">
      <c r="A196" s="15"/>
      <c r="B196" s="15"/>
      <c r="C196" s="16"/>
      <c r="D196" s="16"/>
      <c r="E196" s="16"/>
      <c r="F196" s="17" t="str">
        <f>IF($A196="","",IF($K196&lt;Settings!$B$14,"",IF($P196=0,"",IFERROR(_xludf.MINIFS(Trade_Reports!$I$3:$I$502,Trade_Reports!$H$3:$H$502,$A196,Trade_Reports!$M$3:$M$502,"APPROVED",Trade_Reports!$Q$3:$Q$502,"&lt;="&amp;Settings!$B$4,Trade_Reports!$W$3:$W$502,"&gt;="&amp;0.5*$P196),""))))</f>
        <v/>
      </c>
      <c r="G196" s="17" t="str">
        <f>IF($A196="","",IF($K196=0,"",IFERROR(_xludf.MINIFS(Trade_Reports!$I$3:$I$502,Trade_Reports!$H$3:$H$502,$A196,Trade_Reports!$M$3:$M$502,"APPROVED",Trade_Reports!$Q$3:$Q$502,"&lt;="&amp;Settings!$B$4),"")))</f>
        <v/>
      </c>
      <c r="H196" s="17" t="str">
        <f>IF($A196="","",IF($K196=0,"",IFERROR(_xludf.MAXIFS(Trade_Reports!$I$3:$I$502,Trade_Reports!$H$3:$H$502,$A196,Trade_Reports!$M$3:$M$502,"APPROVED",Trade_Reports!$Q$3:$Q$502,"&lt;="&amp;Settings!$B$4),"")))</f>
        <v/>
      </c>
      <c r="I196" s="17" t="str">
        <f>IF($A196="","",IF($F196="","",IF($Q196="","",IF(ABS($F196-$Q196)/$Q196&lt;=Settings!$B$18,"STABLE",IF($F196&gt;$Q196,"UP","DOWN")))))</f>
        <v/>
      </c>
      <c r="J196" s="18" t="str">
        <f>IF($A196="","",IF($K196=0,"",MIN(100,ROUND($K196/Settings!$B$14*100,0))))</f>
        <v/>
      </c>
      <c r="K196" s="17" t="str">
        <f>IF($A196="","",COUNTIFS(Trade_Reports!$H$3:$H$502,$A196,Trade_Reports!$M$3:$M$502,"APPROVED",Trade_Reports!$Q$3:$Q$502,"&lt;="&amp;Settings!$B$4))</f>
        <v/>
      </c>
      <c r="L196" s="19" t="str">
        <f>IF($A196="","",IF($K196=0,"",IFERROR(_xludf.MAXIFS(Trade_Reports!$O$3:$O$502,Trade_Reports!$H$3:$H$502,$A196,Trade_Reports!$M$3:$M$502,"APPROVED"),"")))</f>
        <v/>
      </c>
      <c r="M196" s="16" t="s">
        <v>46</v>
      </c>
      <c r="N196" s="15"/>
      <c r="O196" s="9" t="str">
        <f t="shared" si="0"/>
        <v/>
      </c>
      <c r="P196" s="2" t="str">
        <f>IF($A196="","",SUMIFS(Trade_Reports!$U$3:$U$502,Trade_Reports!$H$3:$H$502,$A196,Trade_Reports!$M$3:$M$502,"APPROVED",Trade_Reports!$Q$3:$Q$502,"&lt;="&amp;Settings!$B$4))</f>
        <v/>
      </c>
      <c r="Q196" s="2" t="str">
        <f>IF($A196="","",SUMIFS(Trade_Reports!$U$3:$U$502,Trade_Reports!$H$3:$H$502,$A196,Trade_Reports!$M$3:$M$502,"APPROVED",Trade_Reports!$Q$3:$Q$502,"&lt;="&amp;Settings!$B$5))</f>
        <v/>
      </c>
      <c r="R196" s="2" t="str">
        <f>IF($A196="","",IF($Q196=0,"",IFERROR(_xludf.MINIFS(Trade_Reports!$I$3:$I$502,Trade_Reports!$H$3:$H$502,$A196,Trade_Reports!$M$3:$M$502,"APPROVED",Trade_Reports!$Q$3:$Q$502,"&lt;="&amp;Settings!$B$5,Trade_Reports!$X$3:$X$502,"&gt;="&amp;0.5*$Q196),"")))</f>
        <v/>
      </c>
      <c r="S196" s="2" t="str">
        <f>IF($A196="","",COUNTIFS(Trade_Reports!$H$3:$H$502,$A196,Trade_Reports!$M$3:$M$502,"APPROVED",Trade_Reports!$Q$3:$Q$502,"&lt;="&amp;Settings!$B$5))</f>
        <v/>
      </c>
      <c r="T196" s="2"/>
      <c r="U196" s="2"/>
      <c r="V196" s="21" t="str">
        <f>IF(OR($A196="",ISERROR(SEARCH("_",$A196))),"",IFERROR(SUMIFS(Trade_Reports!$Z$3:$Z$502,Trade_Reports!$H$3:$H$502,$A196,Trade_Reports!$M$3:$M$502,"APPROVED")/SUMIFS(Trade_Reports!$U$3:$U$502,Trade_Reports!$H$3:$H$502,$A196,Trade_Reports!$M$3:$M$502,"APPROVED"),""))</f>
        <v/>
      </c>
      <c r="W196" s="17" t="str">
        <f t="shared" si="1"/>
        <v/>
      </c>
      <c r="X196" s="2"/>
      <c r="Y196" s="2"/>
      <c r="Z196" s="2"/>
    </row>
    <row r="197" spans="1:26" ht="15.75" customHeight="1" x14ac:dyDescent="0.3">
      <c r="A197" s="15"/>
      <c r="B197" s="15"/>
      <c r="C197" s="16"/>
      <c r="D197" s="16"/>
      <c r="E197" s="16"/>
      <c r="F197" s="17" t="str">
        <f>IF($A197="","",IF($K197&lt;Settings!$B$14,"",IF($P197=0,"",IFERROR(_xludf.MINIFS(Trade_Reports!$I$3:$I$502,Trade_Reports!$H$3:$H$502,$A197,Trade_Reports!$M$3:$M$502,"APPROVED",Trade_Reports!$Q$3:$Q$502,"&lt;="&amp;Settings!$B$4,Trade_Reports!$W$3:$W$502,"&gt;="&amp;0.5*$P197),""))))</f>
        <v/>
      </c>
      <c r="G197" s="17" t="str">
        <f>IF($A197="","",IF($K197=0,"",IFERROR(_xludf.MINIFS(Trade_Reports!$I$3:$I$502,Trade_Reports!$H$3:$H$502,$A197,Trade_Reports!$M$3:$M$502,"APPROVED",Trade_Reports!$Q$3:$Q$502,"&lt;="&amp;Settings!$B$4),"")))</f>
        <v/>
      </c>
      <c r="H197" s="17" t="str">
        <f>IF($A197="","",IF($K197=0,"",IFERROR(_xludf.MAXIFS(Trade_Reports!$I$3:$I$502,Trade_Reports!$H$3:$H$502,$A197,Trade_Reports!$M$3:$M$502,"APPROVED",Trade_Reports!$Q$3:$Q$502,"&lt;="&amp;Settings!$B$4),"")))</f>
        <v/>
      </c>
      <c r="I197" s="17" t="str">
        <f>IF($A197="","",IF($F197="","",IF($Q197="","",IF(ABS($F197-$Q197)/$Q197&lt;=Settings!$B$18,"STABLE",IF($F197&gt;$Q197,"UP","DOWN")))))</f>
        <v/>
      </c>
      <c r="J197" s="18" t="str">
        <f>IF($A197="","",IF($K197=0,"",MIN(100,ROUND($K197/Settings!$B$14*100,0))))</f>
        <v/>
      </c>
      <c r="K197" s="17" t="str">
        <f>IF($A197="","",COUNTIFS(Trade_Reports!$H$3:$H$502,$A197,Trade_Reports!$M$3:$M$502,"APPROVED",Trade_Reports!$Q$3:$Q$502,"&lt;="&amp;Settings!$B$4))</f>
        <v/>
      </c>
      <c r="L197" s="19" t="str">
        <f>IF($A197="","",IF($K197=0,"",IFERROR(_xludf.MAXIFS(Trade_Reports!$O$3:$O$502,Trade_Reports!$H$3:$H$502,$A197,Trade_Reports!$M$3:$M$502,"APPROVED"),"")))</f>
        <v/>
      </c>
      <c r="M197" s="16" t="s">
        <v>46</v>
      </c>
      <c r="N197" s="15"/>
      <c r="O197" s="9" t="str">
        <f t="shared" si="0"/>
        <v/>
      </c>
      <c r="P197" s="2" t="str">
        <f>IF($A197="","",SUMIFS(Trade_Reports!$U$3:$U$502,Trade_Reports!$H$3:$H$502,$A197,Trade_Reports!$M$3:$M$502,"APPROVED",Trade_Reports!$Q$3:$Q$502,"&lt;="&amp;Settings!$B$4))</f>
        <v/>
      </c>
      <c r="Q197" s="2" t="str">
        <f>IF($A197="","",SUMIFS(Trade_Reports!$U$3:$U$502,Trade_Reports!$H$3:$H$502,$A197,Trade_Reports!$M$3:$M$502,"APPROVED",Trade_Reports!$Q$3:$Q$502,"&lt;="&amp;Settings!$B$5))</f>
        <v/>
      </c>
      <c r="R197" s="2" t="str">
        <f>IF($A197="","",IF($Q197=0,"",IFERROR(_xludf.MINIFS(Trade_Reports!$I$3:$I$502,Trade_Reports!$H$3:$H$502,$A197,Trade_Reports!$M$3:$M$502,"APPROVED",Trade_Reports!$Q$3:$Q$502,"&lt;="&amp;Settings!$B$5,Trade_Reports!$X$3:$X$502,"&gt;="&amp;0.5*$Q197),"")))</f>
        <v/>
      </c>
      <c r="S197" s="2" t="str">
        <f>IF($A197="","",COUNTIFS(Trade_Reports!$H$3:$H$502,$A197,Trade_Reports!$M$3:$M$502,"APPROVED",Trade_Reports!$Q$3:$Q$502,"&lt;="&amp;Settings!$B$5))</f>
        <v/>
      </c>
      <c r="T197" s="2"/>
      <c r="U197" s="2"/>
      <c r="V197" s="21" t="str">
        <f>IF(OR($A197="",ISERROR(SEARCH("_",$A197))),"",IFERROR(SUMIFS(Trade_Reports!$Z$3:$Z$502,Trade_Reports!$H$3:$H$502,$A197,Trade_Reports!$M$3:$M$502,"APPROVED")/SUMIFS(Trade_Reports!$U$3:$U$502,Trade_Reports!$H$3:$H$502,$A197,Trade_Reports!$M$3:$M$502,"APPROVED"),""))</f>
        <v/>
      </c>
      <c r="W197" s="17" t="str">
        <f t="shared" si="1"/>
        <v/>
      </c>
      <c r="X197" s="2"/>
      <c r="Y197" s="2"/>
      <c r="Z197" s="2"/>
    </row>
    <row r="198" spans="1:26" ht="15.75" customHeight="1" x14ac:dyDescent="0.3">
      <c r="A198" s="15"/>
      <c r="B198" s="15"/>
      <c r="C198" s="16"/>
      <c r="D198" s="16"/>
      <c r="E198" s="16"/>
      <c r="F198" s="17" t="str">
        <f>IF($A198="","",IF($K198&lt;Settings!$B$14,"",IF($P198=0,"",IFERROR(_xludf.MINIFS(Trade_Reports!$I$3:$I$502,Trade_Reports!$H$3:$H$502,$A198,Trade_Reports!$M$3:$M$502,"APPROVED",Trade_Reports!$Q$3:$Q$502,"&lt;="&amp;Settings!$B$4,Trade_Reports!$W$3:$W$502,"&gt;="&amp;0.5*$P198),""))))</f>
        <v/>
      </c>
      <c r="G198" s="17" t="str">
        <f>IF($A198="","",IF($K198=0,"",IFERROR(_xludf.MINIFS(Trade_Reports!$I$3:$I$502,Trade_Reports!$H$3:$H$502,$A198,Trade_Reports!$M$3:$M$502,"APPROVED",Trade_Reports!$Q$3:$Q$502,"&lt;="&amp;Settings!$B$4),"")))</f>
        <v/>
      </c>
      <c r="H198" s="17" t="str">
        <f>IF($A198="","",IF($K198=0,"",IFERROR(_xludf.MAXIFS(Trade_Reports!$I$3:$I$502,Trade_Reports!$H$3:$H$502,$A198,Trade_Reports!$M$3:$M$502,"APPROVED",Trade_Reports!$Q$3:$Q$502,"&lt;="&amp;Settings!$B$4),"")))</f>
        <v/>
      </c>
      <c r="I198" s="17" t="str">
        <f>IF($A198="","",IF($F198="","",IF($Q198="","",IF(ABS($F198-$Q198)/$Q198&lt;=Settings!$B$18,"STABLE",IF($F198&gt;$Q198,"UP","DOWN")))))</f>
        <v/>
      </c>
      <c r="J198" s="18" t="str">
        <f>IF($A198="","",IF($K198=0,"",MIN(100,ROUND($K198/Settings!$B$14*100,0))))</f>
        <v/>
      </c>
      <c r="K198" s="17" t="str">
        <f>IF($A198="","",COUNTIFS(Trade_Reports!$H$3:$H$502,$A198,Trade_Reports!$M$3:$M$502,"APPROVED",Trade_Reports!$Q$3:$Q$502,"&lt;="&amp;Settings!$B$4))</f>
        <v/>
      </c>
      <c r="L198" s="19" t="str">
        <f>IF($A198="","",IF($K198=0,"",IFERROR(_xludf.MAXIFS(Trade_Reports!$O$3:$O$502,Trade_Reports!$H$3:$H$502,$A198,Trade_Reports!$M$3:$M$502,"APPROVED"),"")))</f>
        <v/>
      </c>
      <c r="M198" s="16" t="s">
        <v>46</v>
      </c>
      <c r="N198" s="15"/>
      <c r="O198" s="9" t="str">
        <f t="shared" si="0"/>
        <v/>
      </c>
      <c r="P198" s="2" t="str">
        <f>IF($A198="","",SUMIFS(Trade_Reports!$U$3:$U$502,Trade_Reports!$H$3:$H$502,$A198,Trade_Reports!$M$3:$M$502,"APPROVED",Trade_Reports!$Q$3:$Q$502,"&lt;="&amp;Settings!$B$4))</f>
        <v/>
      </c>
      <c r="Q198" s="2" t="str">
        <f>IF($A198="","",SUMIFS(Trade_Reports!$U$3:$U$502,Trade_Reports!$H$3:$H$502,$A198,Trade_Reports!$M$3:$M$502,"APPROVED",Trade_Reports!$Q$3:$Q$502,"&lt;="&amp;Settings!$B$5))</f>
        <v/>
      </c>
      <c r="R198" s="2" t="str">
        <f>IF($A198="","",IF($Q198=0,"",IFERROR(_xludf.MINIFS(Trade_Reports!$I$3:$I$502,Trade_Reports!$H$3:$H$502,$A198,Trade_Reports!$M$3:$M$502,"APPROVED",Trade_Reports!$Q$3:$Q$502,"&lt;="&amp;Settings!$B$5,Trade_Reports!$X$3:$X$502,"&gt;="&amp;0.5*$Q198),"")))</f>
        <v/>
      </c>
      <c r="S198" s="2" t="str">
        <f>IF($A198="","",COUNTIFS(Trade_Reports!$H$3:$H$502,$A198,Trade_Reports!$M$3:$M$502,"APPROVED",Trade_Reports!$Q$3:$Q$502,"&lt;="&amp;Settings!$B$5))</f>
        <v/>
      </c>
      <c r="T198" s="2"/>
      <c r="U198" s="2"/>
      <c r="V198" s="21" t="str">
        <f>IF(OR($A198="",ISERROR(SEARCH("_",$A198))),"",IFERROR(SUMIFS(Trade_Reports!$Z$3:$Z$502,Trade_Reports!$H$3:$H$502,$A198,Trade_Reports!$M$3:$M$502,"APPROVED")/SUMIFS(Trade_Reports!$U$3:$U$502,Trade_Reports!$H$3:$H$502,$A198,Trade_Reports!$M$3:$M$502,"APPROVED"),""))</f>
        <v/>
      </c>
      <c r="W198" s="17" t="str">
        <f t="shared" si="1"/>
        <v/>
      </c>
      <c r="X198" s="2"/>
      <c r="Y198" s="2"/>
      <c r="Z198" s="2"/>
    </row>
    <row r="199" spans="1:26" ht="15.75" customHeight="1" x14ac:dyDescent="0.3">
      <c r="A199" s="15"/>
      <c r="B199" s="15"/>
      <c r="C199" s="16"/>
      <c r="D199" s="16"/>
      <c r="E199" s="16"/>
      <c r="F199" s="17" t="str">
        <f>IF($A199="","",IF($K199&lt;Settings!$B$14,"",IF($P199=0,"",IFERROR(_xludf.MINIFS(Trade_Reports!$I$3:$I$502,Trade_Reports!$H$3:$H$502,$A199,Trade_Reports!$M$3:$M$502,"APPROVED",Trade_Reports!$Q$3:$Q$502,"&lt;="&amp;Settings!$B$4,Trade_Reports!$W$3:$W$502,"&gt;="&amp;0.5*$P199),""))))</f>
        <v/>
      </c>
      <c r="G199" s="17" t="str">
        <f>IF($A199="","",IF($K199=0,"",IFERROR(_xludf.MINIFS(Trade_Reports!$I$3:$I$502,Trade_Reports!$H$3:$H$502,$A199,Trade_Reports!$M$3:$M$502,"APPROVED",Trade_Reports!$Q$3:$Q$502,"&lt;="&amp;Settings!$B$4),"")))</f>
        <v/>
      </c>
      <c r="H199" s="17" t="str">
        <f>IF($A199="","",IF($K199=0,"",IFERROR(_xludf.MAXIFS(Trade_Reports!$I$3:$I$502,Trade_Reports!$H$3:$H$502,$A199,Trade_Reports!$M$3:$M$502,"APPROVED",Trade_Reports!$Q$3:$Q$502,"&lt;="&amp;Settings!$B$4),"")))</f>
        <v/>
      </c>
      <c r="I199" s="17" t="str">
        <f>IF($A199="","",IF($F199="","",IF($Q199="","",IF(ABS($F199-$Q199)/$Q199&lt;=Settings!$B$18,"STABLE",IF($F199&gt;$Q199,"UP","DOWN")))))</f>
        <v/>
      </c>
      <c r="J199" s="18" t="str">
        <f>IF($A199="","",IF($K199=0,"",MIN(100,ROUND($K199/Settings!$B$14*100,0))))</f>
        <v/>
      </c>
      <c r="K199" s="17" t="str">
        <f>IF($A199="","",COUNTIFS(Trade_Reports!$H$3:$H$502,$A199,Trade_Reports!$M$3:$M$502,"APPROVED",Trade_Reports!$Q$3:$Q$502,"&lt;="&amp;Settings!$B$4))</f>
        <v/>
      </c>
      <c r="L199" s="19" t="str">
        <f>IF($A199="","",IF($K199=0,"",IFERROR(_xludf.MAXIFS(Trade_Reports!$O$3:$O$502,Trade_Reports!$H$3:$H$502,$A199,Trade_Reports!$M$3:$M$502,"APPROVED"),"")))</f>
        <v/>
      </c>
      <c r="M199" s="16" t="s">
        <v>46</v>
      </c>
      <c r="N199" s="15"/>
      <c r="O199" s="9" t="str">
        <f t="shared" si="0"/>
        <v/>
      </c>
      <c r="P199" s="2" t="str">
        <f>IF($A199="","",SUMIFS(Trade_Reports!$U$3:$U$502,Trade_Reports!$H$3:$H$502,$A199,Trade_Reports!$M$3:$M$502,"APPROVED",Trade_Reports!$Q$3:$Q$502,"&lt;="&amp;Settings!$B$4))</f>
        <v/>
      </c>
      <c r="Q199" s="2" t="str">
        <f>IF($A199="","",SUMIFS(Trade_Reports!$U$3:$U$502,Trade_Reports!$H$3:$H$502,$A199,Trade_Reports!$M$3:$M$502,"APPROVED",Trade_Reports!$Q$3:$Q$502,"&lt;="&amp;Settings!$B$5))</f>
        <v/>
      </c>
      <c r="R199" s="2" t="str">
        <f>IF($A199="","",IF($Q199=0,"",IFERROR(_xludf.MINIFS(Trade_Reports!$I$3:$I$502,Trade_Reports!$H$3:$H$502,$A199,Trade_Reports!$M$3:$M$502,"APPROVED",Trade_Reports!$Q$3:$Q$502,"&lt;="&amp;Settings!$B$5,Trade_Reports!$X$3:$X$502,"&gt;="&amp;0.5*$Q199),"")))</f>
        <v/>
      </c>
      <c r="S199" s="2" t="str">
        <f>IF($A199="","",COUNTIFS(Trade_Reports!$H$3:$H$502,$A199,Trade_Reports!$M$3:$M$502,"APPROVED",Trade_Reports!$Q$3:$Q$502,"&lt;="&amp;Settings!$B$5))</f>
        <v/>
      </c>
      <c r="T199" s="2"/>
      <c r="U199" s="2"/>
      <c r="V199" s="21" t="str">
        <f>IF(OR($A199="",ISERROR(SEARCH("_",$A199))),"",IFERROR(SUMIFS(Trade_Reports!$Z$3:$Z$502,Trade_Reports!$H$3:$H$502,$A199,Trade_Reports!$M$3:$M$502,"APPROVED")/SUMIFS(Trade_Reports!$U$3:$U$502,Trade_Reports!$H$3:$H$502,$A199,Trade_Reports!$M$3:$M$502,"APPROVED"),""))</f>
        <v/>
      </c>
      <c r="W199" s="17" t="str">
        <f t="shared" si="1"/>
        <v/>
      </c>
      <c r="X199" s="2"/>
      <c r="Y199" s="2"/>
      <c r="Z199" s="2"/>
    </row>
    <row r="200" spans="1:26" ht="15.75" customHeight="1" x14ac:dyDescent="0.3">
      <c r="A200" s="15"/>
      <c r="B200" s="15"/>
      <c r="C200" s="16"/>
      <c r="D200" s="16"/>
      <c r="E200" s="16"/>
      <c r="F200" s="17" t="str">
        <f>IF($A200="","",IF($K200&lt;Settings!$B$14,"",IF($P200=0,"",IFERROR(_xludf.MINIFS(Trade_Reports!$I$3:$I$502,Trade_Reports!$H$3:$H$502,$A200,Trade_Reports!$M$3:$M$502,"APPROVED",Trade_Reports!$Q$3:$Q$502,"&lt;="&amp;Settings!$B$4,Trade_Reports!$W$3:$W$502,"&gt;="&amp;0.5*$P200),""))))</f>
        <v/>
      </c>
      <c r="G200" s="17" t="str">
        <f>IF($A200="","",IF($K200=0,"",IFERROR(_xludf.MINIFS(Trade_Reports!$I$3:$I$502,Trade_Reports!$H$3:$H$502,$A200,Trade_Reports!$M$3:$M$502,"APPROVED",Trade_Reports!$Q$3:$Q$502,"&lt;="&amp;Settings!$B$4),"")))</f>
        <v/>
      </c>
      <c r="H200" s="17" t="str">
        <f>IF($A200="","",IF($K200=0,"",IFERROR(_xludf.MAXIFS(Trade_Reports!$I$3:$I$502,Trade_Reports!$H$3:$H$502,$A200,Trade_Reports!$M$3:$M$502,"APPROVED",Trade_Reports!$Q$3:$Q$502,"&lt;="&amp;Settings!$B$4),"")))</f>
        <v/>
      </c>
      <c r="I200" s="17" t="str">
        <f>IF($A200="","",IF($F200="","",IF($Q200="","",IF(ABS($F200-$Q200)/$Q200&lt;=Settings!$B$18,"STABLE",IF($F200&gt;$Q200,"UP","DOWN")))))</f>
        <v/>
      </c>
      <c r="J200" s="18" t="str">
        <f>IF($A200="","",IF($K200=0,"",MIN(100,ROUND($K200/Settings!$B$14*100,0))))</f>
        <v/>
      </c>
      <c r="K200" s="17" t="str">
        <f>IF($A200="","",COUNTIFS(Trade_Reports!$H$3:$H$502,$A200,Trade_Reports!$M$3:$M$502,"APPROVED",Trade_Reports!$Q$3:$Q$502,"&lt;="&amp;Settings!$B$4))</f>
        <v/>
      </c>
      <c r="L200" s="19" t="str">
        <f>IF($A200="","",IF($K200=0,"",IFERROR(_xludf.MAXIFS(Trade_Reports!$O$3:$O$502,Trade_Reports!$H$3:$H$502,$A200,Trade_Reports!$M$3:$M$502,"APPROVED"),"")))</f>
        <v/>
      </c>
      <c r="M200" s="16" t="s">
        <v>46</v>
      </c>
      <c r="N200" s="15"/>
      <c r="O200" s="9" t="str">
        <f t="shared" si="0"/>
        <v/>
      </c>
      <c r="P200" s="2" t="str">
        <f>IF($A200="","",SUMIFS(Trade_Reports!$U$3:$U$502,Trade_Reports!$H$3:$H$502,$A200,Trade_Reports!$M$3:$M$502,"APPROVED",Trade_Reports!$Q$3:$Q$502,"&lt;="&amp;Settings!$B$4))</f>
        <v/>
      </c>
      <c r="Q200" s="2" t="str">
        <f>IF($A200="","",SUMIFS(Trade_Reports!$U$3:$U$502,Trade_Reports!$H$3:$H$502,$A200,Trade_Reports!$M$3:$M$502,"APPROVED",Trade_Reports!$Q$3:$Q$502,"&lt;="&amp;Settings!$B$5))</f>
        <v/>
      </c>
      <c r="R200" s="2" t="str">
        <f>IF($A200="","",IF($Q200=0,"",IFERROR(_xludf.MINIFS(Trade_Reports!$I$3:$I$502,Trade_Reports!$H$3:$H$502,$A200,Trade_Reports!$M$3:$M$502,"APPROVED",Trade_Reports!$Q$3:$Q$502,"&lt;="&amp;Settings!$B$5,Trade_Reports!$X$3:$X$502,"&gt;="&amp;0.5*$Q200),"")))</f>
        <v/>
      </c>
      <c r="S200" s="2" t="str">
        <f>IF($A200="","",COUNTIFS(Trade_Reports!$H$3:$H$502,$A200,Trade_Reports!$M$3:$M$502,"APPROVED",Trade_Reports!$Q$3:$Q$502,"&lt;="&amp;Settings!$B$5))</f>
        <v/>
      </c>
      <c r="T200" s="2"/>
      <c r="U200" s="2"/>
      <c r="V200" s="21" t="str">
        <f>IF(OR($A200="",ISERROR(SEARCH("_",$A200))),"",IFERROR(SUMIFS(Trade_Reports!$Z$3:$Z$502,Trade_Reports!$H$3:$H$502,$A200,Trade_Reports!$M$3:$M$502,"APPROVED")/SUMIFS(Trade_Reports!$U$3:$U$502,Trade_Reports!$H$3:$H$502,$A200,Trade_Reports!$M$3:$M$502,"APPROVED"),""))</f>
        <v/>
      </c>
      <c r="W200" s="17" t="str">
        <f t="shared" si="1"/>
        <v/>
      </c>
      <c r="X200" s="2"/>
      <c r="Y200" s="2"/>
      <c r="Z200" s="2"/>
    </row>
    <row r="201" spans="1:26" ht="15.75" customHeight="1" x14ac:dyDescent="0.3">
      <c r="A201" s="15"/>
      <c r="B201" s="15"/>
      <c r="C201" s="16"/>
      <c r="D201" s="16"/>
      <c r="E201" s="16"/>
      <c r="F201" s="17" t="str">
        <f>IF($A201="","",IF($K201&lt;Settings!$B$14,"",IF($P201=0,"",IFERROR(_xludf.MINIFS(Trade_Reports!$I$3:$I$502,Trade_Reports!$H$3:$H$502,$A201,Trade_Reports!$M$3:$M$502,"APPROVED",Trade_Reports!$Q$3:$Q$502,"&lt;="&amp;Settings!$B$4,Trade_Reports!$W$3:$W$502,"&gt;="&amp;0.5*$P201),""))))</f>
        <v/>
      </c>
      <c r="G201" s="17" t="str">
        <f>IF($A201="","",IF($K201=0,"",IFERROR(_xludf.MINIFS(Trade_Reports!$I$3:$I$502,Trade_Reports!$H$3:$H$502,$A201,Trade_Reports!$M$3:$M$502,"APPROVED",Trade_Reports!$Q$3:$Q$502,"&lt;="&amp;Settings!$B$4),"")))</f>
        <v/>
      </c>
      <c r="H201" s="17" t="str">
        <f>IF($A201="","",IF($K201=0,"",IFERROR(_xludf.MAXIFS(Trade_Reports!$I$3:$I$502,Trade_Reports!$H$3:$H$502,$A201,Trade_Reports!$M$3:$M$502,"APPROVED",Trade_Reports!$Q$3:$Q$502,"&lt;="&amp;Settings!$B$4),"")))</f>
        <v/>
      </c>
      <c r="I201" s="17" t="str">
        <f>IF($A201="","",IF($F201="","",IF($Q201="","",IF(ABS($F201-$Q201)/$Q201&lt;=Settings!$B$18,"STABLE",IF($F201&gt;$Q201,"UP","DOWN")))))</f>
        <v/>
      </c>
      <c r="J201" s="18" t="str">
        <f>IF($A201="","",IF($K201=0,"",MIN(100,ROUND($K201/Settings!$B$14*100,0))))</f>
        <v/>
      </c>
      <c r="K201" s="17" t="str">
        <f>IF($A201="","",COUNTIFS(Trade_Reports!$H$3:$H$502,$A201,Trade_Reports!$M$3:$M$502,"APPROVED",Trade_Reports!$Q$3:$Q$502,"&lt;="&amp;Settings!$B$4))</f>
        <v/>
      </c>
      <c r="L201" s="19" t="str">
        <f>IF($A201="","",IF($K201=0,"",IFERROR(_xludf.MAXIFS(Trade_Reports!$O$3:$O$502,Trade_Reports!$H$3:$H$502,$A201,Trade_Reports!$M$3:$M$502,"APPROVED"),"")))</f>
        <v/>
      </c>
      <c r="M201" s="16" t="s">
        <v>46</v>
      </c>
      <c r="N201" s="15"/>
      <c r="O201" s="9" t="str">
        <f t="shared" si="0"/>
        <v/>
      </c>
      <c r="P201" s="2" t="str">
        <f>IF($A201="","",SUMIFS(Trade_Reports!$U$3:$U$502,Trade_Reports!$H$3:$H$502,$A201,Trade_Reports!$M$3:$M$502,"APPROVED",Trade_Reports!$Q$3:$Q$502,"&lt;="&amp;Settings!$B$4))</f>
        <v/>
      </c>
      <c r="Q201" s="2" t="str">
        <f>IF($A201="","",SUMIFS(Trade_Reports!$U$3:$U$502,Trade_Reports!$H$3:$H$502,$A201,Trade_Reports!$M$3:$M$502,"APPROVED",Trade_Reports!$Q$3:$Q$502,"&lt;="&amp;Settings!$B$5))</f>
        <v/>
      </c>
      <c r="R201" s="2" t="str">
        <f>IF($A201="","",IF($Q201=0,"",IFERROR(_xludf.MINIFS(Trade_Reports!$I$3:$I$502,Trade_Reports!$H$3:$H$502,$A201,Trade_Reports!$M$3:$M$502,"APPROVED",Trade_Reports!$Q$3:$Q$502,"&lt;="&amp;Settings!$B$5,Trade_Reports!$X$3:$X$502,"&gt;="&amp;0.5*$Q201),"")))</f>
        <v/>
      </c>
      <c r="S201" s="2" t="str">
        <f>IF($A201="","",COUNTIFS(Trade_Reports!$H$3:$H$502,$A201,Trade_Reports!$M$3:$M$502,"APPROVED",Trade_Reports!$Q$3:$Q$502,"&lt;="&amp;Settings!$B$5))</f>
        <v/>
      </c>
      <c r="T201" s="2"/>
      <c r="U201" s="2"/>
      <c r="V201" s="21" t="str">
        <f>IF(OR($A201="",ISERROR(SEARCH("_",$A201))),"",IFERROR(SUMIFS(Trade_Reports!$Z$3:$Z$502,Trade_Reports!$H$3:$H$502,$A201,Trade_Reports!$M$3:$M$502,"APPROVED")/SUMIFS(Trade_Reports!$U$3:$U$502,Trade_Reports!$H$3:$H$502,$A201,Trade_Reports!$M$3:$M$502,"APPROVED"),""))</f>
        <v/>
      </c>
      <c r="W201" s="17" t="str">
        <f t="shared" si="1"/>
        <v/>
      </c>
      <c r="X201" s="2"/>
      <c r="Y201" s="2"/>
      <c r="Z201" s="2"/>
    </row>
    <row r="202" spans="1:26" ht="15.75" customHeight="1" x14ac:dyDescent="0.3">
      <c r="A202" s="15"/>
      <c r="B202" s="15"/>
      <c r="C202" s="16"/>
      <c r="D202" s="16"/>
      <c r="E202" s="16"/>
      <c r="F202" s="17" t="str">
        <f>IF($A202="","",IF($K202&lt;Settings!$B$14,"",IF($P202=0,"",IFERROR(_xludf.MINIFS(Trade_Reports!$I$3:$I$502,Trade_Reports!$H$3:$H$502,$A202,Trade_Reports!$M$3:$M$502,"APPROVED",Trade_Reports!$Q$3:$Q$502,"&lt;="&amp;Settings!$B$4,Trade_Reports!$W$3:$W$502,"&gt;="&amp;0.5*$P202),""))))</f>
        <v/>
      </c>
      <c r="G202" s="17" t="str">
        <f>IF($A202="","",IF($K202=0,"",IFERROR(_xludf.MINIFS(Trade_Reports!$I$3:$I$502,Trade_Reports!$H$3:$H$502,$A202,Trade_Reports!$M$3:$M$502,"APPROVED",Trade_Reports!$Q$3:$Q$502,"&lt;="&amp;Settings!$B$4),"")))</f>
        <v/>
      </c>
      <c r="H202" s="17" t="str">
        <f>IF($A202="","",IF($K202=0,"",IFERROR(_xludf.MAXIFS(Trade_Reports!$I$3:$I$502,Trade_Reports!$H$3:$H$502,$A202,Trade_Reports!$M$3:$M$502,"APPROVED",Trade_Reports!$Q$3:$Q$502,"&lt;="&amp;Settings!$B$4),"")))</f>
        <v/>
      </c>
      <c r="I202" s="17" t="str">
        <f>IF($A202="","",IF($F202="","",IF($Q202="","",IF(ABS($F202-$Q202)/$Q202&lt;=Settings!$B$18,"STABLE",IF($F202&gt;$Q202,"UP","DOWN")))))</f>
        <v/>
      </c>
      <c r="J202" s="18" t="str">
        <f>IF($A202="","",IF($K202=0,"",MIN(100,ROUND($K202/Settings!$B$14*100,0))))</f>
        <v/>
      </c>
      <c r="K202" s="17" t="str">
        <f>IF($A202="","",COUNTIFS(Trade_Reports!$H$3:$H$502,$A202,Trade_Reports!$M$3:$M$502,"APPROVED",Trade_Reports!$Q$3:$Q$502,"&lt;="&amp;Settings!$B$4))</f>
        <v/>
      </c>
      <c r="L202" s="19" t="str">
        <f>IF($A202="","",IF($K202=0,"",IFERROR(_xludf.MAXIFS(Trade_Reports!$O$3:$O$502,Trade_Reports!$H$3:$H$502,$A202,Trade_Reports!$M$3:$M$502,"APPROVED"),"")))</f>
        <v/>
      </c>
      <c r="M202" s="16" t="s">
        <v>46</v>
      </c>
      <c r="N202" s="15"/>
      <c r="O202" s="9" t="str">
        <f t="shared" si="0"/>
        <v/>
      </c>
      <c r="P202" s="2" t="str">
        <f>IF($A202="","",SUMIFS(Trade_Reports!$U$3:$U$502,Trade_Reports!$H$3:$H$502,$A202,Trade_Reports!$M$3:$M$502,"APPROVED",Trade_Reports!$Q$3:$Q$502,"&lt;="&amp;Settings!$B$4))</f>
        <v/>
      </c>
      <c r="Q202" s="2" t="str">
        <f>IF($A202="","",SUMIFS(Trade_Reports!$U$3:$U$502,Trade_Reports!$H$3:$H$502,$A202,Trade_Reports!$M$3:$M$502,"APPROVED",Trade_Reports!$Q$3:$Q$502,"&lt;="&amp;Settings!$B$5))</f>
        <v/>
      </c>
      <c r="R202" s="2" t="str">
        <f>IF($A202="","",IF($Q202=0,"",IFERROR(_xludf.MINIFS(Trade_Reports!$I$3:$I$502,Trade_Reports!$H$3:$H$502,$A202,Trade_Reports!$M$3:$M$502,"APPROVED",Trade_Reports!$Q$3:$Q$502,"&lt;="&amp;Settings!$B$5,Trade_Reports!$X$3:$X$502,"&gt;="&amp;0.5*$Q202),"")))</f>
        <v/>
      </c>
      <c r="S202" s="2" t="str">
        <f>IF($A202="","",COUNTIFS(Trade_Reports!$H$3:$H$502,$A202,Trade_Reports!$M$3:$M$502,"APPROVED",Trade_Reports!$Q$3:$Q$502,"&lt;="&amp;Settings!$B$5))</f>
        <v/>
      </c>
      <c r="T202" s="2"/>
      <c r="U202" s="2"/>
      <c r="V202" s="21" t="str">
        <f>IF(OR($A202="",ISERROR(SEARCH("_",$A202))),"",IFERROR(SUMIFS(Trade_Reports!$Z$3:$Z$502,Trade_Reports!$H$3:$H$502,$A202,Trade_Reports!$M$3:$M$502,"APPROVED")/SUMIFS(Trade_Reports!$U$3:$U$502,Trade_Reports!$H$3:$H$502,$A202,Trade_Reports!$M$3:$M$502,"APPROVED"),""))</f>
        <v/>
      </c>
      <c r="W202" s="17" t="str">
        <f t="shared" si="1"/>
        <v/>
      </c>
      <c r="X202" s="2"/>
      <c r="Y202" s="2"/>
      <c r="Z202" s="2"/>
    </row>
    <row r="203" spans="1:26" ht="15.75" customHeight="1" x14ac:dyDescent="0.3">
      <c r="A203" s="15"/>
      <c r="B203" s="15"/>
      <c r="C203" s="16"/>
      <c r="D203" s="16"/>
      <c r="E203" s="16"/>
      <c r="F203" s="17" t="str">
        <f>IF($A203="","",IF($K203&lt;Settings!$B$14,"",IF($P203=0,"",IFERROR(_xludf.MINIFS(Trade_Reports!$I$3:$I$502,Trade_Reports!$H$3:$H$502,$A203,Trade_Reports!$M$3:$M$502,"APPROVED",Trade_Reports!$Q$3:$Q$502,"&lt;="&amp;Settings!$B$4,Trade_Reports!$W$3:$W$502,"&gt;="&amp;0.5*$P203),""))))</f>
        <v/>
      </c>
      <c r="G203" s="17" t="str">
        <f>IF($A203="","",IF($K203=0,"",IFERROR(_xludf.MINIFS(Trade_Reports!$I$3:$I$502,Trade_Reports!$H$3:$H$502,$A203,Trade_Reports!$M$3:$M$502,"APPROVED",Trade_Reports!$Q$3:$Q$502,"&lt;="&amp;Settings!$B$4),"")))</f>
        <v/>
      </c>
      <c r="H203" s="17" t="str">
        <f>IF($A203="","",IF($K203=0,"",IFERROR(_xludf.MAXIFS(Trade_Reports!$I$3:$I$502,Trade_Reports!$H$3:$H$502,$A203,Trade_Reports!$M$3:$M$502,"APPROVED",Trade_Reports!$Q$3:$Q$502,"&lt;="&amp;Settings!$B$4),"")))</f>
        <v/>
      </c>
      <c r="I203" s="17" t="str">
        <f>IF($A203="","",IF($F203="","",IF($Q203="","",IF(ABS($F203-$Q203)/$Q203&lt;=Settings!$B$18,"STABLE",IF($F203&gt;$Q203,"UP","DOWN")))))</f>
        <v/>
      </c>
      <c r="J203" s="18" t="str">
        <f>IF($A203="","",IF($K203=0,"",MIN(100,ROUND($K203/Settings!$B$14*100,0))))</f>
        <v/>
      </c>
      <c r="K203" s="17" t="str">
        <f>IF($A203="","",COUNTIFS(Trade_Reports!$H$3:$H$502,$A203,Trade_Reports!$M$3:$M$502,"APPROVED",Trade_Reports!$Q$3:$Q$502,"&lt;="&amp;Settings!$B$4))</f>
        <v/>
      </c>
      <c r="L203" s="19" t="str">
        <f>IF($A203="","",IF($K203=0,"",IFERROR(_xludf.MAXIFS(Trade_Reports!$O$3:$O$502,Trade_Reports!$H$3:$H$502,$A203,Trade_Reports!$M$3:$M$502,"APPROVED"),"")))</f>
        <v/>
      </c>
      <c r="M203" s="16" t="s">
        <v>46</v>
      </c>
      <c r="N203" s="15"/>
      <c r="O203" s="9" t="str">
        <f t="shared" si="0"/>
        <v/>
      </c>
      <c r="P203" s="2" t="str">
        <f>IF($A203="","",SUMIFS(Trade_Reports!$U$3:$U$502,Trade_Reports!$H$3:$H$502,$A203,Trade_Reports!$M$3:$M$502,"APPROVED",Trade_Reports!$Q$3:$Q$502,"&lt;="&amp;Settings!$B$4))</f>
        <v/>
      </c>
      <c r="Q203" s="2" t="str">
        <f>IF($A203="","",SUMIFS(Trade_Reports!$U$3:$U$502,Trade_Reports!$H$3:$H$502,$A203,Trade_Reports!$M$3:$M$502,"APPROVED",Trade_Reports!$Q$3:$Q$502,"&lt;="&amp;Settings!$B$5))</f>
        <v/>
      </c>
      <c r="R203" s="2" t="str">
        <f>IF($A203="","",IF($Q203=0,"",IFERROR(_xludf.MINIFS(Trade_Reports!$I$3:$I$502,Trade_Reports!$H$3:$H$502,$A203,Trade_Reports!$M$3:$M$502,"APPROVED",Trade_Reports!$Q$3:$Q$502,"&lt;="&amp;Settings!$B$5,Trade_Reports!$X$3:$X$502,"&gt;="&amp;0.5*$Q203),"")))</f>
        <v/>
      </c>
      <c r="S203" s="2" t="str">
        <f>IF($A203="","",COUNTIFS(Trade_Reports!$H$3:$H$502,$A203,Trade_Reports!$M$3:$M$502,"APPROVED",Trade_Reports!$Q$3:$Q$502,"&lt;="&amp;Settings!$B$5))</f>
        <v/>
      </c>
      <c r="T203" s="2"/>
      <c r="U203" s="2"/>
      <c r="V203" s="21" t="str">
        <f>IF(OR($A203="",ISERROR(SEARCH("_",$A203))),"",IFERROR(SUMIFS(Trade_Reports!$Z$3:$Z$502,Trade_Reports!$H$3:$H$502,$A203,Trade_Reports!$M$3:$M$502,"APPROVED")/SUMIFS(Trade_Reports!$U$3:$U$502,Trade_Reports!$H$3:$H$502,$A203,Trade_Reports!$M$3:$M$502,"APPROVED"),""))</f>
        <v/>
      </c>
      <c r="W203" s="17" t="str">
        <f t="shared" si="1"/>
        <v/>
      </c>
      <c r="X203" s="2"/>
      <c r="Y203" s="2"/>
      <c r="Z203" s="2"/>
    </row>
    <row r="204" spans="1:26" ht="15.75" customHeight="1" x14ac:dyDescent="0.3">
      <c r="A204" s="15"/>
      <c r="B204" s="15"/>
      <c r="C204" s="16"/>
      <c r="D204" s="16"/>
      <c r="E204" s="16"/>
      <c r="F204" s="17" t="str">
        <f>IF($A204="","",IF($K204&lt;Settings!$B$14,"",IF($P204=0,"",IFERROR(_xludf.MINIFS(Trade_Reports!$I$3:$I$502,Trade_Reports!$H$3:$H$502,$A204,Trade_Reports!$M$3:$M$502,"APPROVED",Trade_Reports!$Q$3:$Q$502,"&lt;="&amp;Settings!$B$4,Trade_Reports!$W$3:$W$502,"&gt;="&amp;0.5*$P204),""))))</f>
        <v/>
      </c>
      <c r="G204" s="17" t="str">
        <f>IF($A204="","",IF($K204=0,"",IFERROR(_xludf.MINIFS(Trade_Reports!$I$3:$I$502,Trade_Reports!$H$3:$H$502,$A204,Trade_Reports!$M$3:$M$502,"APPROVED",Trade_Reports!$Q$3:$Q$502,"&lt;="&amp;Settings!$B$4),"")))</f>
        <v/>
      </c>
      <c r="H204" s="17" t="str">
        <f>IF($A204="","",IF($K204=0,"",IFERROR(_xludf.MAXIFS(Trade_Reports!$I$3:$I$502,Trade_Reports!$H$3:$H$502,$A204,Trade_Reports!$M$3:$M$502,"APPROVED",Trade_Reports!$Q$3:$Q$502,"&lt;="&amp;Settings!$B$4),"")))</f>
        <v/>
      </c>
      <c r="I204" s="17" t="str">
        <f>IF($A204="","",IF($F204="","",IF($Q204="","",IF(ABS($F204-$Q204)/$Q204&lt;=Settings!$B$18,"STABLE",IF($F204&gt;$Q204,"UP","DOWN")))))</f>
        <v/>
      </c>
      <c r="J204" s="18" t="str">
        <f>IF($A204="","",IF($K204=0,"",MIN(100,ROUND($K204/Settings!$B$14*100,0))))</f>
        <v/>
      </c>
      <c r="K204" s="17" t="str">
        <f>IF($A204="","",COUNTIFS(Trade_Reports!$H$3:$H$502,$A204,Trade_Reports!$M$3:$M$502,"APPROVED",Trade_Reports!$Q$3:$Q$502,"&lt;="&amp;Settings!$B$4))</f>
        <v/>
      </c>
      <c r="L204" s="19" t="str">
        <f>IF($A204="","",IF($K204=0,"",IFERROR(_xludf.MAXIFS(Trade_Reports!$O$3:$O$502,Trade_Reports!$H$3:$H$502,$A204,Trade_Reports!$M$3:$M$502,"APPROVED"),"")))</f>
        <v/>
      </c>
      <c r="M204" s="16" t="s">
        <v>46</v>
      </c>
      <c r="N204" s="15"/>
      <c r="O204" s="9" t="str">
        <f t="shared" si="0"/>
        <v/>
      </c>
      <c r="P204" s="2" t="str">
        <f>IF($A204="","",SUMIFS(Trade_Reports!$U$3:$U$502,Trade_Reports!$H$3:$H$502,$A204,Trade_Reports!$M$3:$M$502,"APPROVED",Trade_Reports!$Q$3:$Q$502,"&lt;="&amp;Settings!$B$4))</f>
        <v/>
      </c>
      <c r="Q204" s="2" t="str">
        <f>IF($A204="","",SUMIFS(Trade_Reports!$U$3:$U$502,Trade_Reports!$H$3:$H$502,$A204,Trade_Reports!$M$3:$M$502,"APPROVED",Trade_Reports!$Q$3:$Q$502,"&lt;="&amp;Settings!$B$5))</f>
        <v/>
      </c>
      <c r="R204" s="2" t="str">
        <f>IF($A204="","",IF($Q204=0,"",IFERROR(_xludf.MINIFS(Trade_Reports!$I$3:$I$502,Trade_Reports!$H$3:$H$502,$A204,Trade_Reports!$M$3:$M$502,"APPROVED",Trade_Reports!$Q$3:$Q$502,"&lt;="&amp;Settings!$B$5,Trade_Reports!$X$3:$X$502,"&gt;="&amp;0.5*$Q204),"")))</f>
        <v/>
      </c>
      <c r="S204" s="2" t="str">
        <f>IF($A204="","",COUNTIFS(Trade_Reports!$H$3:$H$502,$A204,Trade_Reports!$M$3:$M$502,"APPROVED",Trade_Reports!$Q$3:$Q$502,"&lt;="&amp;Settings!$B$5))</f>
        <v/>
      </c>
      <c r="T204" s="2"/>
      <c r="U204" s="2"/>
      <c r="V204" s="21" t="str">
        <f>IF(OR($A204="",ISERROR(SEARCH("_",$A204))),"",IFERROR(SUMIFS(Trade_Reports!$Z$3:$Z$502,Trade_Reports!$H$3:$H$502,$A204,Trade_Reports!$M$3:$M$502,"APPROVED")/SUMIFS(Trade_Reports!$U$3:$U$502,Trade_Reports!$H$3:$H$502,$A204,Trade_Reports!$M$3:$M$502,"APPROVED"),""))</f>
        <v/>
      </c>
      <c r="W204" s="17" t="str">
        <f t="shared" si="1"/>
        <v/>
      </c>
      <c r="X204" s="2"/>
      <c r="Y204" s="2"/>
      <c r="Z204" s="2"/>
    </row>
    <row r="205" spans="1:26" ht="15.75" customHeight="1" x14ac:dyDescent="0.3">
      <c r="A205" s="15"/>
      <c r="B205" s="15"/>
      <c r="C205" s="16"/>
      <c r="D205" s="16"/>
      <c r="E205" s="16"/>
      <c r="F205" s="17" t="str">
        <f>IF($A205="","",IF($K205&lt;Settings!$B$14,"",IF($P205=0,"",IFERROR(_xludf.MINIFS(Trade_Reports!$I$3:$I$502,Trade_Reports!$H$3:$H$502,$A205,Trade_Reports!$M$3:$M$502,"APPROVED",Trade_Reports!$Q$3:$Q$502,"&lt;="&amp;Settings!$B$4,Trade_Reports!$W$3:$W$502,"&gt;="&amp;0.5*$P205),""))))</f>
        <v/>
      </c>
      <c r="G205" s="17" t="str">
        <f>IF($A205="","",IF($K205=0,"",IFERROR(_xludf.MINIFS(Trade_Reports!$I$3:$I$502,Trade_Reports!$H$3:$H$502,$A205,Trade_Reports!$M$3:$M$502,"APPROVED",Trade_Reports!$Q$3:$Q$502,"&lt;="&amp;Settings!$B$4),"")))</f>
        <v/>
      </c>
      <c r="H205" s="17" t="str">
        <f>IF($A205="","",IF($K205=0,"",IFERROR(_xludf.MAXIFS(Trade_Reports!$I$3:$I$502,Trade_Reports!$H$3:$H$502,$A205,Trade_Reports!$M$3:$M$502,"APPROVED",Trade_Reports!$Q$3:$Q$502,"&lt;="&amp;Settings!$B$4),"")))</f>
        <v/>
      </c>
      <c r="I205" s="17" t="str">
        <f>IF($A205="","",IF($F205="","",IF($Q205="","",IF(ABS($F205-$Q205)/$Q205&lt;=Settings!$B$18,"STABLE",IF($F205&gt;$Q205,"UP","DOWN")))))</f>
        <v/>
      </c>
      <c r="J205" s="18" t="str">
        <f>IF($A205="","",IF($K205=0,"",MIN(100,ROUND($K205/Settings!$B$14*100,0))))</f>
        <v/>
      </c>
      <c r="K205" s="17" t="str">
        <f>IF($A205="","",COUNTIFS(Trade_Reports!$H$3:$H$502,$A205,Trade_Reports!$M$3:$M$502,"APPROVED",Trade_Reports!$Q$3:$Q$502,"&lt;="&amp;Settings!$B$4))</f>
        <v/>
      </c>
      <c r="L205" s="19" t="str">
        <f>IF($A205="","",IF($K205=0,"",IFERROR(_xludf.MAXIFS(Trade_Reports!$O$3:$O$502,Trade_Reports!$H$3:$H$502,$A205,Trade_Reports!$M$3:$M$502,"APPROVED"),"")))</f>
        <v/>
      </c>
      <c r="M205" s="16" t="s">
        <v>46</v>
      </c>
      <c r="N205" s="15"/>
      <c r="O205" s="9" t="str">
        <f t="shared" si="0"/>
        <v/>
      </c>
      <c r="P205" s="2" t="str">
        <f>IF($A205="","",SUMIFS(Trade_Reports!$U$3:$U$502,Trade_Reports!$H$3:$H$502,$A205,Trade_Reports!$M$3:$M$502,"APPROVED",Trade_Reports!$Q$3:$Q$502,"&lt;="&amp;Settings!$B$4))</f>
        <v/>
      </c>
      <c r="Q205" s="2" t="str">
        <f>IF($A205="","",SUMIFS(Trade_Reports!$U$3:$U$502,Trade_Reports!$H$3:$H$502,$A205,Trade_Reports!$M$3:$M$502,"APPROVED",Trade_Reports!$Q$3:$Q$502,"&lt;="&amp;Settings!$B$5))</f>
        <v/>
      </c>
      <c r="R205" s="2" t="str">
        <f>IF($A205="","",IF($Q205=0,"",IFERROR(_xludf.MINIFS(Trade_Reports!$I$3:$I$502,Trade_Reports!$H$3:$H$502,$A205,Trade_Reports!$M$3:$M$502,"APPROVED",Trade_Reports!$Q$3:$Q$502,"&lt;="&amp;Settings!$B$5,Trade_Reports!$X$3:$X$502,"&gt;="&amp;0.5*$Q205),"")))</f>
        <v/>
      </c>
      <c r="S205" s="2" t="str">
        <f>IF($A205="","",COUNTIFS(Trade_Reports!$H$3:$H$502,$A205,Trade_Reports!$M$3:$M$502,"APPROVED",Trade_Reports!$Q$3:$Q$502,"&lt;="&amp;Settings!$B$5))</f>
        <v/>
      </c>
      <c r="T205" s="2"/>
      <c r="U205" s="2"/>
      <c r="V205" s="21" t="str">
        <f>IF(OR($A205="",ISERROR(SEARCH("_",$A205))),"",IFERROR(SUMIFS(Trade_Reports!$Z$3:$Z$502,Trade_Reports!$H$3:$H$502,$A205,Trade_Reports!$M$3:$M$502,"APPROVED")/SUMIFS(Trade_Reports!$U$3:$U$502,Trade_Reports!$H$3:$H$502,$A205,Trade_Reports!$M$3:$M$502,"APPROVED"),""))</f>
        <v/>
      </c>
      <c r="W205" s="17" t="str">
        <f t="shared" si="1"/>
        <v/>
      </c>
      <c r="X205" s="2"/>
      <c r="Y205" s="2"/>
      <c r="Z205" s="2"/>
    </row>
    <row r="206" spans="1:26" ht="15.75" customHeight="1" x14ac:dyDescent="0.3">
      <c r="A206" s="15"/>
      <c r="B206" s="15"/>
      <c r="C206" s="16"/>
      <c r="D206" s="16"/>
      <c r="E206" s="16"/>
      <c r="F206" s="17" t="str">
        <f>IF($A206="","",IF($K206&lt;Settings!$B$14,"",IF($P206=0,"",IFERROR(_xludf.MINIFS(Trade_Reports!$I$3:$I$502,Trade_Reports!$H$3:$H$502,$A206,Trade_Reports!$M$3:$M$502,"APPROVED",Trade_Reports!$Q$3:$Q$502,"&lt;="&amp;Settings!$B$4,Trade_Reports!$W$3:$W$502,"&gt;="&amp;0.5*$P206),""))))</f>
        <v/>
      </c>
      <c r="G206" s="17" t="str">
        <f>IF($A206="","",IF($K206=0,"",IFERROR(_xludf.MINIFS(Trade_Reports!$I$3:$I$502,Trade_Reports!$H$3:$H$502,$A206,Trade_Reports!$M$3:$M$502,"APPROVED",Trade_Reports!$Q$3:$Q$502,"&lt;="&amp;Settings!$B$4),"")))</f>
        <v/>
      </c>
      <c r="H206" s="17" t="str">
        <f>IF($A206="","",IF($K206=0,"",IFERROR(_xludf.MAXIFS(Trade_Reports!$I$3:$I$502,Trade_Reports!$H$3:$H$502,$A206,Trade_Reports!$M$3:$M$502,"APPROVED",Trade_Reports!$Q$3:$Q$502,"&lt;="&amp;Settings!$B$4),"")))</f>
        <v/>
      </c>
      <c r="I206" s="17" t="str">
        <f>IF($A206="","",IF($F206="","",IF($Q206="","",IF(ABS($F206-$Q206)/$Q206&lt;=Settings!$B$18,"STABLE",IF($F206&gt;$Q206,"UP","DOWN")))))</f>
        <v/>
      </c>
      <c r="J206" s="18" t="str">
        <f>IF($A206="","",IF($K206=0,"",MIN(100,ROUND($K206/Settings!$B$14*100,0))))</f>
        <v/>
      </c>
      <c r="K206" s="17" t="str">
        <f>IF($A206="","",COUNTIFS(Trade_Reports!$H$3:$H$502,$A206,Trade_Reports!$M$3:$M$502,"APPROVED",Trade_Reports!$Q$3:$Q$502,"&lt;="&amp;Settings!$B$4))</f>
        <v/>
      </c>
      <c r="L206" s="19" t="str">
        <f>IF($A206="","",IF($K206=0,"",IFERROR(_xludf.MAXIFS(Trade_Reports!$O$3:$O$502,Trade_Reports!$H$3:$H$502,$A206,Trade_Reports!$M$3:$M$502,"APPROVED"),"")))</f>
        <v/>
      </c>
      <c r="M206" s="16" t="s">
        <v>46</v>
      </c>
      <c r="N206" s="15"/>
      <c r="O206" s="9" t="str">
        <f t="shared" si="0"/>
        <v/>
      </c>
      <c r="P206" s="2" t="str">
        <f>IF($A206="","",SUMIFS(Trade_Reports!$U$3:$U$502,Trade_Reports!$H$3:$H$502,$A206,Trade_Reports!$M$3:$M$502,"APPROVED",Trade_Reports!$Q$3:$Q$502,"&lt;="&amp;Settings!$B$4))</f>
        <v/>
      </c>
      <c r="Q206" s="2" t="str">
        <f>IF($A206="","",SUMIFS(Trade_Reports!$U$3:$U$502,Trade_Reports!$H$3:$H$502,$A206,Trade_Reports!$M$3:$M$502,"APPROVED",Trade_Reports!$Q$3:$Q$502,"&lt;="&amp;Settings!$B$5))</f>
        <v/>
      </c>
      <c r="R206" s="2" t="str">
        <f>IF($A206="","",IF($Q206=0,"",IFERROR(_xludf.MINIFS(Trade_Reports!$I$3:$I$502,Trade_Reports!$H$3:$H$502,$A206,Trade_Reports!$M$3:$M$502,"APPROVED",Trade_Reports!$Q$3:$Q$502,"&lt;="&amp;Settings!$B$5,Trade_Reports!$X$3:$X$502,"&gt;="&amp;0.5*$Q206),"")))</f>
        <v/>
      </c>
      <c r="S206" s="2" t="str">
        <f>IF($A206="","",COUNTIFS(Trade_Reports!$H$3:$H$502,$A206,Trade_Reports!$M$3:$M$502,"APPROVED",Trade_Reports!$Q$3:$Q$502,"&lt;="&amp;Settings!$B$5))</f>
        <v/>
      </c>
      <c r="T206" s="2"/>
      <c r="U206" s="2"/>
      <c r="V206" s="21" t="str">
        <f>IF(OR($A206="",ISERROR(SEARCH("_",$A206))),"",IFERROR(SUMIFS(Trade_Reports!$Z$3:$Z$502,Trade_Reports!$H$3:$H$502,$A206,Trade_Reports!$M$3:$M$502,"APPROVED")/SUMIFS(Trade_Reports!$U$3:$U$502,Trade_Reports!$H$3:$H$502,$A206,Trade_Reports!$M$3:$M$502,"APPROVED"),""))</f>
        <v/>
      </c>
      <c r="W206" s="17" t="str">
        <f t="shared" si="1"/>
        <v/>
      </c>
      <c r="X206" s="2"/>
      <c r="Y206" s="2"/>
      <c r="Z206" s="2"/>
    </row>
    <row r="207" spans="1:26" ht="15.75" customHeight="1" x14ac:dyDescent="0.3">
      <c r="A207" s="15"/>
      <c r="B207" s="15"/>
      <c r="C207" s="16"/>
      <c r="D207" s="16"/>
      <c r="E207" s="16"/>
      <c r="F207" s="17" t="str">
        <f>IF($A207="","",IF($K207&lt;Settings!$B$14,"",IF($P207=0,"",IFERROR(_xludf.MINIFS(Trade_Reports!$I$3:$I$502,Trade_Reports!$H$3:$H$502,$A207,Trade_Reports!$M$3:$M$502,"APPROVED",Trade_Reports!$Q$3:$Q$502,"&lt;="&amp;Settings!$B$4,Trade_Reports!$W$3:$W$502,"&gt;="&amp;0.5*$P207),""))))</f>
        <v/>
      </c>
      <c r="G207" s="17" t="str">
        <f>IF($A207="","",IF($K207=0,"",IFERROR(_xludf.MINIFS(Trade_Reports!$I$3:$I$502,Trade_Reports!$H$3:$H$502,$A207,Trade_Reports!$M$3:$M$502,"APPROVED",Trade_Reports!$Q$3:$Q$502,"&lt;="&amp;Settings!$B$4),"")))</f>
        <v/>
      </c>
      <c r="H207" s="17" t="str">
        <f>IF($A207="","",IF($K207=0,"",IFERROR(_xludf.MAXIFS(Trade_Reports!$I$3:$I$502,Trade_Reports!$H$3:$H$502,$A207,Trade_Reports!$M$3:$M$502,"APPROVED",Trade_Reports!$Q$3:$Q$502,"&lt;="&amp;Settings!$B$4),"")))</f>
        <v/>
      </c>
      <c r="I207" s="17" t="str">
        <f>IF($A207="","",IF($F207="","",IF($Q207="","",IF(ABS($F207-$Q207)/$Q207&lt;=Settings!$B$18,"STABLE",IF($F207&gt;$Q207,"UP","DOWN")))))</f>
        <v/>
      </c>
      <c r="J207" s="18" t="str">
        <f>IF($A207="","",IF($K207=0,"",MIN(100,ROUND($K207/Settings!$B$14*100,0))))</f>
        <v/>
      </c>
      <c r="K207" s="17" t="str">
        <f>IF($A207="","",COUNTIFS(Trade_Reports!$H$3:$H$502,$A207,Trade_Reports!$M$3:$M$502,"APPROVED",Trade_Reports!$Q$3:$Q$502,"&lt;="&amp;Settings!$B$4))</f>
        <v/>
      </c>
      <c r="L207" s="19" t="str">
        <f>IF($A207="","",IF($K207=0,"",IFERROR(_xludf.MAXIFS(Trade_Reports!$O$3:$O$502,Trade_Reports!$H$3:$H$502,$A207,Trade_Reports!$M$3:$M$502,"APPROVED"),"")))</f>
        <v/>
      </c>
      <c r="M207" s="16" t="s">
        <v>46</v>
      </c>
      <c r="N207" s="15"/>
      <c r="O207" s="9" t="str">
        <f t="shared" si="0"/>
        <v/>
      </c>
      <c r="P207" s="2" t="str">
        <f>IF($A207="","",SUMIFS(Trade_Reports!$U$3:$U$502,Trade_Reports!$H$3:$H$502,$A207,Trade_Reports!$M$3:$M$502,"APPROVED",Trade_Reports!$Q$3:$Q$502,"&lt;="&amp;Settings!$B$4))</f>
        <v/>
      </c>
      <c r="Q207" s="2" t="str">
        <f>IF($A207="","",SUMIFS(Trade_Reports!$U$3:$U$502,Trade_Reports!$H$3:$H$502,$A207,Trade_Reports!$M$3:$M$502,"APPROVED",Trade_Reports!$Q$3:$Q$502,"&lt;="&amp;Settings!$B$5))</f>
        <v/>
      </c>
      <c r="R207" s="2" t="str">
        <f>IF($A207="","",IF($Q207=0,"",IFERROR(_xludf.MINIFS(Trade_Reports!$I$3:$I$502,Trade_Reports!$H$3:$H$502,$A207,Trade_Reports!$M$3:$M$502,"APPROVED",Trade_Reports!$Q$3:$Q$502,"&lt;="&amp;Settings!$B$5,Trade_Reports!$X$3:$X$502,"&gt;="&amp;0.5*$Q207),"")))</f>
        <v/>
      </c>
      <c r="S207" s="2" t="str">
        <f>IF($A207="","",COUNTIFS(Trade_Reports!$H$3:$H$502,$A207,Trade_Reports!$M$3:$M$502,"APPROVED",Trade_Reports!$Q$3:$Q$502,"&lt;="&amp;Settings!$B$5))</f>
        <v/>
      </c>
      <c r="T207" s="2"/>
      <c r="U207" s="2"/>
      <c r="V207" s="21" t="str">
        <f>IF(OR($A207="",ISERROR(SEARCH("_",$A207))),"",IFERROR(SUMIFS(Trade_Reports!$Z$3:$Z$502,Trade_Reports!$H$3:$H$502,$A207,Trade_Reports!$M$3:$M$502,"APPROVED")/SUMIFS(Trade_Reports!$U$3:$U$502,Trade_Reports!$H$3:$H$502,$A207,Trade_Reports!$M$3:$M$502,"APPROVED"),""))</f>
        <v/>
      </c>
      <c r="W207" s="17" t="str">
        <f t="shared" si="1"/>
        <v/>
      </c>
      <c r="X207" s="2"/>
      <c r="Y207" s="2"/>
      <c r="Z207" s="2"/>
    </row>
    <row r="208" spans="1:26" ht="15.75" customHeight="1" x14ac:dyDescent="0.3">
      <c r="A208" s="15"/>
      <c r="B208" s="15"/>
      <c r="C208" s="16"/>
      <c r="D208" s="16"/>
      <c r="E208" s="16"/>
      <c r="F208" s="17" t="str">
        <f>IF($A208="","",IF($K208&lt;Settings!$B$14,"",IF($P208=0,"",IFERROR(_xludf.MINIFS(Trade_Reports!$I$3:$I$502,Trade_Reports!$H$3:$H$502,$A208,Trade_Reports!$M$3:$M$502,"APPROVED",Trade_Reports!$Q$3:$Q$502,"&lt;="&amp;Settings!$B$4,Trade_Reports!$W$3:$W$502,"&gt;="&amp;0.5*$P208),""))))</f>
        <v/>
      </c>
      <c r="G208" s="17" t="str">
        <f>IF($A208="","",IF($K208=0,"",IFERROR(_xludf.MINIFS(Trade_Reports!$I$3:$I$502,Trade_Reports!$H$3:$H$502,$A208,Trade_Reports!$M$3:$M$502,"APPROVED",Trade_Reports!$Q$3:$Q$502,"&lt;="&amp;Settings!$B$4),"")))</f>
        <v/>
      </c>
      <c r="H208" s="17" t="str">
        <f>IF($A208="","",IF($K208=0,"",IFERROR(_xludf.MAXIFS(Trade_Reports!$I$3:$I$502,Trade_Reports!$H$3:$H$502,$A208,Trade_Reports!$M$3:$M$502,"APPROVED",Trade_Reports!$Q$3:$Q$502,"&lt;="&amp;Settings!$B$4),"")))</f>
        <v/>
      </c>
      <c r="I208" s="17" t="str">
        <f>IF($A208="","",IF($F208="","",IF($Q208="","",IF(ABS($F208-$Q208)/$Q208&lt;=Settings!$B$18,"STABLE",IF($F208&gt;$Q208,"UP","DOWN")))))</f>
        <v/>
      </c>
      <c r="J208" s="18" t="str">
        <f>IF($A208="","",IF($K208=0,"",MIN(100,ROUND($K208/Settings!$B$14*100,0))))</f>
        <v/>
      </c>
      <c r="K208" s="17" t="str">
        <f>IF($A208="","",COUNTIFS(Trade_Reports!$H$3:$H$502,$A208,Trade_Reports!$M$3:$M$502,"APPROVED",Trade_Reports!$Q$3:$Q$502,"&lt;="&amp;Settings!$B$4))</f>
        <v/>
      </c>
      <c r="L208" s="19" t="str">
        <f>IF($A208="","",IF($K208=0,"",IFERROR(_xludf.MAXIFS(Trade_Reports!$O$3:$O$502,Trade_Reports!$H$3:$H$502,$A208,Trade_Reports!$M$3:$M$502,"APPROVED"),"")))</f>
        <v/>
      </c>
      <c r="M208" s="16" t="s">
        <v>46</v>
      </c>
      <c r="N208" s="15"/>
      <c r="O208" s="9" t="str">
        <f t="shared" si="0"/>
        <v/>
      </c>
      <c r="P208" s="2" t="str">
        <f>IF($A208="","",SUMIFS(Trade_Reports!$U$3:$U$502,Trade_Reports!$H$3:$H$502,$A208,Trade_Reports!$M$3:$M$502,"APPROVED",Trade_Reports!$Q$3:$Q$502,"&lt;="&amp;Settings!$B$4))</f>
        <v/>
      </c>
      <c r="Q208" s="2" t="str">
        <f>IF($A208="","",SUMIFS(Trade_Reports!$U$3:$U$502,Trade_Reports!$H$3:$H$502,$A208,Trade_Reports!$M$3:$M$502,"APPROVED",Trade_Reports!$Q$3:$Q$502,"&lt;="&amp;Settings!$B$5))</f>
        <v/>
      </c>
      <c r="R208" s="2" t="str">
        <f>IF($A208="","",IF($Q208=0,"",IFERROR(_xludf.MINIFS(Trade_Reports!$I$3:$I$502,Trade_Reports!$H$3:$H$502,$A208,Trade_Reports!$M$3:$M$502,"APPROVED",Trade_Reports!$Q$3:$Q$502,"&lt;="&amp;Settings!$B$5,Trade_Reports!$X$3:$X$502,"&gt;="&amp;0.5*$Q208),"")))</f>
        <v/>
      </c>
      <c r="S208" s="2" t="str">
        <f>IF($A208="","",COUNTIFS(Trade_Reports!$H$3:$H$502,$A208,Trade_Reports!$M$3:$M$502,"APPROVED",Trade_Reports!$Q$3:$Q$502,"&lt;="&amp;Settings!$B$5))</f>
        <v/>
      </c>
      <c r="T208" s="2"/>
      <c r="U208" s="2"/>
      <c r="V208" s="21" t="str">
        <f>IF(OR($A208="",ISERROR(SEARCH("_",$A208))),"",IFERROR(SUMIFS(Trade_Reports!$Z$3:$Z$502,Trade_Reports!$H$3:$H$502,$A208,Trade_Reports!$M$3:$M$502,"APPROVED")/SUMIFS(Trade_Reports!$U$3:$U$502,Trade_Reports!$H$3:$H$502,$A208,Trade_Reports!$M$3:$M$502,"APPROVED"),""))</f>
        <v/>
      </c>
      <c r="W208" s="17" t="str">
        <f t="shared" si="1"/>
        <v/>
      </c>
      <c r="X208" s="2"/>
      <c r="Y208" s="2"/>
      <c r="Z208" s="2"/>
    </row>
    <row r="209" spans="1:26" ht="15.75" customHeight="1" x14ac:dyDescent="0.3">
      <c r="A209" s="15"/>
      <c r="B209" s="15"/>
      <c r="C209" s="16"/>
      <c r="D209" s="16"/>
      <c r="E209" s="16"/>
      <c r="F209" s="17" t="str">
        <f>IF($A209="","",IF($K209&lt;Settings!$B$14,"",IF($P209=0,"",IFERROR(_xludf.MINIFS(Trade_Reports!$I$3:$I$502,Trade_Reports!$H$3:$H$502,$A209,Trade_Reports!$M$3:$M$502,"APPROVED",Trade_Reports!$Q$3:$Q$502,"&lt;="&amp;Settings!$B$4,Trade_Reports!$W$3:$W$502,"&gt;="&amp;0.5*$P209),""))))</f>
        <v/>
      </c>
      <c r="G209" s="17" t="str">
        <f>IF($A209="","",IF($K209=0,"",IFERROR(_xludf.MINIFS(Trade_Reports!$I$3:$I$502,Trade_Reports!$H$3:$H$502,$A209,Trade_Reports!$M$3:$M$502,"APPROVED",Trade_Reports!$Q$3:$Q$502,"&lt;="&amp;Settings!$B$4),"")))</f>
        <v/>
      </c>
      <c r="H209" s="17" t="str">
        <f>IF($A209="","",IF($K209=0,"",IFERROR(_xludf.MAXIFS(Trade_Reports!$I$3:$I$502,Trade_Reports!$H$3:$H$502,$A209,Trade_Reports!$M$3:$M$502,"APPROVED",Trade_Reports!$Q$3:$Q$502,"&lt;="&amp;Settings!$B$4),"")))</f>
        <v/>
      </c>
      <c r="I209" s="17" t="str">
        <f>IF($A209="","",IF($F209="","",IF($Q209="","",IF(ABS($F209-$Q209)/$Q209&lt;=Settings!$B$18,"STABLE",IF($F209&gt;$Q209,"UP","DOWN")))))</f>
        <v/>
      </c>
      <c r="J209" s="18" t="str">
        <f>IF($A209="","",IF($K209=0,"",MIN(100,ROUND($K209/Settings!$B$14*100,0))))</f>
        <v/>
      </c>
      <c r="K209" s="17" t="str">
        <f>IF($A209="","",COUNTIFS(Trade_Reports!$H$3:$H$502,$A209,Trade_Reports!$M$3:$M$502,"APPROVED",Trade_Reports!$Q$3:$Q$502,"&lt;="&amp;Settings!$B$4))</f>
        <v/>
      </c>
      <c r="L209" s="19" t="str">
        <f>IF($A209="","",IF($K209=0,"",IFERROR(_xludf.MAXIFS(Trade_Reports!$O$3:$O$502,Trade_Reports!$H$3:$H$502,$A209,Trade_Reports!$M$3:$M$502,"APPROVED"),"")))</f>
        <v/>
      </c>
      <c r="M209" s="16" t="s">
        <v>46</v>
      </c>
      <c r="N209" s="15"/>
      <c r="O209" s="9" t="str">
        <f t="shared" si="0"/>
        <v/>
      </c>
      <c r="P209" s="2" t="str">
        <f>IF($A209="","",SUMIFS(Trade_Reports!$U$3:$U$502,Trade_Reports!$H$3:$H$502,$A209,Trade_Reports!$M$3:$M$502,"APPROVED",Trade_Reports!$Q$3:$Q$502,"&lt;="&amp;Settings!$B$4))</f>
        <v/>
      </c>
      <c r="Q209" s="2" t="str">
        <f>IF($A209="","",SUMIFS(Trade_Reports!$U$3:$U$502,Trade_Reports!$H$3:$H$502,$A209,Trade_Reports!$M$3:$M$502,"APPROVED",Trade_Reports!$Q$3:$Q$502,"&lt;="&amp;Settings!$B$5))</f>
        <v/>
      </c>
      <c r="R209" s="2" t="str">
        <f>IF($A209="","",IF($Q209=0,"",IFERROR(_xludf.MINIFS(Trade_Reports!$I$3:$I$502,Trade_Reports!$H$3:$H$502,$A209,Trade_Reports!$M$3:$M$502,"APPROVED",Trade_Reports!$Q$3:$Q$502,"&lt;="&amp;Settings!$B$5,Trade_Reports!$X$3:$X$502,"&gt;="&amp;0.5*$Q209),"")))</f>
        <v/>
      </c>
      <c r="S209" s="2" t="str">
        <f>IF($A209="","",COUNTIFS(Trade_Reports!$H$3:$H$502,$A209,Trade_Reports!$M$3:$M$502,"APPROVED",Trade_Reports!$Q$3:$Q$502,"&lt;="&amp;Settings!$B$5))</f>
        <v/>
      </c>
      <c r="T209" s="2"/>
      <c r="U209" s="2"/>
      <c r="V209" s="21" t="str">
        <f>IF(OR($A209="",ISERROR(SEARCH("_",$A209))),"",IFERROR(SUMIFS(Trade_Reports!$Z$3:$Z$502,Trade_Reports!$H$3:$H$502,$A209,Trade_Reports!$M$3:$M$502,"APPROVED")/SUMIFS(Trade_Reports!$U$3:$U$502,Trade_Reports!$H$3:$H$502,$A209,Trade_Reports!$M$3:$M$502,"APPROVED"),""))</f>
        <v/>
      </c>
      <c r="W209" s="17" t="str">
        <f t="shared" si="1"/>
        <v/>
      </c>
      <c r="X209" s="2"/>
      <c r="Y209" s="2"/>
      <c r="Z209" s="2"/>
    </row>
    <row r="210" spans="1:26" ht="15.75" customHeight="1" x14ac:dyDescent="0.3">
      <c r="A210" s="15"/>
      <c r="B210" s="15"/>
      <c r="C210" s="16"/>
      <c r="D210" s="16"/>
      <c r="E210" s="16"/>
      <c r="F210" s="17" t="str">
        <f>IF($A210="","",IF($K210&lt;Settings!$B$14,"",IF($P210=0,"",IFERROR(_xludf.MINIFS(Trade_Reports!$I$3:$I$502,Trade_Reports!$H$3:$H$502,$A210,Trade_Reports!$M$3:$M$502,"APPROVED",Trade_Reports!$Q$3:$Q$502,"&lt;="&amp;Settings!$B$4,Trade_Reports!$W$3:$W$502,"&gt;="&amp;0.5*$P210),""))))</f>
        <v/>
      </c>
      <c r="G210" s="17" t="str">
        <f>IF($A210="","",IF($K210=0,"",IFERROR(_xludf.MINIFS(Trade_Reports!$I$3:$I$502,Trade_Reports!$H$3:$H$502,$A210,Trade_Reports!$M$3:$M$502,"APPROVED",Trade_Reports!$Q$3:$Q$502,"&lt;="&amp;Settings!$B$4),"")))</f>
        <v/>
      </c>
      <c r="H210" s="17" t="str">
        <f>IF($A210="","",IF($K210=0,"",IFERROR(_xludf.MAXIFS(Trade_Reports!$I$3:$I$502,Trade_Reports!$H$3:$H$502,$A210,Trade_Reports!$M$3:$M$502,"APPROVED",Trade_Reports!$Q$3:$Q$502,"&lt;="&amp;Settings!$B$4),"")))</f>
        <v/>
      </c>
      <c r="I210" s="17" t="str">
        <f>IF($A210="","",IF($F210="","",IF($Q210="","",IF(ABS($F210-$Q210)/$Q210&lt;=Settings!$B$18,"STABLE",IF($F210&gt;$Q210,"UP","DOWN")))))</f>
        <v/>
      </c>
      <c r="J210" s="18" t="str">
        <f>IF($A210="","",IF($K210=0,"",MIN(100,ROUND($K210/Settings!$B$14*100,0))))</f>
        <v/>
      </c>
      <c r="K210" s="17" t="str">
        <f>IF($A210="","",COUNTIFS(Trade_Reports!$H$3:$H$502,$A210,Trade_Reports!$M$3:$M$502,"APPROVED",Trade_Reports!$Q$3:$Q$502,"&lt;="&amp;Settings!$B$4))</f>
        <v/>
      </c>
      <c r="L210" s="19" t="str">
        <f>IF($A210="","",IF($K210=0,"",IFERROR(_xludf.MAXIFS(Trade_Reports!$O$3:$O$502,Trade_Reports!$H$3:$H$502,$A210,Trade_Reports!$M$3:$M$502,"APPROVED"),"")))</f>
        <v/>
      </c>
      <c r="M210" s="16" t="s">
        <v>46</v>
      </c>
      <c r="N210" s="15"/>
      <c r="O210" s="9" t="str">
        <f t="shared" si="0"/>
        <v/>
      </c>
      <c r="P210" s="2" t="str">
        <f>IF($A210="","",SUMIFS(Trade_Reports!$U$3:$U$502,Trade_Reports!$H$3:$H$502,$A210,Trade_Reports!$M$3:$M$502,"APPROVED",Trade_Reports!$Q$3:$Q$502,"&lt;="&amp;Settings!$B$4))</f>
        <v/>
      </c>
      <c r="Q210" s="2" t="str">
        <f>IF($A210="","",SUMIFS(Trade_Reports!$U$3:$U$502,Trade_Reports!$H$3:$H$502,$A210,Trade_Reports!$M$3:$M$502,"APPROVED",Trade_Reports!$Q$3:$Q$502,"&lt;="&amp;Settings!$B$5))</f>
        <v/>
      </c>
      <c r="R210" s="2" t="str">
        <f>IF($A210="","",IF($Q210=0,"",IFERROR(_xludf.MINIFS(Trade_Reports!$I$3:$I$502,Trade_Reports!$H$3:$H$502,$A210,Trade_Reports!$M$3:$M$502,"APPROVED",Trade_Reports!$Q$3:$Q$502,"&lt;="&amp;Settings!$B$5,Trade_Reports!$X$3:$X$502,"&gt;="&amp;0.5*$Q210),"")))</f>
        <v/>
      </c>
      <c r="S210" s="2" t="str">
        <f>IF($A210="","",COUNTIFS(Trade_Reports!$H$3:$H$502,$A210,Trade_Reports!$M$3:$M$502,"APPROVED",Trade_Reports!$Q$3:$Q$502,"&lt;="&amp;Settings!$B$5))</f>
        <v/>
      </c>
      <c r="T210" s="2"/>
      <c r="U210" s="2"/>
      <c r="V210" s="21" t="str">
        <f>IF(OR($A210="",ISERROR(SEARCH("_",$A210))),"",IFERROR(SUMIFS(Trade_Reports!$Z$3:$Z$502,Trade_Reports!$H$3:$H$502,$A210,Trade_Reports!$M$3:$M$502,"APPROVED")/SUMIFS(Trade_Reports!$U$3:$U$502,Trade_Reports!$H$3:$H$502,$A210,Trade_Reports!$M$3:$M$502,"APPROVED"),""))</f>
        <v/>
      </c>
      <c r="W210" s="17" t="str">
        <f t="shared" si="1"/>
        <v/>
      </c>
      <c r="X210" s="2"/>
      <c r="Y210" s="2"/>
      <c r="Z210" s="2"/>
    </row>
    <row r="211" spans="1:26" ht="15.75" customHeight="1" x14ac:dyDescent="0.3">
      <c r="A211" s="15"/>
      <c r="B211" s="15"/>
      <c r="C211" s="16"/>
      <c r="D211" s="16"/>
      <c r="E211" s="16"/>
      <c r="F211" s="17" t="str">
        <f>IF($A211="","",IF($K211&lt;Settings!$B$14,"",IF($P211=0,"",IFERROR(_xludf.MINIFS(Trade_Reports!$I$3:$I$502,Trade_Reports!$H$3:$H$502,$A211,Trade_Reports!$M$3:$M$502,"APPROVED",Trade_Reports!$Q$3:$Q$502,"&lt;="&amp;Settings!$B$4,Trade_Reports!$W$3:$W$502,"&gt;="&amp;0.5*$P211),""))))</f>
        <v/>
      </c>
      <c r="G211" s="17" t="str">
        <f>IF($A211="","",IF($K211=0,"",IFERROR(_xludf.MINIFS(Trade_Reports!$I$3:$I$502,Trade_Reports!$H$3:$H$502,$A211,Trade_Reports!$M$3:$M$502,"APPROVED",Trade_Reports!$Q$3:$Q$502,"&lt;="&amp;Settings!$B$4),"")))</f>
        <v/>
      </c>
      <c r="H211" s="17" t="str">
        <f>IF($A211="","",IF($K211=0,"",IFERROR(_xludf.MAXIFS(Trade_Reports!$I$3:$I$502,Trade_Reports!$H$3:$H$502,$A211,Trade_Reports!$M$3:$M$502,"APPROVED",Trade_Reports!$Q$3:$Q$502,"&lt;="&amp;Settings!$B$4),"")))</f>
        <v/>
      </c>
      <c r="I211" s="17" t="str">
        <f>IF($A211="","",IF($F211="","",IF($Q211="","",IF(ABS($F211-$Q211)/$Q211&lt;=Settings!$B$18,"STABLE",IF($F211&gt;$Q211,"UP","DOWN")))))</f>
        <v/>
      </c>
      <c r="J211" s="18" t="str">
        <f>IF($A211="","",IF($K211=0,"",MIN(100,ROUND($K211/Settings!$B$14*100,0))))</f>
        <v/>
      </c>
      <c r="K211" s="17" t="str">
        <f>IF($A211="","",COUNTIFS(Trade_Reports!$H$3:$H$502,$A211,Trade_Reports!$M$3:$M$502,"APPROVED",Trade_Reports!$Q$3:$Q$502,"&lt;="&amp;Settings!$B$4))</f>
        <v/>
      </c>
      <c r="L211" s="19" t="str">
        <f>IF($A211="","",IF($K211=0,"",IFERROR(_xludf.MAXIFS(Trade_Reports!$O$3:$O$502,Trade_Reports!$H$3:$H$502,$A211,Trade_Reports!$M$3:$M$502,"APPROVED"),"")))</f>
        <v/>
      </c>
      <c r="M211" s="16" t="s">
        <v>46</v>
      </c>
      <c r="N211" s="15"/>
      <c r="O211" s="9" t="str">
        <f t="shared" si="0"/>
        <v/>
      </c>
      <c r="P211" s="2" t="str">
        <f>IF($A211="","",SUMIFS(Trade_Reports!$U$3:$U$502,Trade_Reports!$H$3:$H$502,$A211,Trade_Reports!$M$3:$M$502,"APPROVED",Trade_Reports!$Q$3:$Q$502,"&lt;="&amp;Settings!$B$4))</f>
        <v/>
      </c>
      <c r="Q211" s="2" t="str">
        <f>IF($A211="","",SUMIFS(Trade_Reports!$U$3:$U$502,Trade_Reports!$H$3:$H$502,$A211,Trade_Reports!$M$3:$M$502,"APPROVED",Trade_Reports!$Q$3:$Q$502,"&lt;="&amp;Settings!$B$5))</f>
        <v/>
      </c>
      <c r="R211" s="2" t="str">
        <f>IF($A211="","",IF($Q211=0,"",IFERROR(_xludf.MINIFS(Trade_Reports!$I$3:$I$502,Trade_Reports!$H$3:$H$502,$A211,Trade_Reports!$M$3:$M$502,"APPROVED",Trade_Reports!$Q$3:$Q$502,"&lt;="&amp;Settings!$B$5,Trade_Reports!$X$3:$X$502,"&gt;="&amp;0.5*$Q211),"")))</f>
        <v/>
      </c>
      <c r="S211" s="2" t="str">
        <f>IF($A211="","",COUNTIFS(Trade_Reports!$H$3:$H$502,$A211,Trade_Reports!$M$3:$M$502,"APPROVED",Trade_Reports!$Q$3:$Q$502,"&lt;="&amp;Settings!$B$5))</f>
        <v/>
      </c>
      <c r="T211" s="2"/>
      <c r="U211" s="2"/>
      <c r="V211" s="21" t="str">
        <f>IF(OR($A211="",ISERROR(SEARCH("_",$A211))),"",IFERROR(SUMIFS(Trade_Reports!$Z$3:$Z$502,Trade_Reports!$H$3:$H$502,$A211,Trade_Reports!$M$3:$M$502,"APPROVED")/SUMIFS(Trade_Reports!$U$3:$U$502,Trade_Reports!$H$3:$H$502,$A211,Trade_Reports!$M$3:$M$502,"APPROVED"),""))</f>
        <v/>
      </c>
      <c r="W211" s="17" t="str">
        <f t="shared" si="1"/>
        <v/>
      </c>
      <c r="X211" s="2"/>
      <c r="Y211" s="2"/>
      <c r="Z211" s="2"/>
    </row>
    <row r="212" spans="1:26" ht="15.75" customHeight="1" x14ac:dyDescent="0.3">
      <c r="A212" s="15"/>
      <c r="B212" s="15"/>
      <c r="C212" s="16"/>
      <c r="D212" s="16"/>
      <c r="E212" s="16"/>
      <c r="F212" s="17" t="str">
        <f>IF($A212="","",IF($K212&lt;Settings!$B$14,"",IF($P212=0,"",IFERROR(_xludf.MINIFS(Trade_Reports!$I$3:$I$502,Trade_Reports!$H$3:$H$502,$A212,Trade_Reports!$M$3:$M$502,"APPROVED",Trade_Reports!$Q$3:$Q$502,"&lt;="&amp;Settings!$B$4,Trade_Reports!$W$3:$W$502,"&gt;="&amp;0.5*$P212),""))))</f>
        <v/>
      </c>
      <c r="G212" s="17" t="str">
        <f>IF($A212="","",IF($K212=0,"",IFERROR(_xludf.MINIFS(Trade_Reports!$I$3:$I$502,Trade_Reports!$H$3:$H$502,$A212,Trade_Reports!$M$3:$M$502,"APPROVED",Trade_Reports!$Q$3:$Q$502,"&lt;="&amp;Settings!$B$4),"")))</f>
        <v/>
      </c>
      <c r="H212" s="17" t="str">
        <f>IF($A212="","",IF($K212=0,"",IFERROR(_xludf.MAXIFS(Trade_Reports!$I$3:$I$502,Trade_Reports!$H$3:$H$502,$A212,Trade_Reports!$M$3:$M$502,"APPROVED",Trade_Reports!$Q$3:$Q$502,"&lt;="&amp;Settings!$B$4),"")))</f>
        <v/>
      </c>
      <c r="I212" s="17" t="str">
        <f>IF($A212="","",IF($F212="","",IF($Q212="","",IF(ABS($F212-$Q212)/$Q212&lt;=Settings!$B$18,"STABLE",IF($F212&gt;$Q212,"UP","DOWN")))))</f>
        <v/>
      </c>
      <c r="J212" s="18" t="str">
        <f>IF($A212="","",IF($K212=0,"",MIN(100,ROUND($K212/Settings!$B$14*100,0))))</f>
        <v/>
      </c>
      <c r="K212" s="17" t="str">
        <f>IF($A212="","",COUNTIFS(Trade_Reports!$H$3:$H$502,$A212,Trade_Reports!$M$3:$M$502,"APPROVED",Trade_Reports!$Q$3:$Q$502,"&lt;="&amp;Settings!$B$4))</f>
        <v/>
      </c>
      <c r="L212" s="19" t="str">
        <f>IF($A212="","",IF($K212=0,"",IFERROR(_xludf.MAXIFS(Trade_Reports!$O$3:$O$502,Trade_Reports!$H$3:$H$502,$A212,Trade_Reports!$M$3:$M$502,"APPROVED"),"")))</f>
        <v/>
      </c>
      <c r="M212" s="16" t="s">
        <v>46</v>
      </c>
      <c r="N212" s="15"/>
      <c r="O212" s="9" t="str">
        <f t="shared" si="0"/>
        <v/>
      </c>
      <c r="P212" s="2" t="str">
        <f>IF($A212="","",SUMIFS(Trade_Reports!$U$3:$U$502,Trade_Reports!$H$3:$H$502,$A212,Trade_Reports!$M$3:$M$502,"APPROVED",Trade_Reports!$Q$3:$Q$502,"&lt;="&amp;Settings!$B$4))</f>
        <v/>
      </c>
      <c r="Q212" s="2" t="str">
        <f>IF($A212="","",SUMIFS(Trade_Reports!$U$3:$U$502,Trade_Reports!$H$3:$H$502,$A212,Trade_Reports!$M$3:$M$502,"APPROVED",Trade_Reports!$Q$3:$Q$502,"&lt;="&amp;Settings!$B$5))</f>
        <v/>
      </c>
      <c r="R212" s="2" t="str">
        <f>IF($A212="","",IF($Q212=0,"",IFERROR(_xludf.MINIFS(Trade_Reports!$I$3:$I$502,Trade_Reports!$H$3:$H$502,$A212,Trade_Reports!$M$3:$M$502,"APPROVED",Trade_Reports!$Q$3:$Q$502,"&lt;="&amp;Settings!$B$5,Trade_Reports!$X$3:$X$502,"&gt;="&amp;0.5*$Q212),"")))</f>
        <v/>
      </c>
      <c r="S212" s="2" t="str">
        <f>IF($A212="","",COUNTIFS(Trade_Reports!$H$3:$H$502,$A212,Trade_Reports!$M$3:$M$502,"APPROVED",Trade_Reports!$Q$3:$Q$502,"&lt;="&amp;Settings!$B$5))</f>
        <v/>
      </c>
      <c r="T212" s="2"/>
      <c r="U212" s="2"/>
      <c r="V212" s="21" t="str">
        <f>IF(OR($A212="",ISERROR(SEARCH("_",$A212))),"",IFERROR(SUMIFS(Trade_Reports!$Z$3:$Z$502,Trade_Reports!$H$3:$H$502,$A212,Trade_Reports!$M$3:$M$502,"APPROVED")/SUMIFS(Trade_Reports!$U$3:$U$502,Trade_Reports!$H$3:$H$502,$A212,Trade_Reports!$M$3:$M$502,"APPROVED"),""))</f>
        <v/>
      </c>
      <c r="W212" s="17" t="str">
        <f t="shared" si="1"/>
        <v/>
      </c>
      <c r="X212" s="2"/>
      <c r="Y212" s="2"/>
      <c r="Z212" s="2"/>
    </row>
    <row r="213" spans="1:26" ht="15.75" customHeight="1" x14ac:dyDescent="0.3">
      <c r="A213" s="15"/>
      <c r="B213" s="15"/>
      <c r="C213" s="16"/>
      <c r="D213" s="16"/>
      <c r="E213" s="16"/>
      <c r="F213" s="17" t="str">
        <f>IF($A213="","",IF($K213&lt;Settings!$B$14,"",IF($P213=0,"",IFERROR(_xludf.MINIFS(Trade_Reports!$I$3:$I$502,Trade_Reports!$H$3:$H$502,$A213,Trade_Reports!$M$3:$M$502,"APPROVED",Trade_Reports!$Q$3:$Q$502,"&lt;="&amp;Settings!$B$4,Trade_Reports!$W$3:$W$502,"&gt;="&amp;0.5*$P213),""))))</f>
        <v/>
      </c>
      <c r="G213" s="17" t="str">
        <f>IF($A213="","",IF($K213=0,"",IFERROR(_xludf.MINIFS(Trade_Reports!$I$3:$I$502,Trade_Reports!$H$3:$H$502,$A213,Trade_Reports!$M$3:$M$502,"APPROVED",Trade_Reports!$Q$3:$Q$502,"&lt;="&amp;Settings!$B$4),"")))</f>
        <v/>
      </c>
      <c r="H213" s="17" t="str">
        <f>IF($A213="","",IF($K213=0,"",IFERROR(_xludf.MAXIFS(Trade_Reports!$I$3:$I$502,Trade_Reports!$H$3:$H$502,$A213,Trade_Reports!$M$3:$M$502,"APPROVED",Trade_Reports!$Q$3:$Q$502,"&lt;="&amp;Settings!$B$4),"")))</f>
        <v/>
      </c>
      <c r="I213" s="17" t="str">
        <f>IF($A213="","",IF($F213="","",IF($Q213="","",IF(ABS($F213-$Q213)/$Q213&lt;=Settings!$B$18,"STABLE",IF($F213&gt;$Q213,"UP","DOWN")))))</f>
        <v/>
      </c>
      <c r="J213" s="18" t="str">
        <f>IF($A213="","",IF($K213=0,"",MIN(100,ROUND($K213/Settings!$B$14*100,0))))</f>
        <v/>
      </c>
      <c r="K213" s="17" t="str">
        <f>IF($A213="","",COUNTIFS(Trade_Reports!$H$3:$H$502,$A213,Trade_Reports!$M$3:$M$502,"APPROVED",Trade_Reports!$Q$3:$Q$502,"&lt;="&amp;Settings!$B$4))</f>
        <v/>
      </c>
      <c r="L213" s="19" t="str">
        <f>IF($A213="","",IF($K213=0,"",IFERROR(_xludf.MAXIFS(Trade_Reports!$O$3:$O$502,Trade_Reports!$H$3:$H$502,$A213,Trade_Reports!$M$3:$M$502,"APPROVED"),"")))</f>
        <v/>
      </c>
      <c r="M213" s="16" t="s">
        <v>46</v>
      </c>
      <c r="N213" s="15"/>
      <c r="O213" s="9" t="str">
        <f t="shared" si="0"/>
        <v/>
      </c>
      <c r="P213" s="2" t="str">
        <f>IF($A213="","",SUMIFS(Trade_Reports!$U$3:$U$502,Trade_Reports!$H$3:$H$502,$A213,Trade_Reports!$M$3:$M$502,"APPROVED",Trade_Reports!$Q$3:$Q$502,"&lt;="&amp;Settings!$B$4))</f>
        <v/>
      </c>
      <c r="Q213" s="2" t="str">
        <f>IF($A213="","",SUMIFS(Trade_Reports!$U$3:$U$502,Trade_Reports!$H$3:$H$502,$A213,Trade_Reports!$M$3:$M$502,"APPROVED",Trade_Reports!$Q$3:$Q$502,"&lt;="&amp;Settings!$B$5))</f>
        <v/>
      </c>
      <c r="R213" s="2" t="str">
        <f>IF($A213="","",IF($Q213=0,"",IFERROR(_xludf.MINIFS(Trade_Reports!$I$3:$I$502,Trade_Reports!$H$3:$H$502,$A213,Trade_Reports!$M$3:$M$502,"APPROVED",Trade_Reports!$Q$3:$Q$502,"&lt;="&amp;Settings!$B$5,Trade_Reports!$X$3:$X$502,"&gt;="&amp;0.5*$Q213),"")))</f>
        <v/>
      </c>
      <c r="S213" s="2" t="str">
        <f>IF($A213="","",COUNTIFS(Trade_Reports!$H$3:$H$502,$A213,Trade_Reports!$M$3:$M$502,"APPROVED",Trade_Reports!$Q$3:$Q$502,"&lt;="&amp;Settings!$B$5))</f>
        <v/>
      </c>
      <c r="T213" s="2"/>
      <c r="U213" s="2"/>
      <c r="V213" s="21" t="str">
        <f>IF(OR($A213="",ISERROR(SEARCH("_",$A213))),"",IFERROR(SUMIFS(Trade_Reports!$Z$3:$Z$502,Trade_Reports!$H$3:$H$502,$A213,Trade_Reports!$M$3:$M$502,"APPROVED")/SUMIFS(Trade_Reports!$U$3:$U$502,Trade_Reports!$H$3:$H$502,$A213,Trade_Reports!$M$3:$M$502,"APPROVED"),""))</f>
        <v/>
      </c>
      <c r="W213" s="17" t="str">
        <f t="shared" si="1"/>
        <v/>
      </c>
      <c r="X213" s="2"/>
      <c r="Y213" s="2"/>
      <c r="Z213" s="2"/>
    </row>
    <row r="214" spans="1:26" ht="15.75" customHeight="1" x14ac:dyDescent="0.3">
      <c r="A214" s="15"/>
      <c r="B214" s="15"/>
      <c r="C214" s="16"/>
      <c r="D214" s="16"/>
      <c r="E214" s="16"/>
      <c r="F214" s="17" t="str">
        <f>IF($A214="","",IF($K214&lt;Settings!$B$14,"",IF($P214=0,"",IFERROR(_xludf.MINIFS(Trade_Reports!$I$3:$I$502,Trade_Reports!$H$3:$H$502,$A214,Trade_Reports!$M$3:$M$502,"APPROVED",Trade_Reports!$Q$3:$Q$502,"&lt;="&amp;Settings!$B$4,Trade_Reports!$W$3:$W$502,"&gt;="&amp;0.5*$P214),""))))</f>
        <v/>
      </c>
      <c r="G214" s="17" t="str">
        <f>IF($A214="","",IF($K214=0,"",IFERROR(_xludf.MINIFS(Trade_Reports!$I$3:$I$502,Trade_Reports!$H$3:$H$502,$A214,Trade_Reports!$M$3:$M$502,"APPROVED",Trade_Reports!$Q$3:$Q$502,"&lt;="&amp;Settings!$B$4),"")))</f>
        <v/>
      </c>
      <c r="H214" s="17" t="str">
        <f>IF($A214="","",IF($K214=0,"",IFERROR(_xludf.MAXIFS(Trade_Reports!$I$3:$I$502,Trade_Reports!$H$3:$H$502,$A214,Trade_Reports!$M$3:$M$502,"APPROVED",Trade_Reports!$Q$3:$Q$502,"&lt;="&amp;Settings!$B$4),"")))</f>
        <v/>
      </c>
      <c r="I214" s="17" t="str">
        <f>IF($A214="","",IF($F214="","",IF($Q214="","",IF(ABS($F214-$Q214)/$Q214&lt;=Settings!$B$18,"STABLE",IF($F214&gt;$Q214,"UP","DOWN")))))</f>
        <v/>
      </c>
      <c r="J214" s="18" t="str">
        <f>IF($A214="","",IF($K214=0,"",MIN(100,ROUND($K214/Settings!$B$14*100,0))))</f>
        <v/>
      </c>
      <c r="K214" s="17" t="str">
        <f>IF($A214="","",COUNTIFS(Trade_Reports!$H$3:$H$502,$A214,Trade_Reports!$M$3:$M$502,"APPROVED",Trade_Reports!$Q$3:$Q$502,"&lt;="&amp;Settings!$B$4))</f>
        <v/>
      </c>
      <c r="L214" s="19" t="str">
        <f>IF($A214="","",IF($K214=0,"",IFERROR(_xludf.MAXIFS(Trade_Reports!$O$3:$O$502,Trade_Reports!$H$3:$H$502,$A214,Trade_Reports!$M$3:$M$502,"APPROVED"),"")))</f>
        <v/>
      </c>
      <c r="M214" s="16" t="s">
        <v>46</v>
      </c>
      <c r="N214" s="15"/>
      <c r="O214" s="9" t="str">
        <f t="shared" si="0"/>
        <v/>
      </c>
      <c r="P214" s="2" t="str">
        <f>IF($A214="","",SUMIFS(Trade_Reports!$U$3:$U$502,Trade_Reports!$H$3:$H$502,$A214,Trade_Reports!$M$3:$M$502,"APPROVED",Trade_Reports!$Q$3:$Q$502,"&lt;="&amp;Settings!$B$4))</f>
        <v/>
      </c>
      <c r="Q214" s="2" t="str">
        <f>IF($A214="","",SUMIFS(Trade_Reports!$U$3:$U$502,Trade_Reports!$H$3:$H$502,$A214,Trade_Reports!$M$3:$M$502,"APPROVED",Trade_Reports!$Q$3:$Q$502,"&lt;="&amp;Settings!$B$5))</f>
        <v/>
      </c>
      <c r="R214" s="2" t="str">
        <f>IF($A214="","",IF($Q214=0,"",IFERROR(_xludf.MINIFS(Trade_Reports!$I$3:$I$502,Trade_Reports!$H$3:$H$502,$A214,Trade_Reports!$M$3:$M$502,"APPROVED",Trade_Reports!$Q$3:$Q$502,"&lt;="&amp;Settings!$B$5,Trade_Reports!$X$3:$X$502,"&gt;="&amp;0.5*$Q214),"")))</f>
        <v/>
      </c>
      <c r="S214" s="2" t="str">
        <f>IF($A214="","",COUNTIFS(Trade_Reports!$H$3:$H$502,$A214,Trade_Reports!$M$3:$M$502,"APPROVED",Trade_Reports!$Q$3:$Q$502,"&lt;="&amp;Settings!$B$5))</f>
        <v/>
      </c>
      <c r="T214" s="2"/>
      <c r="U214" s="2"/>
      <c r="V214" s="21" t="str">
        <f>IF(OR($A214="",ISERROR(SEARCH("_",$A214))),"",IFERROR(SUMIFS(Trade_Reports!$Z$3:$Z$502,Trade_Reports!$H$3:$H$502,$A214,Trade_Reports!$M$3:$M$502,"APPROVED")/SUMIFS(Trade_Reports!$U$3:$U$502,Trade_Reports!$H$3:$H$502,$A214,Trade_Reports!$M$3:$M$502,"APPROVED"),""))</f>
        <v/>
      </c>
      <c r="W214" s="17" t="str">
        <f t="shared" si="1"/>
        <v/>
      </c>
      <c r="X214" s="2"/>
      <c r="Y214" s="2"/>
      <c r="Z214" s="2"/>
    </row>
    <row r="215" spans="1:26" ht="15.75" customHeight="1" x14ac:dyDescent="0.3">
      <c r="A215" s="15"/>
      <c r="B215" s="15"/>
      <c r="C215" s="16"/>
      <c r="D215" s="16"/>
      <c r="E215" s="16"/>
      <c r="F215" s="17" t="str">
        <f>IF($A215="","",IF($K215&lt;Settings!$B$14,"",IF($P215=0,"",IFERROR(_xludf.MINIFS(Trade_Reports!$I$3:$I$502,Trade_Reports!$H$3:$H$502,$A215,Trade_Reports!$M$3:$M$502,"APPROVED",Trade_Reports!$Q$3:$Q$502,"&lt;="&amp;Settings!$B$4,Trade_Reports!$W$3:$W$502,"&gt;="&amp;0.5*$P215),""))))</f>
        <v/>
      </c>
      <c r="G215" s="17" t="str">
        <f>IF($A215="","",IF($K215=0,"",IFERROR(_xludf.MINIFS(Trade_Reports!$I$3:$I$502,Trade_Reports!$H$3:$H$502,$A215,Trade_Reports!$M$3:$M$502,"APPROVED",Trade_Reports!$Q$3:$Q$502,"&lt;="&amp;Settings!$B$4),"")))</f>
        <v/>
      </c>
      <c r="H215" s="17" t="str">
        <f>IF($A215="","",IF($K215=0,"",IFERROR(_xludf.MAXIFS(Trade_Reports!$I$3:$I$502,Trade_Reports!$H$3:$H$502,$A215,Trade_Reports!$M$3:$M$502,"APPROVED",Trade_Reports!$Q$3:$Q$502,"&lt;="&amp;Settings!$B$4),"")))</f>
        <v/>
      </c>
      <c r="I215" s="17" t="str">
        <f>IF($A215="","",IF($F215="","",IF($Q215="","",IF(ABS($F215-$Q215)/$Q215&lt;=Settings!$B$18,"STABLE",IF($F215&gt;$Q215,"UP","DOWN")))))</f>
        <v/>
      </c>
      <c r="J215" s="18" t="str">
        <f>IF($A215="","",IF($K215=0,"",MIN(100,ROUND($K215/Settings!$B$14*100,0))))</f>
        <v/>
      </c>
      <c r="K215" s="17" t="str">
        <f>IF($A215="","",COUNTIFS(Trade_Reports!$H$3:$H$502,$A215,Trade_Reports!$M$3:$M$502,"APPROVED",Trade_Reports!$Q$3:$Q$502,"&lt;="&amp;Settings!$B$4))</f>
        <v/>
      </c>
      <c r="L215" s="19" t="str">
        <f>IF($A215="","",IF($K215=0,"",IFERROR(_xludf.MAXIFS(Trade_Reports!$O$3:$O$502,Trade_Reports!$H$3:$H$502,$A215,Trade_Reports!$M$3:$M$502,"APPROVED"),"")))</f>
        <v/>
      </c>
      <c r="M215" s="16" t="s">
        <v>46</v>
      </c>
      <c r="N215" s="15"/>
      <c r="O215" s="9" t="str">
        <f t="shared" si="0"/>
        <v/>
      </c>
      <c r="P215" s="2" t="str">
        <f>IF($A215="","",SUMIFS(Trade_Reports!$U$3:$U$502,Trade_Reports!$H$3:$H$502,$A215,Trade_Reports!$M$3:$M$502,"APPROVED",Trade_Reports!$Q$3:$Q$502,"&lt;="&amp;Settings!$B$4))</f>
        <v/>
      </c>
      <c r="Q215" s="2" t="str">
        <f>IF($A215="","",SUMIFS(Trade_Reports!$U$3:$U$502,Trade_Reports!$H$3:$H$502,$A215,Trade_Reports!$M$3:$M$502,"APPROVED",Trade_Reports!$Q$3:$Q$502,"&lt;="&amp;Settings!$B$5))</f>
        <v/>
      </c>
      <c r="R215" s="2" t="str">
        <f>IF($A215="","",IF($Q215=0,"",IFERROR(_xludf.MINIFS(Trade_Reports!$I$3:$I$502,Trade_Reports!$H$3:$H$502,$A215,Trade_Reports!$M$3:$M$502,"APPROVED",Trade_Reports!$Q$3:$Q$502,"&lt;="&amp;Settings!$B$5,Trade_Reports!$X$3:$X$502,"&gt;="&amp;0.5*$Q215),"")))</f>
        <v/>
      </c>
      <c r="S215" s="2" t="str">
        <f>IF($A215="","",COUNTIFS(Trade_Reports!$H$3:$H$502,$A215,Trade_Reports!$M$3:$M$502,"APPROVED",Trade_Reports!$Q$3:$Q$502,"&lt;="&amp;Settings!$B$5))</f>
        <v/>
      </c>
      <c r="T215" s="2"/>
      <c r="U215" s="2"/>
      <c r="V215" s="21" t="str">
        <f>IF(OR($A215="",ISERROR(SEARCH("_",$A215))),"",IFERROR(SUMIFS(Trade_Reports!$Z$3:$Z$502,Trade_Reports!$H$3:$H$502,$A215,Trade_Reports!$M$3:$M$502,"APPROVED")/SUMIFS(Trade_Reports!$U$3:$U$502,Trade_Reports!$H$3:$H$502,$A215,Trade_Reports!$M$3:$M$502,"APPROVED"),""))</f>
        <v/>
      </c>
      <c r="W215" s="17" t="str">
        <f t="shared" si="1"/>
        <v/>
      </c>
      <c r="X215" s="2"/>
      <c r="Y215" s="2"/>
      <c r="Z215" s="2"/>
    </row>
    <row r="216" spans="1:26" ht="15.75" customHeight="1" x14ac:dyDescent="0.3">
      <c r="A216" s="15"/>
      <c r="B216" s="15"/>
      <c r="C216" s="16"/>
      <c r="D216" s="16"/>
      <c r="E216" s="16"/>
      <c r="F216" s="17" t="str">
        <f>IF($A216="","",IF($K216&lt;Settings!$B$14,"",IF($P216=0,"",IFERROR(_xludf.MINIFS(Trade_Reports!$I$3:$I$502,Trade_Reports!$H$3:$H$502,$A216,Trade_Reports!$M$3:$M$502,"APPROVED",Trade_Reports!$Q$3:$Q$502,"&lt;="&amp;Settings!$B$4,Trade_Reports!$W$3:$W$502,"&gt;="&amp;0.5*$P216),""))))</f>
        <v/>
      </c>
      <c r="G216" s="17" t="str">
        <f>IF($A216="","",IF($K216=0,"",IFERROR(_xludf.MINIFS(Trade_Reports!$I$3:$I$502,Trade_Reports!$H$3:$H$502,$A216,Trade_Reports!$M$3:$M$502,"APPROVED",Trade_Reports!$Q$3:$Q$502,"&lt;="&amp;Settings!$B$4),"")))</f>
        <v/>
      </c>
      <c r="H216" s="17" t="str">
        <f>IF($A216="","",IF($K216=0,"",IFERROR(_xludf.MAXIFS(Trade_Reports!$I$3:$I$502,Trade_Reports!$H$3:$H$502,$A216,Trade_Reports!$M$3:$M$502,"APPROVED",Trade_Reports!$Q$3:$Q$502,"&lt;="&amp;Settings!$B$4),"")))</f>
        <v/>
      </c>
      <c r="I216" s="17" t="str">
        <f>IF($A216="","",IF($F216="","",IF($Q216="","",IF(ABS($F216-$Q216)/$Q216&lt;=Settings!$B$18,"STABLE",IF($F216&gt;$Q216,"UP","DOWN")))))</f>
        <v/>
      </c>
      <c r="J216" s="18" t="str">
        <f>IF($A216="","",IF($K216=0,"",MIN(100,ROUND($K216/Settings!$B$14*100,0))))</f>
        <v/>
      </c>
      <c r="K216" s="17" t="str">
        <f>IF($A216="","",COUNTIFS(Trade_Reports!$H$3:$H$502,$A216,Trade_Reports!$M$3:$M$502,"APPROVED",Trade_Reports!$Q$3:$Q$502,"&lt;="&amp;Settings!$B$4))</f>
        <v/>
      </c>
      <c r="L216" s="19" t="str">
        <f>IF($A216="","",IF($K216=0,"",IFERROR(_xludf.MAXIFS(Trade_Reports!$O$3:$O$502,Trade_Reports!$H$3:$H$502,$A216,Trade_Reports!$M$3:$M$502,"APPROVED"),"")))</f>
        <v/>
      </c>
      <c r="M216" s="16" t="s">
        <v>46</v>
      </c>
      <c r="N216" s="15"/>
      <c r="O216" s="9" t="str">
        <f t="shared" si="0"/>
        <v/>
      </c>
      <c r="P216" s="2" t="str">
        <f>IF($A216="","",SUMIFS(Trade_Reports!$U$3:$U$502,Trade_Reports!$H$3:$H$502,$A216,Trade_Reports!$M$3:$M$502,"APPROVED",Trade_Reports!$Q$3:$Q$502,"&lt;="&amp;Settings!$B$4))</f>
        <v/>
      </c>
      <c r="Q216" s="2" t="str">
        <f>IF($A216="","",SUMIFS(Trade_Reports!$U$3:$U$502,Trade_Reports!$H$3:$H$502,$A216,Trade_Reports!$M$3:$M$502,"APPROVED",Trade_Reports!$Q$3:$Q$502,"&lt;="&amp;Settings!$B$5))</f>
        <v/>
      </c>
      <c r="R216" s="2" t="str">
        <f>IF($A216="","",IF($Q216=0,"",IFERROR(_xludf.MINIFS(Trade_Reports!$I$3:$I$502,Trade_Reports!$H$3:$H$502,$A216,Trade_Reports!$M$3:$M$502,"APPROVED",Trade_Reports!$Q$3:$Q$502,"&lt;="&amp;Settings!$B$5,Trade_Reports!$X$3:$X$502,"&gt;="&amp;0.5*$Q216),"")))</f>
        <v/>
      </c>
      <c r="S216" s="2" t="str">
        <f>IF($A216="","",COUNTIFS(Trade_Reports!$H$3:$H$502,$A216,Trade_Reports!$M$3:$M$502,"APPROVED",Trade_Reports!$Q$3:$Q$502,"&lt;="&amp;Settings!$B$5))</f>
        <v/>
      </c>
      <c r="T216" s="2"/>
      <c r="U216" s="2"/>
      <c r="V216" s="21" t="str">
        <f>IF(OR($A216="",ISERROR(SEARCH("_",$A216))),"",IFERROR(SUMIFS(Trade_Reports!$Z$3:$Z$502,Trade_Reports!$H$3:$H$502,$A216,Trade_Reports!$M$3:$M$502,"APPROVED")/SUMIFS(Trade_Reports!$U$3:$U$502,Trade_Reports!$H$3:$H$502,$A216,Trade_Reports!$M$3:$M$502,"APPROVED"),""))</f>
        <v/>
      </c>
      <c r="W216" s="17" t="str">
        <f t="shared" si="1"/>
        <v/>
      </c>
      <c r="X216" s="2"/>
      <c r="Y216" s="2"/>
      <c r="Z216" s="2"/>
    </row>
    <row r="217" spans="1:26" ht="15.75" customHeight="1" x14ac:dyDescent="0.3">
      <c r="A217" s="15"/>
      <c r="B217" s="15"/>
      <c r="C217" s="16"/>
      <c r="D217" s="16"/>
      <c r="E217" s="16"/>
      <c r="F217" s="17" t="str">
        <f>IF($A217="","",IF($K217&lt;Settings!$B$14,"",IF($P217=0,"",IFERROR(_xludf.MINIFS(Trade_Reports!$I$3:$I$502,Trade_Reports!$H$3:$H$502,$A217,Trade_Reports!$M$3:$M$502,"APPROVED",Trade_Reports!$Q$3:$Q$502,"&lt;="&amp;Settings!$B$4,Trade_Reports!$W$3:$W$502,"&gt;="&amp;0.5*$P217),""))))</f>
        <v/>
      </c>
      <c r="G217" s="17" t="str">
        <f>IF($A217="","",IF($K217=0,"",IFERROR(_xludf.MINIFS(Trade_Reports!$I$3:$I$502,Trade_Reports!$H$3:$H$502,$A217,Trade_Reports!$M$3:$M$502,"APPROVED",Trade_Reports!$Q$3:$Q$502,"&lt;="&amp;Settings!$B$4),"")))</f>
        <v/>
      </c>
      <c r="H217" s="17" t="str">
        <f>IF($A217="","",IF($K217=0,"",IFERROR(_xludf.MAXIFS(Trade_Reports!$I$3:$I$502,Trade_Reports!$H$3:$H$502,$A217,Trade_Reports!$M$3:$M$502,"APPROVED",Trade_Reports!$Q$3:$Q$502,"&lt;="&amp;Settings!$B$4),"")))</f>
        <v/>
      </c>
      <c r="I217" s="17" t="str">
        <f>IF($A217="","",IF($F217="","",IF($Q217="","",IF(ABS($F217-$Q217)/$Q217&lt;=Settings!$B$18,"STABLE",IF($F217&gt;$Q217,"UP","DOWN")))))</f>
        <v/>
      </c>
      <c r="J217" s="18" t="str">
        <f>IF($A217="","",IF($K217=0,"",MIN(100,ROUND($K217/Settings!$B$14*100,0))))</f>
        <v/>
      </c>
      <c r="K217" s="17" t="str">
        <f>IF($A217="","",COUNTIFS(Trade_Reports!$H$3:$H$502,$A217,Trade_Reports!$M$3:$M$502,"APPROVED",Trade_Reports!$Q$3:$Q$502,"&lt;="&amp;Settings!$B$4))</f>
        <v/>
      </c>
      <c r="L217" s="19" t="str">
        <f>IF($A217="","",IF($K217=0,"",IFERROR(_xludf.MAXIFS(Trade_Reports!$O$3:$O$502,Trade_Reports!$H$3:$H$502,$A217,Trade_Reports!$M$3:$M$502,"APPROVED"),"")))</f>
        <v/>
      </c>
      <c r="M217" s="16" t="s">
        <v>46</v>
      </c>
      <c r="N217" s="15"/>
      <c r="O217" s="9" t="str">
        <f t="shared" si="0"/>
        <v/>
      </c>
      <c r="P217" s="2" t="str">
        <f>IF($A217="","",SUMIFS(Trade_Reports!$U$3:$U$502,Trade_Reports!$H$3:$H$502,$A217,Trade_Reports!$M$3:$M$502,"APPROVED",Trade_Reports!$Q$3:$Q$502,"&lt;="&amp;Settings!$B$4))</f>
        <v/>
      </c>
      <c r="Q217" s="2" t="str">
        <f>IF($A217="","",SUMIFS(Trade_Reports!$U$3:$U$502,Trade_Reports!$H$3:$H$502,$A217,Trade_Reports!$M$3:$M$502,"APPROVED",Trade_Reports!$Q$3:$Q$502,"&lt;="&amp;Settings!$B$5))</f>
        <v/>
      </c>
      <c r="R217" s="2" t="str">
        <f>IF($A217="","",IF($Q217=0,"",IFERROR(_xludf.MINIFS(Trade_Reports!$I$3:$I$502,Trade_Reports!$H$3:$H$502,$A217,Trade_Reports!$M$3:$M$502,"APPROVED",Trade_Reports!$Q$3:$Q$502,"&lt;="&amp;Settings!$B$5,Trade_Reports!$X$3:$X$502,"&gt;="&amp;0.5*$Q217),"")))</f>
        <v/>
      </c>
      <c r="S217" s="2" t="str">
        <f>IF($A217="","",COUNTIFS(Trade_Reports!$H$3:$H$502,$A217,Trade_Reports!$M$3:$M$502,"APPROVED",Trade_Reports!$Q$3:$Q$502,"&lt;="&amp;Settings!$B$5))</f>
        <v/>
      </c>
      <c r="T217" s="2"/>
      <c r="U217" s="2"/>
      <c r="V217" s="21" t="str">
        <f>IF(OR($A217="",ISERROR(SEARCH("_",$A217))),"",IFERROR(SUMIFS(Trade_Reports!$Z$3:$Z$502,Trade_Reports!$H$3:$H$502,$A217,Trade_Reports!$M$3:$M$502,"APPROVED")/SUMIFS(Trade_Reports!$U$3:$U$502,Trade_Reports!$H$3:$H$502,$A217,Trade_Reports!$M$3:$M$502,"APPROVED"),""))</f>
        <v/>
      </c>
      <c r="W217" s="17" t="str">
        <f t="shared" si="1"/>
        <v/>
      </c>
      <c r="X217" s="2"/>
      <c r="Y217" s="2"/>
      <c r="Z217" s="2"/>
    </row>
    <row r="218" spans="1:26" ht="15.75" customHeight="1" x14ac:dyDescent="0.3">
      <c r="A218" s="15"/>
      <c r="B218" s="15"/>
      <c r="C218" s="16"/>
      <c r="D218" s="16"/>
      <c r="E218" s="16"/>
      <c r="F218" s="17" t="str">
        <f>IF($A218="","",IF($K218&lt;Settings!$B$14,"",IF($P218=0,"",IFERROR(_xludf.MINIFS(Trade_Reports!$I$3:$I$502,Trade_Reports!$H$3:$H$502,$A218,Trade_Reports!$M$3:$M$502,"APPROVED",Trade_Reports!$Q$3:$Q$502,"&lt;="&amp;Settings!$B$4,Trade_Reports!$W$3:$W$502,"&gt;="&amp;0.5*$P218),""))))</f>
        <v/>
      </c>
      <c r="G218" s="17" t="str">
        <f>IF($A218="","",IF($K218=0,"",IFERROR(_xludf.MINIFS(Trade_Reports!$I$3:$I$502,Trade_Reports!$H$3:$H$502,$A218,Trade_Reports!$M$3:$M$502,"APPROVED",Trade_Reports!$Q$3:$Q$502,"&lt;="&amp;Settings!$B$4),"")))</f>
        <v/>
      </c>
      <c r="H218" s="17" t="str">
        <f>IF($A218="","",IF($K218=0,"",IFERROR(_xludf.MAXIFS(Trade_Reports!$I$3:$I$502,Trade_Reports!$H$3:$H$502,$A218,Trade_Reports!$M$3:$M$502,"APPROVED",Trade_Reports!$Q$3:$Q$502,"&lt;="&amp;Settings!$B$4),"")))</f>
        <v/>
      </c>
      <c r="I218" s="17" t="str">
        <f>IF($A218="","",IF($F218="","",IF($Q218="","",IF(ABS($F218-$Q218)/$Q218&lt;=Settings!$B$18,"STABLE",IF($F218&gt;$Q218,"UP","DOWN")))))</f>
        <v/>
      </c>
      <c r="J218" s="18" t="str">
        <f>IF($A218="","",IF($K218=0,"",MIN(100,ROUND($K218/Settings!$B$14*100,0))))</f>
        <v/>
      </c>
      <c r="K218" s="17" t="str">
        <f>IF($A218="","",COUNTIFS(Trade_Reports!$H$3:$H$502,$A218,Trade_Reports!$M$3:$M$502,"APPROVED",Trade_Reports!$Q$3:$Q$502,"&lt;="&amp;Settings!$B$4))</f>
        <v/>
      </c>
      <c r="L218" s="19" t="str">
        <f>IF($A218="","",IF($K218=0,"",IFERROR(_xludf.MAXIFS(Trade_Reports!$O$3:$O$502,Trade_Reports!$H$3:$H$502,$A218,Trade_Reports!$M$3:$M$502,"APPROVED"),"")))</f>
        <v/>
      </c>
      <c r="M218" s="16" t="s">
        <v>46</v>
      </c>
      <c r="N218" s="15"/>
      <c r="O218" s="9" t="str">
        <f t="shared" si="0"/>
        <v/>
      </c>
      <c r="P218" s="2" t="str">
        <f>IF($A218="","",SUMIFS(Trade_Reports!$U$3:$U$502,Trade_Reports!$H$3:$H$502,$A218,Trade_Reports!$M$3:$M$502,"APPROVED",Trade_Reports!$Q$3:$Q$502,"&lt;="&amp;Settings!$B$4))</f>
        <v/>
      </c>
      <c r="Q218" s="2" t="str">
        <f>IF($A218="","",SUMIFS(Trade_Reports!$U$3:$U$502,Trade_Reports!$H$3:$H$502,$A218,Trade_Reports!$M$3:$M$502,"APPROVED",Trade_Reports!$Q$3:$Q$502,"&lt;="&amp;Settings!$B$5))</f>
        <v/>
      </c>
      <c r="R218" s="2" t="str">
        <f>IF($A218="","",IF($Q218=0,"",IFERROR(_xludf.MINIFS(Trade_Reports!$I$3:$I$502,Trade_Reports!$H$3:$H$502,$A218,Trade_Reports!$M$3:$M$502,"APPROVED",Trade_Reports!$Q$3:$Q$502,"&lt;="&amp;Settings!$B$5,Trade_Reports!$X$3:$X$502,"&gt;="&amp;0.5*$Q218),"")))</f>
        <v/>
      </c>
      <c r="S218" s="2" t="str">
        <f>IF($A218="","",COUNTIFS(Trade_Reports!$H$3:$H$502,$A218,Trade_Reports!$M$3:$M$502,"APPROVED",Trade_Reports!$Q$3:$Q$502,"&lt;="&amp;Settings!$B$5))</f>
        <v/>
      </c>
      <c r="T218" s="2"/>
      <c r="U218" s="2"/>
      <c r="V218" s="21" t="str">
        <f>IF(OR($A218="",ISERROR(SEARCH("_",$A218))),"",IFERROR(SUMIFS(Trade_Reports!$Z$3:$Z$502,Trade_Reports!$H$3:$H$502,$A218,Trade_Reports!$M$3:$M$502,"APPROVED")/SUMIFS(Trade_Reports!$U$3:$U$502,Trade_Reports!$H$3:$H$502,$A218,Trade_Reports!$M$3:$M$502,"APPROVED"),""))</f>
        <v/>
      </c>
      <c r="W218" s="17" t="str">
        <f t="shared" si="1"/>
        <v/>
      </c>
      <c r="X218" s="2"/>
      <c r="Y218" s="2"/>
      <c r="Z218" s="2"/>
    </row>
    <row r="219" spans="1:26" ht="15.75" customHeight="1" x14ac:dyDescent="0.3">
      <c r="A219" s="15"/>
      <c r="B219" s="15"/>
      <c r="C219" s="16"/>
      <c r="D219" s="16"/>
      <c r="E219" s="16"/>
      <c r="F219" s="17" t="str">
        <f>IF($A219="","",IF($K219&lt;Settings!$B$14,"",IF($P219=0,"",IFERROR(_xludf.MINIFS(Trade_Reports!$I$3:$I$502,Trade_Reports!$H$3:$H$502,$A219,Trade_Reports!$M$3:$M$502,"APPROVED",Trade_Reports!$Q$3:$Q$502,"&lt;="&amp;Settings!$B$4,Trade_Reports!$W$3:$W$502,"&gt;="&amp;0.5*$P219),""))))</f>
        <v/>
      </c>
      <c r="G219" s="17" t="str">
        <f>IF($A219="","",IF($K219=0,"",IFERROR(_xludf.MINIFS(Trade_Reports!$I$3:$I$502,Trade_Reports!$H$3:$H$502,$A219,Trade_Reports!$M$3:$M$502,"APPROVED",Trade_Reports!$Q$3:$Q$502,"&lt;="&amp;Settings!$B$4),"")))</f>
        <v/>
      </c>
      <c r="H219" s="17" t="str">
        <f>IF($A219="","",IF($K219=0,"",IFERROR(_xludf.MAXIFS(Trade_Reports!$I$3:$I$502,Trade_Reports!$H$3:$H$502,$A219,Trade_Reports!$M$3:$M$502,"APPROVED",Trade_Reports!$Q$3:$Q$502,"&lt;="&amp;Settings!$B$4),"")))</f>
        <v/>
      </c>
      <c r="I219" s="17" t="str">
        <f>IF($A219="","",IF($F219="","",IF($Q219="","",IF(ABS($F219-$Q219)/$Q219&lt;=Settings!$B$18,"STABLE",IF($F219&gt;$Q219,"UP","DOWN")))))</f>
        <v/>
      </c>
      <c r="J219" s="18" t="str">
        <f>IF($A219="","",IF($K219=0,"",MIN(100,ROUND($K219/Settings!$B$14*100,0))))</f>
        <v/>
      </c>
      <c r="K219" s="17" t="str">
        <f>IF($A219="","",COUNTIFS(Trade_Reports!$H$3:$H$502,$A219,Trade_Reports!$M$3:$M$502,"APPROVED",Trade_Reports!$Q$3:$Q$502,"&lt;="&amp;Settings!$B$4))</f>
        <v/>
      </c>
      <c r="L219" s="19" t="str">
        <f>IF($A219="","",IF($K219=0,"",IFERROR(_xludf.MAXIFS(Trade_Reports!$O$3:$O$502,Trade_Reports!$H$3:$H$502,$A219,Trade_Reports!$M$3:$M$502,"APPROVED"),"")))</f>
        <v/>
      </c>
      <c r="M219" s="16" t="s">
        <v>46</v>
      </c>
      <c r="N219" s="15"/>
      <c r="O219" s="9" t="str">
        <f t="shared" si="0"/>
        <v/>
      </c>
      <c r="P219" s="2" t="str">
        <f>IF($A219="","",SUMIFS(Trade_Reports!$U$3:$U$502,Trade_Reports!$H$3:$H$502,$A219,Trade_Reports!$M$3:$M$502,"APPROVED",Trade_Reports!$Q$3:$Q$502,"&lt;="&amp;Settings!$B$4))</f>
        <v/>
      </c>
      <c r="Q219" s="2" t="str">
        <f>IF($A219="","",SUMIFS(Trade_Reports!$U$3:$U$502,Trade_Reports!$H$3:$H$502,$A219,Trade_Reports!$M$3:$M$502,"APPROVED",Trade_Reports!$Q$3:$Q$502,"&lt;="&amp;Settings!$B$5))</f>
        <v/>
      </c>
      <c r="R219" s="2" t="str">
        <f>IF($A219="","",IF($Q219=0,"",IFERROR(_xludf.MINIFS(Trade_Reports!$I$3:$I$502,Trade_Reports!$H$3:$H$502,$A219,Trade_Reports!$M$3:$M$502,"APPROVED",Trade_Reports!$Q$3:$Q$502,"&lt;="&amp;Settings!$B$5,Trade_Reports!$X$3:$X$502,"&gt;="&amp;0.5*$Q219),"")))</f>
        <v/>
      </c>
      <c r="S219" s="2" t="str">
        <f>IF($A219="","",COUNTIFS(Trade_Reports!$H$3:$H$502,$A219,Trade_Reports!$M$3:$M$502,"APPROVED",Trade_Reports!$Q$3:$Q$502,"&lt;="&amp;Settings!$B$5))</f>
        <v/>
      </c>
      <c r="T219" s="2"/>
      <c r="U219" s="2"/>
      <c r="V219" s="21" t="str">
        <f>IF(OR($A219="",ISERROR(SEARCH("_",$A219))),"",IFERROR(SUMIFS(Trade_Reports!$Z$3:$Z$502,Trade_Reports!$H$3:$H$502,$A219,Trade_Reports!$M$3:$M$502,"APPROVED")/SUMIFS(Trade_Reports!$U$3:$U$502,Trade_Reports!$H$3:$H$502,$A219,Trade_Reports!$M$3:$M$502,"APPROVED"),""))</f>
        <v/>
      </c>
      <c r="W219" s="17" t="str">
        <f t="shared" si="1"/>
        <v/>
      </c>
      <c r="X219" s="2"/>
      <c r="Y219" s="2"/>
      <c r="Z219" s="2"/>
    </row>
    <row r="220" spans="1:26" ht="15.75" customHeight="1" x14ac:dyDescent="0.3">
      <c r="A220" s="15"/>
      <c r="B220" s="15"/>
      <c r="C220" s="16"/>
      <c r="D220" s="16"/>
      <c r="E220" s="16"/>
      <c r="F220" s="17" t="str">
        <f>IF($A220="","",IF($K220&lt;Settings!$B$14,"",IF($P220=0,"",IFERROR(_xludf.MINIFS(Trade_Reports!$I$3:$I$502,Trade_Reports!$H$3:$H$502,$A220,Trade_Reports!$M$3:$M$502,"APPROVED",Trade_Reports!$Q$3:$Q$502,"&lt;="&amp;Settings!$B$4,Trade_Reports!$W$3:$W$502,"&gt;="&amp;0.5*$P220),""))))</f>
        <v/>
      </c>
      <c r="G220" s="17" t="str">
        <f>IF($A220="","",IF($K220=0,"",IFERROR(_xludf.MINIFS(Trade_Reports!$I$3:$I$502,Trade_Reports!$H$3:$H$502,$A220,Trade_Reports!$M$3:$M$502,"APPROVED",Trade_Reports!$Q$3:$Q$502,"&lt;="&amp;Settings!$B$4),"")))</f>
        <v/>
      </c>
      <c r="H220" s="17" t="str">
        <f>IF($A220="","",IF($K220=0,"",IFERROR(_xludf.MAXIFS(Trade_Reports!$I$3:$I$502,Trade_Reports!$H$3:$H$502,$A220,Trade_Reports!$M$3:$M$502,"APPROVED",Trade_Reports!$Q$3:$Q$502,"&lt;="&amp;Settings!$B$4),"")))</f>
        <v/>
      </c>
      <c r="I220" s="17" t="str">
        <f>IF($A220="","",IF($F220="","",IF($Q220="","",IF(ABS($F220-$Q220)/$Q220&lt;=Settings!$B$18,"STABLE",IF($F220&gt;$Q220,"UP","DOWN")))))</f>
        <v/>
      </c>
      <c r="J220" s="18" t="str">
        <f>IF($A220="","",IF($K220=0,"",MIN(100,ROUND($K220/Settings!$B$14*100,0))))</f>
        <v/>
      </c>
      <c r="K220" s="17" t="str">
        <f>IF($A220="","",COUNTIFS(Trade_Reports!$H$3:$H$502,$A220,Trade_Reports!$M$3:$M$502,"APPROVED",Trade_Reports!$Q$3:$Q$502,"&lt;="&amp;Settings!$B$4))</f>
        <v/>
      </c>
      <c r="L220" s="19" t="str">
        <f>IF($A220="","",IF($K220=0,"",IFERROR(_xludf.MAXIFS(Trade_Reports!$O$3:$O$502,Trade_Reports!$H$3:$H$502,$A220,Trade_Reports!$M$3:$M$502,"APPROVED"),"")))</f>
        <v/>
      </c>
      <c r="M220" s="16" t="s">
        <v>46</v>
      </c>
      <c r="N220" s="15"/>
      <c r="O220" s="9" t="str">
        <f t="shared" si="0"/>
        <v/>
      </c>
      <c r="P220" s="2" t="str">
        <f>IF($A220="","",SUMIFS(Trade_Reports!$U$3:$U$502,Trade_Reports!$H$3:$H$502,$A220,Trade_Reports!$M$3:$M$502,"APPROVED",Trade_Reports!$Q$3:$Q$502,"&lt;="&amp;Settings!$B$4))</f>
        <v/>
      </c>
      <c r="Q220" s="2" t="str">
        <f>IF($A220="","",SUMIFS(Trade_Reports!$U$3:$U$502,Trade_Reports!$H$3:$H$502,$A220,Trade_Reports!$M$3:$M$502,"APPROVED",Trade_Reports!$Q$3:$Q$502,"&lt;="&amp;Settings!$B$5))</f>
        <v/>
      </c>
      <c r="R220" s="2" t="str">
        <f>IF($A220="","",IF($Q220=0,"",IFERROR(_xludf.MINIFS(Trade_Reports!$I$3:$I$502,Trade_Reports!$H$3:$H$502,$A220,Trade_Reports!$M$3:$M$502,"APPROVED",Trade_Reports!$Q$3:$Q$502,"&lt;="&amp;Settings!$B$5,Trade_Reports!$X$3:$X$502,"&gt;="&amp;0.5*$Q220),"")))</f>
        <v/>
      </c>
      <c r="S220" s="2" t="str">
        <f>IF($A220="","",COUNTIFS(Trade_Reports!$H$3:$H$502,$A220,Trade_Reports!$M$3:$M$502,"APPROVED",Trade_Reports!$Q$3:$Q$502,"&lt;="&amp;Settings!$B$5))</f>
        <v/>
      </c>
      <c r="T220" s="2"/>
      <c r="U220" s="2"/>
      <c r="V220" s="21" t="str">
        <f>IF(OR($A220="",ISERROR(SEARCH("_",$A220))),"",IFERROR(SUMIFS(Trade_Reports!$Z$3:$Z$502,Trade_Reports!$H$3:$H$502,$A220,Trade_Reports!$M$3:$M$502,"APPROVED")/SUMIFS(Trade_Reports!$U$3:$U$502,Trade_Reports!$H$3:$H$502,$A220,Trade_Reports!$M$3:$M$502,"APPROVED"),""))</f>
        <v/>
      </c>
      <c r="W220" s="17" t="str">
        <f t="shared" si="1"/>
        <v/>
      </c>
      <c r="X220" s="2"/>
      <c r="Y220" s="2"/>
      <c r="Z220" s="2"/>
    </row>
    <row r="221" spans="1:26" ht="15.75" customHeight="1" x14ac:dyDescent="0.3">
      <c r="A221" s="15"/>
      <c r="B221" s="15"/>
      <c r="C221" s="16"/>
      <c r="D221" s="16"/>
      <c r="E221" s="16"/>
      <c r="F221" s="17" t="str">
        <f>IF($A221="","",IF($K221&lt;Settings!$B$14,"",IF($P221=0,"",IFERROR(_xludf.MINIFS(Trade_Reports!$I$3:$I$502,Trade_Reports!$H$3:$H$502,$A221,Trade_Reports!$M$3:$M$502,"APPROVED",Trade_Reports!$Q$3:$Q$502,"&lt;="&amp;Settings!$B$4,Trade_Reports!$W$3:$W$502,"&gt;="&amp;0.5*$P221),""))))</f>
        <v/>
      </c>
      <c r="G221" s="17" t="str">
        <f>IF($A221="","",IF($K221=0,"",IFERROR(_xludf.MINIFS(Trade_Reports!$I$3:$I$502,Trade_Reports!$H$3:$H$502,$A221,Trade_Reports!$M$3:$M$502,"APPROVED",Trade_Reports!$Q$3:$Q$502,"&lt;="&amp;Settings!$B$4),"")))</f>
        <v/>
      </c>
      <c r="H221" s="17" t="str">
        <f>IF($A221="","",IF($K221=0,"",IFERROR(_xludf.MAXIFS(Trade_Reports!$I$3:$I$502,Trade_Reports!$H$3:$H$502,$A221,Trade_Reports!$M$3:$M$502,"APPROVED",Trade_Reports!$Q$3:$Q$502,"&lt;="&amp;Settings!$B$4),"")))</f>
        <v/>
      </c>
      <c r="I221" s="17" t="str">
        <f>IF($A221="","",IF($F221="","",IF($Q221="","",IF(ABS($F221-$Q221)/$Q221&lt;=Settings!$B$18,"STABLE",IF($F221&gt;$Q221,"UP","DOWN")))))</f>
        <v/>
      </c>
      <c r="J221" s="18" t="str">
        <f>IF($A221="","",IF($K221=0,"",MIN(100,ROUND($K221/Settings!$B$14*100,0))))</f>
        <v/>
      </c>
      <c r="K221" s="17" t="str">
        <f>IF($A221="","",COUNTIFS(Trade_Reports!$H$3:$H$502,$A221,Trade_Reports!$M$3:$M$502,"APPROVED",Trade_Reports!$Q$3:$Q$502,"&lt;="&amp;Settings!$B$4))</f>
        <v/>
      </c>
      <c r="L221" s="19" t="str">
        <f>IF($A221="","",IF($K221=0,"",IFERROR(_xludf.MAXIFS(Trade_Reports!$O$3:$O$502,Trade_Reports!$H$3:$H$502,$A221,Trade_Reports!$M$3:$M$502,"APPROVED"),"")))</f>
        <v/>
      </c>
      <c r="M221" s="16" t="s">
        <v>46</v>
      </c>
      <c r="N221" s="15"/>
      <c r="O221" s="9" t="str">
        <f t="shared" si="0"/>
        <v/>
      </c>
      <c r="P221" s="2" t="str">
        <f>IF($A221="","",SUMIFS(Trade_Reports!$U$3:$U$502,Trade_Reports!$H$3:$H$502,$A221,Trade_Reports!$M$3:$M$502,"APPROVED",Trade_Reports!$Q$3:$Q$502,"&lt;="&amp;Settings!$B$4))</f>
        <v/>
      </c>
      <c r="Q221" s="2" t="str">
        <f>IF($A221="","",SUMIFS(Trade_Reports!$U$3:$U$502,Trade_Reports!$H$3:$H$502,$A221,Trade_Reports!$M$3:$M$502,"APPROVED",Trade_Reports!$Q$3:$Q$502,"&lt;="&amp;Settings!$B$5))</f>
        <v/>
      </c>
      <c r="R221" s="2" t="str">
        <f>IF($A221="","",IF($Q221=0,"",IFERROR(_xludf.MINIFS(Trade_Reports!$I$3:$I$502,Trade_Reports!$H$3:$H$502,$A221,Trade_Reports!$M$3:$M$502,"APPROVED",Trade_Reports!$Q$3:$Q$502,"&lt;="&amp;Settings!$B$5,Trade_Reports!$X$3:$X$502,"&gt;="&amp;0.5*$Q221),"")))</f>
        <v/>
      </c>
      <c r="S221" s="2" t="str">
        <f>IF($A221="","",COUNTIFS(Trade_Reports!$H$3:$H$502,$A221,Trade_Reports!$M$3:$M$502,"APPROVED",Trade_Reports!$Q$3:$Q$502,"&lt;="&amp;Settings!$B$5))</f>
        <v/>
      </c>
      <c r="T221" s="2"/>
      <c r="U221" s="2"/>
      <c r="V221" s="21" t="str">
        <f>IF(OR($A221="",ISERROR(SEARCH("_",$A221))),"",IFERROR(SUMIFS(Trade_Reports!$Z$3:$Z$502,Trade_Reports!$H$3:$H$502,$A221,Trade_Reports!$M$3:$M$502,"APPROVED")/SUMIFS(Trade_Reports!$U$3:$U$502,Trade_Reports!$H$3:$H$502,$A221,Trade_Reports!$M$3:$M$502,"APPROVED"),""))</f>
        <v/>
      </c>
      <c r="W221" s="17" t="str">
        <f t="shared" si="1"/>
        <v/>
      </c>
      <c r="X221" s="2"/>
      <c r="Y221" s="2"/>
      <c r="Z221" s="2"/>
    </row>
    <row r="222" spans="1:26" ht="15.75" customHeight="1" x14ac:dyDescent="0.3">
      <c r="A222" s="15"/>
      <c r="B222" s="15"/>
      <c r="C222" s="16"/>
      <c r="D222" s="16"/>
      <c r="E222" s="16"/>
      <c r="F222" s="17" t="str">
        <f>IF($A222="","",IF($K222&lt;Settings!$B$14,"",IF($P222=0,"",IFERROR(_xludf.MINIFS(Trade_Reports!$I$3:$I$502,Trade_Reports!$H$3:$H$502,$A222,Trade_Reports!$M$3:$M$502,"APPROVED",Trade_Reports!$Q$3:$Q$502,"&lt;="&amp;Settings!$B$4,Trade_Reports!$W$3:$W$502,"&gt;="&amp;0.5*$P222),""))))</f>
        <v/>
      </c>
      <c r="G222" s="17" t="str">
        <f>IF($A222="","",IF($K222=0,"",IFERROR(_xludf.MINIFS(Trade_Reports!$I$3:$I$502,Trade_Reports!$H$3:$H$502,$A222,Trade_Reports!$M$3:$M$502,"APPROVED",Trade_Reports!$Q$3:$Q$502,"&lt;="&amp;Settings!$B$4),"")))</f>
        <v/>
      </c>
      <c r="H222" s="17" t="str">
        <f>IF($A222="","",IF($K222=0,"",IFERROR(_xludf.MAXIFS(Trade_Reports!$I$3:$I$502,Trade_Reports!$H$3:$H$502,$A222,Trade_Reports!$M$3:$M$502,"APPROVED",Trade_Reports!$Q$3:$Q$502,"&lt;="&amp;Settings!$B$4),"")))</f>
        <v/>
      </c>
      <c r="I222" s="17" t="str">
        <f>IF($A222="","",IF($F222="","",IF($Q222="","",IF(ABS($F222-$Q222)/$Q222&lt;=Settings!$B$18,"STABLE",IF($F222&gt;$Q222,"UP","DOWN")))))</f>
        <v/>
      </c>
      <c r="J222" s="18" t="str">
        <f>IF($A222="","",IF($K222=0,"",MIN(100,ROUND($K222/Settings!$B$14*100,0))))</f>
        <v/>
      </c>
      <c r="K222" s="17" t="str">
        <f>IF($A222="","",COUNTIFS(Trade_Reports!$H$3:$H$502,$A222,Trade_Reports!$M$3:$M$502,"APPROVED",Trade_Reports!$Q$3:$Q$502,"&lt;="&amp;Settings!$B$4))</f>
        <v/>
      </c>
      <c r="L222" s="19" t="str">
        <f>IF($A222="","",IF($K222=0,"",IFERROR(_xludf.MAXIFS(Trade_Reports!$O$3:$O$502,Trade_Reports!$H$3:$H$502,$A222,Trade_Reports!$M$3:$M$502,"APPROVED"),"")))</f>
        <v/>
      </c>
      <c r="M222" s="16" t="s">
        <v>46</v>
      </c>
      <c r="N222" s="15"/>
      <c r="O222" s="9" t="str">
        <f t="shared" si="0"/>
        <v/>
      </c>
      <c r="P222" s="2" t="str">
        <f>IF($A222="","",SUMIFS(Trade_Reports!$U$3:$U$502,Trade_Reports!$H$3:$H$502,$A222,Trade_Reports!$M$3:$M$502,"APPROVED",Trade_Reports!$Q$3:$Q$502,"&lt;="&amp;Settings!$B$4))</f>
        <v/>
      </c>
      <c r="Q222" s="2" t="str">
        <f>IF($A222="","",SUMIFS(Trade_Reports!$U$3:$U$502,Trade_Reports!$H$3:$H$502,$A222,Trade_Reports!$M$3:$M$502,"APPROVED",Trade_Reports!$Q$3:$Q$502,"&lt;="&amp;Settings!$B$5))</f>
        <v/>
      </c>
      <c r="R222" s="2" t="str">
        <f>IF($A222="","",IF($Q222=0,"",IFERROR(_xludf.MINIFS(Trade_Reports!$I$3:$I$502,Trade_Reports!$H$3:$H$502,$A222,Trade_Reports!$M$3:$M$502,"APPROVED",Trade_Reports!$Q$3:$Q$502,"&lt;="&amp;Settings!$B$5,Trade_Reports!$X$3:$X$502,"&gt;="&amp;0.5*$Q222),"")))</f>
        <v/>
      </c>
      <c r="S222" s="2" t="str">
        <f>IF($A222="","",COUNTIFS(Trade_Reports!$H$3:$H$502,$A222,Trade_Reports!$M$3:$M$502,"APPROVED",Trade_Reports!$Q$3:$Q$502,"&lt;="&amp;Settings!$B$5))</f>
        <v/>
      </c>
      <c r="T222" s="2"/>
      <c r="U222" s="2"/>
      <c r="V222" s="21" t="str">
        <f>IF(OR($A222="",ISERROR(SEARCH("_",$A222))),"",IFERROR(SUMIFS(Trade_Reports!$Z$3:$Z$502,Trade_Reports!$H$3:$H$502,$A222,Trade_Reports!$M$3:$M$502,"APPROVED")/SUMIFS(Trade_Reports!$U$3:$U$502,Trade_Reports!$H$3:$H$502,$A222,Trade_Reports!$M$3:$M$502,"APPROVED"),""))</f>
        <v/>
      </c>
      <c r="W222" s="17" t="str">
        <f t="shared" si="1"/>
        <v/>
      </c>
      <c r="X222" s="2"/>
      <c r="Y222" s="2"/>
      <c r="Z222" s="2"/>
    </row>
    <row r="223" spans="1:26" ht="15.75" customHeight="1" x14ac:dyDescent="0.3">
      <c r="A223" s="15"/>
      <c r="B223" s="15"/>
      <c r="C223" s="16"/>
      <c r="D223" s="16"/>
      <c r="E223" s="16"/>
      <c r="F223" s="17" t="str">
        <f>IF($A223="","",IF($K223&lt;Settings!$B$14,"",IF($P223=0,"",IFERROR(_xludf.MINIFS(Trade_Reports!$I$3:$I$502,Trade_Reports!$H$3:$H$502,$A223,Trade_Reports!$M$3:$M$502,"APPROVED",Trade_Reports!$Q$3:$Q$502,"&lt;="&amp;Settings!$B$4,Trade_Reports!$W$3:$W$502,"&gt;="&amp;0.5*$P223),""))))</f>
        <v/>
      </c>
      <c r="G223" s="17" t="str">
        <f>IF($A223="","",IF($K223=0,"",IFERROR(_xludf.MINIFS(Trade_Reports!$I$3:$I$502,Trade_Reports!$H$3:$H$502,$A223,Trade_Reports!$M$3:$M$502,"APPROVED",Trade_Reports!$Q$3:$Q$502,"&lt;="&amp;Settings!$B$4),"")))</f>
        <v/>
      </c>
      <c r="H223" s="17" t="str">
        <f>IF($A223="","",IF($K223=0,"",IFERROR(_xludf.MAXIFS(Trade_Reports!$I$3:$I$502,Trade_Reports!$H$3:$H$502,$A223,Trade_Reports!$M$3:$M$502,"APPROVED",Trade_Reports!$Q$3:$Q$502,"&lt;="&amp;Settings!$B$4),"")))</f>
        <v/>
      </c>
      <c r="I223" s="17" t="str">
        <f>IF($A223="","",IF($F223="","",IF($Q223="","",IF(ABS($F223-$Q223)/$Q223&lt;=Settings!$B$18,"STABLE",IF($F223&gt;$Q223,"UP","DOWN")))))</f>
        <v/>
      </c>
      <c r="J223" s="18" t="str">
        <f>IF($A223="","",IF($K223=0,"",MIN(100,ROUND($K223/Settings!$B$14*100,0))))</f>
        <v/>
      </c>
      <c r="K223" s="17" t="str">
        <f>IF($A223="","",COUNTIFS(Trade_Reports!$H$3:$H$502,$A223,Trade_Reports!$M$3:$M$502,"APPROVED",Trade_Reports!$Q$3:$Q$502,"&lt;="&amp;Settings!$B$4))</f>
        <v/>
      </c>
      <c r="L223" s="19" t="str">
        <f>IF($A223="","",IF($K223=0,"",IFERROR(_xludf.MAXIFS(Trade_Reports!$O$3:$O$502,Trade_Reports!$H$3:$H$502,$A223,Trade_Reports!$M$3:$M$502,"APPROVED"),"")))</f>
        <v/>
      </c>
      <c r="M223" s="16" t="s">
        <v>46</v>
      </c>
      <c r="N223" s="15"/>
      <c r="O223" s="9" t="str">
        <f t="shared" si="0"/>
        <v/>
      </c>
      <c r="P223" s="2" t="str">
        <f>IF($A223="","",SUMIFS(Trade_Reports!$U$3:$U$502,Trade_Reports!$H$3:$H$502,$A223,Trade_Reports!$M$3:$M$502,"APPROVED",Trade_Reports!$Q$3:$Q$502,"&lt;="&amp;Settings!$B$4))</f>
        <v/>
      </c>
      <c r="Q223" s="2" t="str">
        <f>IF($A223="","",SUMIFS(Trade_Reports!$U$3:$U$502,Trade_Reports!$H$3:$H$502,$A223,Trade_Reports!$M$3:$M$502,"APPROVED",Trade_Reports!$Q$3:$Q$502,"&lt;="&amp;Settings!$B$5))</f>
        <v/>
      </c>
      <c r="R223" s="2" t="str">
        <f>IF($A223="","",IF($Q223=0,"",IFERROR(_xludf.MINIFS(Trade_Reports!$I$3:$I$502,Trade_Reports!$H$3:$H$502,$A223,Trade_Reports!$M$3:$M$502,"APPROVED",Trade_Reports!$Q$3:$Q$502,"&lt;="&amp;Settings!$B$5,Trade_Reports!$X$3:$X$502,"&gt;="&amp;0.5*$Q223),"")))</f>
        <v/>
      </c>
      <c r="S223" s="2" t="str">
        <f>IF($A223="","",COUNTIFS(Trade_Reports!$H$3:$H$502,$A223,Trade_Reports!$M$3:$M$502,"APPROVED",Trade_Reports!$Q$3:$Q$502,"&lt;="&amp;Settings!$B$5))</f>
        <v/>
      </c>
      <c r="T223" s="2"/>
      <c r="U223" s="2"/>
      <c r="V223" s="21" t="str">
        <f>IF(OR($A223="",ISERROR(SEARCH("_",$A223))),"",IFERROR(SUMIFS(Trade_Reports!$Z$3:$Z$502,Trade_Reports!$H$3:$H$502,$A223,Trade_Reports!$M$3:$M$502,"APPROVED")/SUMIFS(Trade_Reports!$U$3:$U$502,Trade_Reports!$H$3:$H$502,$A223,Trade_Reports!$M$3:$M$502,"APPROVED"),""))</f>
        <v/>
      </c>
      <c r="W223" s="17" t="str">
        <f t="shared" si="1"/>
        <v/>
      </c>
      <c r="X223" s="2"/>
      <c r="Y223" s="2"/>
      <c r="Z223" s="2"/>
    </row>
    <row r="224" spans="1:26" ht="15.75" customHeight="1" x14ac:dyDescent="0.3">
      <c r="A224" s="15"/>
      <c r="B224" s="15"/>
      <c r="C224" s="16"/>
      <c r="D224" s="16"/>
      <c r="E224" s="16"/>
      <c r="F224" s="17" t="str">
        <f>IF($A224="","",IF($K224&lt;Settings!$B$14,"",IF($P224=0,"",IFERROR(_xludf.MINIFS(Trade_Reports!$I$3:$I$502,Trade_Reports!$H$3:$H$502,$A224,Trade_Reports!$M$3:$M$502,"APPROVED",Trade_Reports!$Q$3:$Q$502,"&lt;="&amp;Settings!$B$4,Trade_Reports!$W$3:$W$502,"&gt;="&amp;0.5*$P224),""))))</f>
        <v/>
      </c>
      <c r="G224" s="17" t="str">
        <f>IF($A224="","",IF($K224=0,"",IFERROR(_xludf.MINIFS(Trade_Reports!$I$3:$I$502,Trade_Reports!$H$3:$H$502,$A224,Trade_Reports!$M$3:$M$502,"APPROVED",Trade_Reports!$Q$3:$Q$502,"&lt;="&amp;Settings!$B$4),"")))</f>
        <v/>
      </c>
      <c r="H224" s="17" t="str">
        <f>IF($A224="","",IF($K224=0,"",IFERROR(_xludf.MAXIFS(Trade_Reports!$I$3:$I$502,Trade_Reports!$H$3:$H$502,$A224,Trade_Reports!$M$3:$M$502,"APPROVED",Trade_Reports!$Q$3:$Q$502,"&lt;="&amp;Settings!$B$4),"")))</f>
        <v/>
      </c>
      <c r="I224" s="17" t="str">
        <f>IF($A224="","",IF($F224="","",IF($Q224="","",IF(ABS($F224-$Q224)/$Q224&lt;=Settings!$B$18,"STABLE",IF($F224&gt;$Q224,"UP","DOWN")))))</f>
        <v/>
      </c>
      <c r="J224" s="18" t="str">
        <f>IF($A224="","",IF($K224=0,"",MIN(100,ROUND($K224/Settings!$B$14*100,0))))</f>
        <v/>
      </c>
      <c r="K224" s="17" t="str">
        <f>IF($A224="","",COUNTIFS(Trade_Reports!$H$3:$H$502,$A224,Trade_Reports!$M$3:$M$502,"APPROVED",Trade_Reports!$Q$3:$Q$502,"&lt;="&amp;Settings!$B$4))</f>
        <v/>
      </c>
      <c r="L224" s="19" t="str">
        <f>IF($A224="","",IF($K224=0,"",IFERROR(_xludf.MAXIFS(Trade_Reports!$O$3:$O$502,Trade_Reports!$H$3:$H$502,$A224,Trade_Reports!$M$3:$M$502,"APPROVED"),"")))</f>
        <v/>
      </c>
      <c r="M224" s="16" t="s">
        <v>46</v>
      </c>
      <c r="N224" s="15"/>
      <c r="O224" s="9" t="str">
        <f t="shared" si="0"/>
        <v/>
      </c>
      <c r="P224" s="2" t="str">
        <f>IF($A224="","",SUMIFS(Trade_Reports!$U$3:$U$502,Trade_Reports!$H$3:$H$502,$A224,Trade_Reports!$M$3:$M$502,"APPROVED",Trade_Reports!$Q$3:$Q$502,"&lt;="&amp;Settings!$B$4))</f>
        <v/>
      </c>
      <c r="Q224" s="2" t="str">
        <f>IF($A224="","",SUMIFS(Trade_Reports!$U$3:$U$502,Trade_Reports!$H$3:$H$502,$A224,Trade_Reports!$M$3:$M$502,"APPROVED",Trade_Reports!$Q$3:$Q$502,"&lt;="&amp;Settings!$B$5))</f>
        <v/>
      </c>
      <c r="R224" s="2" t="str">
        <f>IF($A224="","",IF($Q224=0,"",IFERROR(_xludf.MINIFS(Trade_Reports!$I$3:$I$502,Trade_Reports!$H$3:$H$502,$A224,Trade_Reports!$M$3:$M$502,"APPROVED",Trade_Reports!$Q$3:$Q$502,"&lt;="&amp;Settings!$B$5,Trade_Reports!$X$3:$X$502,"&gt;="&amp;0.5*$Q224),"")))</f>
        <v/>
      </c>
      <c r="S224" s="2" t="str">
        <f>IF($A224="","",COUNTIFS(Trade_Reports!$H$3:$H$502,$A224,Trade_Reports!$M$3:$M$502,"APPROVED",Trade_Reports!$Q$3:$Q$502,"&lt;="&amp;Settings!$B$5))</f>
        <v/>
      </c>
      <c r="T224" s="2"/>
      <c r="U224" s="2"/>
      <c r="V224" s="21" t="str">
        <f>IF(OR($A224="",ISERROR(SEARCH("_",$A224))),"",IFERROR(SUMIFS(Trade_Reports!$Z$3:$Z$502,Trade_Reports!$H$3:$H$502,$A224,Trade_Reports!$M$3:$M$502,"APPROVED")/SUMIFS(Trade_Reports!$U$3:$U$502,Trade_Reports!$H$3:$H$502,$A224,Trade_Reports!$M$3:$M$502,"APPROVED"),""))</f>
        <v/>
      </c>
      <c r="W224" s="17" t="str">
        <f t="shared" si="1"/>
        <v/>
      </c>
      <c r="X224" s="2"/>
      <c r="Y224" s="2"/>
      <c r="Z224" s="2"/>
    </row>
    <row r="225" spans="1:26" ht="15.75" customHeight="1" x14ac:dyDescent="0.3">
      <c r="A225" s="15"/>
      <c r="B225" s="15"/>
      <c r="C225" s="16"/>
      <c r="D225" s="16"/>
      <c r="E225" s="16"/>
      <c r="F225" s="17" t="str">
        <f>IF($A225="","",IF($K225&lt;Settings!$B$14,"",IF($P225=0,"",IFERROR(_xludf.MINIFS(Trade_Reports!$I$3:$I$502,Trade_Reports!$H$3:$H$502,$A225,Trade_Reports!$M$3:$M$502,"APPROVED",Trade_Reports!$Q$3:$Q$502,"&lt;="&amp;Settings!$B$4,Trade_Reports!$W$3:$W$502,"&gt;="&amp;0.5*$P225),""))))</f>
        <v/>
      </c>
      <c r="G225" s="17" t="str">
        <f>IF($A225="","",IF($K225=0,"",IFERROR(_xludf.MINIFS(Trade_Reports!$I$3:$I$502,Trade_Reports!$H$3:$H$502,$A225,Trade_Reports!$M$3:$M$502,"APPROVED",Trade_Reports!$Q$3:$Q$502,"&lt;="&amp;Settings!$B$4),"")))</f>
        <v/>
      </c>
      <c r="H225" s="17" t="str">
        <f>IF($A225="","",IF($K225=0,"",IFERROR(_xludf.MAXIFS(Trade_Reports!$I$3:$I$502,Trade_Reports!$H$3:$H$502,$A225,Trade_Reports!$M$3:$M$502,"APPROVED",Trade_Reports!$Q$3:$Q$502,"&lt;="&amp;Settings!$B$4),"")))</f>
        <v/>
      </c>
      <c r="I225" s="17" t="str">
        <f>IF($A225="","",IF($F225="","",IF($Q225="","",IF(ABS($F225-$Q225)/$Q225&lt;=Settings!$B$18,"STABLE",IF($F225&gt;$Q225,"UP","DOWN")))))</f>
        <v/>
      </c>
      <c r="J225" s="18" t="str">
        <f>IF($A225="","",IF($K225=0,"",MIN(100,ROUND($K225/Settings!$B$14*100,0))))</f>
        <v/>
      </c>
      <c r="K225" s="17" t="str">
        <f>IF($A225="","",COUNTIFS(Trade_Reports!$H$3:$H$502,$A225,Trade_Reports!$M$3:$M$502,"APPROVED",Trade_Reports!$Q$3:$Q$502,"&lt;="&amp;Settings!$B$4))</f>
        <v/>
      </c>
      <c r="L225" s="19" t="str">
        <f>IF($A225="","",IF($K225=0,"",IFERROR(_xludf.MAXIFS(Trade_Reports!$O$3:$O$502,Trade_Reports!$H$3:$H$502,$A225,Trade_Reports!$M$3:$M$502,"APPROVED"),"")))</f>
        <v/>
      </c>
      <c r="M225" s="16" t="s">
        <v>46</v>
      </c>
      <c r="N225" s="15"/>
      <c r="O225" s="9" t="str">
        <f t="shared" si="0"/>
        <v/>
      </c>
      <c r="P225" s="2" t="str">
        <f>IF($A225="","",SUMIFS(Trade_Reports!$U$3:$U$502,Trade_Reports!$H$3:$H$502,$A225,Trade_Reports!$M$3:$M$502,"APPROVED",Trade_Reports!$Q$3:$Q$502,"&lt;="&amp;Settings!$B$4))</f>
        <v/>
      </c>
      <c r="Q225" s="2" t="str">
        <f>IF($A225="","",SUMIFS(Trade_Reports!$U$3:$U$502,Trade_Reports!$H$3:$H$502,$A225,Trade_Reports!$M$3:$M$502,"APPROVED",Trade_Reports!$Q$3:$Q$502,"&lt;="&amp;Settings!$B$5))</f>
        <v/>
      </c>
      <c r="R225" s="2" t="str">
        <f>IF($A225="","",IF($Q225=0,"",IFERROR(_xludf.MINIFS(Trade_Reports!$I$3:$I$502,Trade_Reports!$H$3:$H$502,$A225,Trade_Reports!$M$3:$M$502,"APPROVED",Trade_Reports!$Q$3:$Q$502,"&lt;="&amp;Settings!$B$5,Trade_Reports!$X$3:$X$502,"&gt;="&amp;0.5*$Q225),"")))</f>
        <v/>
      </c>
      <c r="S225" s="2" t="str">
        <f>IF($A225="","",COUNTIFS(Trade_Reports!$H$3:$H$502,$A225,Trade_Reports!$M$3:$M$502,"APPROVED",Trade_Reports!$Q$3:$Q$502,"&lt;="&amp;Settings!$B$5))</f>
        <v/>
      </c>
      <c r="T225" s="2"/>
      <c r="U225" s="2"/>
      <c r="V225" s="21" t="str">
        <f>IF(OR($A225="",ISERROR(SEARCH("_",$A225))),"",IFERROR(SUMIFS(Trade_Reports!$Z$3:$Z$502,Trade_Reports!$H$3:$H$502,$A225,Trade_Reports!$M$3:$M$502,"APPROVED")/SUMIFS(Trade_Reports!$U$3:$U$502,Trade_Reports!$H$3:$H$502,$A225,Trade_Reports!$M$3:$M$502,"APPROVED"),""))</f>
        <v/>
      </c>
      <c r="W225" s="17" t="str">
        <f t="shared" si="1"/>
        <v/>
      </c>
      <c r="X225" s="2"/>
      <c r="Y225" s="2"/>
      <c r="Z225" s="2"/>
    </row>
    <row r="226" spans="1:26" ht="15.75" customHeight="1" x14ac:dyDescent="0.3">
      <c r="A226" s="15"/>
      <c r="B226" s="15"/>
      <c r="C226" s="16"/>
      <c r="D226" s="16"/>
      <c r="E226" s="16"/>
      <c r="F226" s="17" t="str">
        <f>IF($A226="","",IF($K226&lt;Settings!$B$14,"",IF($P226=0,"",IFERROR(_xludf.MINIFS(Trade_Reports!$I$3:$I$502,Trade_Reports!$H$3:$H$502,$A226,Trade_Reports!$M$3:$M$502,"APPROVED",Trade_Reports!$Q$3:$Q$502,"&lt;="&amp;Settings!$B$4,Trade_Reports!$W$3:$W$502,"&gt;="&amp;0.5*$P226),""))))</f>
        <v/>
      </c>
      <c r="G226" s="17" t="str">
        <f>IF($A226="","",IF($K226=0,"",IFERROR(_xludf.MINIFS(Trade_Reports!$I$3:$I$502,Trade_Reports!$H$3:$H$502,$A226,Trade_Reports!$M$3:$M$502,"APPROVED",Trade_Reports!$Q$3:$Q$502,"&lt;="&amp;Settings!$B$4),"")))</f>
        <v/>
      </c>
      <c r="H226" s="17" t="str">
        <f>IF($A226="","",IF($K226=0,"",IFERROR(_xludf.MAXIFS(Trade_Reports!$I$3:$I$502,Trade_Reports!$H$3:$H$502,$A226,Trade_Reports!$M$3:$M$502,"APPROVED",Trade_Reports!$Q$3:$Q$502,"&lt;="&amp;Settings!$B$4),"")))</f>
        <v/>
      </c>
      <c r="I226" s="17" t="str">
        <f>IF($A226="","",IF($F226="","",IF($Q226="","",IF(ABS($F226-$Q226)/$Q226&lt;=Settings!$B$18,"STABLE",IF($F226&gt;$Q226,"UP","DOWN")))))</f>
        <v/>
      </c>
      <c r="J226" s="18" t="str">
        <f>IF($A226="","",IF($K226=0,"",MIN(100,ROUND($K226/Settings!$B$14*100,0))))</f>
        <v/>
      </c>
      <c r="K226" s="17" t="str">
        <f>IF($A226="","",COUNTIFS(Trade_Reports!$H$3:$H$502,$A226,Trade_Reports!$M$3:$M$502,"APPROVED",Trade_Reports!$Q$3:$Q$502,"&lt;="&amp;Settings!$B$4))</f>
        <v/>
      </c>
      <c r="L226" s="19" t="str">
        <f>IF($A226="","",IF($K226=0,"",IFERROR(_xludf.MAXIFS(Trade_Reports!$O$3:$O$502,Trade_Reports!$H$3:$H$502,$A226,Trade_Reports!$M$3:$M$502,"APPROVED"),"")))</f>
        <v/>
      </c>
      <c r="M226" s="16" t="s">
        <v>46</v>
      </c>
      <c r="N226" s="15"/>
      <c r="O226" s="9" t="str">
        <f t="shared" si="0"/>
        <v/>
      </c>
      <c r="P226" s="2" t="str">
        <f>IF($A226="","",SUMIFS(Trade_Reports!$U$3:$U$502,Trade_Reports!$H$3:$H$502,$A226,Trade_Reports!$M$3:$M$502,"APPROVED",Trade_Reports!$Q$3:$Q$502,"&lt;="&amp;Settings!$B$4))</f>
        <v/>
      </c>
      <c r="Q226" s="2" t="str">
        <f>IF($A226="","",SUMIFS(Trade_Reports!$U$3:$U$502,Trade_Reports!$H$3:$H$502,$A226,Trade_Reports!$M$3:$M$502,"APPROVED",Trade_Reports!$Q$3:$Q$502,"&lt;="&amp;Settings!$B$5))</f>
        <v/>
      </c>
      <c r="R226" s="2" t="str">
        <f>IF($A226="","",IF($Q226=0,"",IFERROR(_xludf.MINIFS(Trade_Reports!$I$3:$I$502,Trade_Reports!$H$3:$H$502,$A226,Trade_Reports!$M$3:$M$502,"APPROVED",Trade_Reports!$Q$3:$Q$502,"&lt;="&amp;Settings!$B$5,Trade_Reports!$X$3:$X$502,"&gt;="&amp;0.5*$Q226),"")))</f>
        <v/>
      </c>
      <c r="S226" s="2" t="str">
        <f>IF($A226="","",COUNTIFS(Trade_Reports!$H$3:$H$502,$A226,Trade_Reports!$M$3:$M$502,"APPROVED",Trade_Reports!$Q$3:$Q$502,"&lt;="&amp;Settings!$B$5))</f>
        <v/>
      </c>
      <c r="T226" s="2"/>
      <c r="U226" s="2"/>
      <c r="V226" s="21" t="str">
        <f>IF(OR($A226="",ISERROR(SEARCH("_",$A226))),"",IFERROR(SUMIFS(Trade_Reports!$Z$3:$Z$502,Trade_Reports!$H$3:$H$502,$A226,Trade_Reports!$M$3:$M$502,"APPROVED")/SUMIFS(Trade_Reports!$U$3:$U$502,Trade_Reports!$H$3:$H$502,$A226,Trade_Reports!$M$3:$M$502,"APPROVED"),""))</f>
        <v/>
      </c>
      <c r="W226" s="17" t="str">
        <f t="shared" si="1"/>
        <v/>
      </c>
      <c r="X226" s="2"/>
      <c r="Y226" s="2"/>
      <c r="Z226" s="2"/>
    </row>
    <row r="227" spans="1:26" ht="15.75" customHeight="1" x14ac:dyDescent="0.3">
      <c r="A227" s="15"/>
      <c r="B227" s="15"/>
      <c r="C227" s="16"/>
      <c r="D227" s="16"/>
      <c r="E227" s="16"/>
      <c r="F227" s="17" t="str">
        <f>IF($A227="","",IF($K227&lt;Settings!$B$14,"",IF($P227=0,"",IFERROR(_xludf.MINIFS(Trade_Reports!$I$3:$I$502,Trade_Reports!$H$3:$H$502,$A227,Trade_Reports!$M$3:$M$502,"APPROVED",Trade_Reports!$Q$3:$Q$502,"&lt;="&amp;Settings!$B$4,Trade_Reports!$W$3:$W$502,"&gt;="&amp;0.5*$P227),""))))</f>
        <v/>
      </c>
      <c r="G227" s="17" t="str">
        <f>IF($A227="","",IF($K227=0,"",IFERROR(_xludf.MINIFS(Trade_Reports!$I$3:$I$502,Trade_Reports!$H$3:$H$502,$A227,Trade_Reports!$M$3:$M$502,"APPROVED",Trade_Reports!$Q$3:$Q$502,"&lt;="&amp;Settings!$B$4),"")))</f>
        <v/>
      </c>
      <c r="H227" s="17" t="str">
        <f>IF($A227="","",IF($K227=0,"",IFERROR(_xludf.MAXIFS(Trade_Reports!$I$3:$I$502,Trade_Reports!$H$3:$H$502,$A227,Trade_Reports!$M$3:$M$502,"APPROVED",Trade_Reports!$Q$3:$Q$502,"&lt;="&amp;Settings!$B$4),"")))</f>
        <v/>
      </c>
      <c r="I227" s="17" t="str">
        <f>IF($A227="","",IF($F227="","",IF($Q227="","",IF(ABS($F227-$Q227)/$Q227&lt;=Settings!$B$18,"STABLE",IF($F227&gt;$Q227,"UP","DOWN")))))</f>
        <v/>
      </c>
      <c r="J227" s="18" t="str">
        <f>IF($A227="","",IF($K227=0,"",MIN(100,ROUND($K227/Settings!$B$14*100,0))))</f>
        <v/>
      </c>
      <c r="K227" s="17" t="str">
        <f>IF($A227="","",COUNTIFS(Trade_Reports!$H$3:$H$502,$A227,Trade_Reports!$M$3:$M$502,"APPROVED",Trade_Reports!$Q$3:$Q$502,"&lt;="&amp;Settings!$B$4))</f>
        <v/>
      </c>
      <c r="L227" s="19" t="str">
        <f>IF($A227="","",IF($K227=0,"",IFERROR(_xludf.MAXIFS(Trade_Reports!$O$3:$O$502,Trade_Reports!$H$3:$H$502,$A227,Trade_Reports!$M$3:$M$502,"APPROVED"),"")))</f>
        <v/>
      </c>
      <c r="M227" s="16" t="s">
        <v>46</v>
      </c>
      <c r="N227" s="15"/>
      <c r="O227" s="9" t="str">
        <f t="shared" si="0"/>
        <v/>
      </c>
      <c r="P227" s="2" t="str">
        <f>IF($A227="","",SUMIFS(Trade_Reports!$U$3:$U$502,Trade_Reports!$H$3:$H$502,$A227,Trade_Reports!$M$3:$M$502,"APPROVED",Trade_Reports!$Q$3:$Q$502,"&lt;="&amp;Settings!$B$4))</f>
        <v/>
      </c>
      <c r="Q227" s="2" t="str">
        <f>IF($A227="","",SUMIFS(Trade_Reports!$U$3:$U$502,Trade_Reports!$H$3:$H$502,$A227,Trade_Reports!$M$3:$M$502,"APPROVED",Trade_Reports!$Q$3:$Q$502,"&lt;="&amp;Settings!$B$5))</f>
        <v/>
      </c>
      <c r="R227" s="2" t="str">
        <f>IF($A227="","",IF($Q227=0,"",IFERROR(_xludf.MINIFS(Trade_Reports!$I$3:$I$502,Trade_Reports!$H$3:$H$502,$A227,Trade_Reports!$M$3:$M$502,"APPROVED",Trade_Reports!$Q$3:$Q$502,"&lt;="&amp;Settings!$B$5,Trade_Reports!$X$3:$X$502,"&gt;="&amp;0.5*$Q227),"")))</f>
        <v/>
      </c>
      <c r="S227" s="2" t="str">
        <f>IF($A227="","",COUNTIFS(Trade_Reports!$H$3:$H$502,$A227,Trade_Reports!$M$3:$M$502,"APPROVED",Trade_Reports!$Q$3:$Q$502,"&lt;="&amp;Settings!$B$5))</f>
        <v/>
      </c>
      <c r="T227" s="2"/>
      <c r="U227" s="2"/>
      <c r="V227" s="21" t="str">
        <f>IF(OR($A227="",ISERROR(SEARCH("_",$A227))),"",IFERROR(SUMIFS(Trade_Reports!$Z$3:$Z$502,Trade_Reports!$H$3:$H$502,$A227,Trade_Reports!$M$3:$M$502,"APPROVED")/SUMIFS(Trade_Reports!$U$3:$U$502,Trade_Reports!$H$3:$H$502,$A227,Trade_Reports!$M$3:$M$502,"APPROVED"),""))</f>
        <v/>
      </c>
      <c r="W227" s="17" t="str">
        <f t="shared" si="1"/>
        <v/>
      </c>
      <c r="X227" s="2"/>
      <c r="Y227" s="2"/>
      <c r="Z227" s="2"/>
    </row>
    <row r="228" spans="1:26" ht="15.75" customHeight="1" x14ac:dyDescent="0.3">
      <c r="A228" s="15"/>
      <c r="B228" s="15"/>
      <c r="C228" s="16"/>
      <c r="D228" s="16"/>
      <c r="E228" s="16"/>
      <c r="F228" s="17" t="str">
        <f>IF($A228="","",IF($K228&lt;Settings!$B$14,"",IF($P228=0,"",IFERROR(_xludf.MINIFS(Trade_Reports!$I$3:$I$502,Trade_Reports!$H$3:$H$502,$A228,Trade_Reports!$M$3:$M$502,"APPROVED",Trade_Reports!$Q$3:$Q$502,"&lt;="&amp;Settings!$B$4,Trade_Reports!$W$3:$W$502,"&gt;="&amp;0.5*$P228),""))))</f>
        <v/>
      </c>
      <c r="G228" s="17" t="str">
        <f>IF($A228="","",IF($K228=0,"",IFERROR(_xludf.MINIFS(Trade_Reports!$I$3:$I$502,Trade_Reports!$H$3:$H$502,$A228,Trade_Reports!$M$3:$M$502,"APPROVED",Trade_Reports!$Q$3:$Q$502,"&lt;="&amp;Settings!$B$4),"")))</f>
        <v/>
      </c>
      <c r="H228" s="17" t="str">
        <f>IF($A228="","",IF($K228=0,"",IFERROR(_xludf.MAXIFS(Trade_Reports!$I$3:$I$502,Trade_Reports!$H$3:$H$502,$A228,Trade_Reports!$M$3:$M$502,"APPROVED",Trade_Reports!$Q$3:$Q$502,"&lt;="&amp;Settings!$B$4),"")))</f>
        <v/>
      </c>
      <c r="I228" s="17" t="str">
        <f>IF($A228="","",IF($F228="","",IF($Q228="","",IF(ABS($F228-$Q228)/$Q228&lt;=Settings!$B$18,"STABLE",IF($F228&gt;$Q228,"UP","DOWN")))))</f>
        <v/>
      </c>
      <c r="J228" s="18" t="str">
        <f>IF($A228="","",IF($K228=0,"",MIN(100,ROUND($K228/Settings!$B$14*100,0))))</f>
        <v/>
      </c>
      <c r="K228" s="17" t="str">
        <f>IF($A228="","",COUNTIFS(Trade_Reports!$H$3:$H$502,$A228,Trade_Reports!$M$3:$M$502,"APPROVED",Trade_Reports!$Q$3:$Q$502,"&lt;="&amp;Settings!$B$4))</f>
        <v/>
      </c>
      <c r="L228" s="19" t="str">
        <f>IF($A228="","",IF($K228=0,"",IFERROR(_xludf.MAXIFS(Trade_Reports!$O$3:$O$502,Trade_Reports!$H$3:$H$502,$A228,Trade_Reports!$M$3:$M$502,"APPROVED"),"")))</f>
        <v/>
      </c>
      <c r="M228" s="16" t="s">
        <v>46</v>
      </c>
      <c r="N228" s="15"/>
      <c r="O228" s="9" t="str">
        <f t="shared" si="0"/>
        <v/>
      </c>
      <c r="P228" s="2" t="str">
        <f>IF($A228="","",SUMIFS(Trade_Reports!$U$3:$U$502,Trade_Reports!$H$3:$H$502,$A228,Trade_Reports!$M$3:$M$502,"APPROVED",Trade_Reports!$Q$3:$Q$502,"&lt;="&amp;Settings!$B$4))</f>
        <v/>
      </c>
      <c r="Q228" s="2" t="str">
        <f>IF($A228="","",SUMIFS(Trade_Reports!$U$3:$U$502,Trade_Reports!$H$3:$H$502,$A228,Trade_Reports!$M$3:$M$502,"APPROVED",Trade_Reports!$Q$3:$Q$502,"&lt;="&amp;Settings!$B$5))</f>
        <v/>
      </c>
      <c r="R228" s="2" t="str">
        <f>IF($A228="","",IF($Q228=0,"",IFERROR(_xludf.MINIFS(Trade_Reports!$I$3:$I$502,Trade_Reports!$H$3:$H$502,$A228,Trade_Reports!$M$3:$M$502,"APPROVED",Trade_Reports!$Q$3:$Q$502,"&lt;="&amp;Settings!$B$5,Trade_Reports!$X$3:$X$502,"&gt;="&amp;0.5*$Q228),"")))</f>
        <v/>
      </c>
      <c r="S228" s="2" t="str">
        <f>IF($A228="","",COUNTIFS(Trade_Reports!$H$3:$H$502,$A228,Trade_Reports!$M$3:$M$502,"APPROVED",Trade_Reports!$Q$3:$Q$502,"&lt;="&amp;Settings!$B$5))</f>
        <v/>
      </c>
      <c r="T228" s="2"/>
      <c r="U228" s="2"/>
      <c r="V228" s="21" t="str">
        <f>IF(OR($A228="",ISERROR(SEARCH("_",$A228))),"",IFERROR(SUMIFS(Trade_Reports!$Z$3:$Z$502,Trade_Reports!$H$3:$H$502,$A228,Trade_Reports!$M$3:$M$502,"APPROVED")/SUMIFS(Trade_Reports!$U$3:$U$502,Trade_Reports!$H$3:$H$502,$A228,Trade_Reports!$M$3:$M$502,"APPROVED"),""))</f>
        <v/>
      </c>
      <c r="W228" s="17" t="str">
        <f t="shared" si="1"/>
        <v/>
      </c>
      <c r="X228" s="2"/>
      <c r="Y228" s="2"/>
      <c r="Z228" s="2"/>
    </row>
    <row r="229" spans="1:26" ht="15.75" customHeight="1" x14ac:dyDescent="0.3">
      <c r="A229" s="15"/>
      <c r="B229" s="15"/>
      <c r="C229" s="16"/>
      <c r="D229" s="16"/>
      <c r="E229" s="16"/>
      <c r="F229" s="17" t="str">
        <f>IF($A229="","",IF($K229&lt;Settings!$B$14,"",IF($P229=0,"",IFERROR(_xludf.MINIFS(Trade_Reports!$I$3:$I$502,Trade_Reports!$H$3:$H$502,$A229,Trade_Reports!$M$3:$M$502,"APPROVED",Trade_Reports!$Q$3:$Q$502,"&lt;="&amp;Settings!$B$4,Trade_Reports!$W$3:$W$502,"&gt;="&amp;0.5*$P229),""))))</f>
        <v/>
      </c>
      <c r="G229" s="17" t="str">
        <f>IF($A229="","",IF($K229=0,"",IFERROR(_xludf.MINIFS(Trade_Reports!$I$3:$I$502,Trade_Reports!$H$3:$H$502,$A229,Trade_Reports!$M$3:$M$502,"APPROVED",Trade_Reports!$Q$3:$Q$502,"&lt;="&amp;Settings!$B$4),"")))</f>
        <v/>
      </c>
      <c r="H229" s="17" t="str">
        <f>IF($A229="","",IF($K229=0,"",IFERROR(_xludf.MAXIFS(Trade_Reports!$I$3:$I$502,Trade_Reports!$H$3:$H$502,$A229,Trade_Reports!$M$3:$M$502,"APPROVED",Trade_Reports!$Q$3:$Q$502,"&lt;="&amp;Settings!$B$4),"")))</f>
        <v/>
      </c>
      <c r="I229" s="17" t="str">
        <f>IF($A229="","",IF($F229="","",IF($Q229="","",IF(ABS($F229-$Q229)/$Q229&lt;=Settings!$B$18,"STABLE",IF($F229&gt;$Q229,"UP","DOWN")))))</f>
        <v/>
      </c>
      <c r="J229" s="18" t="str">
        <f>IF($A229="","",IF($K229=0,"",MIN(100,ROUND($K229/Settings!$B$14*100,0))))</f>
        <v/>
      </c>
      <c r="K229" s="17" t="str">
        <f>IF($A229="","",COUNTIFS(Trade_Reports!$H$3:$H$502,$A229,Trade_Reports!$M$3:$M$502,"APPROVED",Trade_Reports!$Q$3:$Q$502,"&lt;="&amp;Settings!$B$4))</f>
        <v/>
      </c>
      <c r="L229" s="19" t="str">
        <f>IF($A229="","",IF($K229=0,"",IFERROR(_xludf.MAXIFS(Trade_Reports!$O$3:$O$502,Trade_Reports!$H$3:$H$502,$A229,Trade_Reports!$M$3:$M$502,"APPROVED"),"")))</f>
        <v/>
      </c>
      <c r="M229" s="16" t="s">
        <v>46</v>
      </c>
      <c r="N229" s="15"/>
      <c r="O229" s="9" t="str">
        <f t="shared" si="0"/>
        <v/>
      </c>
      <c r="P229" s="2" t="str">
        <f>IF($A229="","",SUMIFS(Trade_Reports!$U$3:$U$502,Trade_Reports!$H$3:$H$502,$A229,Trade_Reports!$M$3:$M$502,"APPROVED",Trade_Reports!$Q$3:$Q$502,"&lt;="&amp;Settings!$B$4))</f>
        <v/>
      </c>
      <c r="Q229" s="2" t="str">
        <f>IF($A229="","",SUMIFS(Trade_Reports!$U$3:$U$502,Trade_Reports!$H$3:$H$502,$A229,Trade_Reports!$M$3:$M$502,"APPROVED",Trade_Reports!$Q$3:$Q$502,"&lt;="&amp;Settings!$B$5))</f>
        <v/>
      </c>
      <c r="R229" s="2" t="str">
        <f>IF($A229="","",IF($Q229=0,"",IFERROR(_xludf.MINIFS(Trade_Reports!$I$3:$I$502,Trade_Reports!$H$3:$H$502,$A229,Trade_Reports!$M$3:$M$502,"APPROVED",Trade_Reports!$Q$3:$Q$502,"&lt;="&amp;Settings!$B$5,Trade_Reports!$X$3:$X$502,"&gt;="&amp;0.5*$Q229),"")))</f>
        <v/>
      </c>
      <c r="S229" s="2" t="str">
        <f>IF($A229="","",COUNTIFS(Trade_Reports!$H$3:$H$502,$A229,Trade_Reports!$M$3:$M$502,"APPROVED",Trade_Reports!$Q$3:$Q$502,"&lt;="&amp;Settings!$B$5))</f>
        <v/>
      </c>
      <c r="T229" s="2"/>
      <c r="U229" s="2"/>
      <c r="V229" s="21" t="str">
        <f>IF(OR($A229="",ISERROR(SEARCH("_",$A229))),"",IFERROR(SUMIFS(Trade_Reports!$Z$3:$Z$502,Trade_Reports!$H$3:$H$502,$A229,Trade_Reports!$M$3:$M$502,"APPROVED")/SUMIFS(Trade_Reports!$U$3:$U$502,Trade_Reports!$H$3:$H$502,$A229,Trade_Reports!$M$3:$M$502,"APPROVED"),""))</f>
        <v/>
      </c>
      <c r="W229" s="17" t="str">
        <f t="shared" si="1"/>
        <v/>
      </c>
      <c r="X229" s="2"/>
      <c r="Y229" s="2"/>
      <c r="Z229" s="2"/>
    </row>
    <row r="230" spans="1:26" ht="15.75" customHeight="1" x14ac:dyDescent="0.3">
      <c r="A230" s="15"/>
      <c r="B230" s="15"/>
      <c r="C230" s="16"/>
      <c r="D230" s="16"/>
      <c r="E230" s="16"/>
      <c r="F230" s="17" t="str">
        <f>IF($A230="","",IF($K230&lt;Settings!$B$14,"",IF($P230=0,"",IFERROR(_xludf.MINIFS(Trade_Reports!$I$3:$I$502,Trade_Reports!$H$3:$H$502,$A230,Trade_Reports!$M$3:$M$502,"APPROVED",Trade_Reports!$Q$3:$Q$502,"&lt;="&amp;Settings!$B$4,Trade_Reports!$W$3:$W$502,"&gt;="&amp;0.5*$P230),""))))</f>
        <v/>
      </c>
      <c r="G230" s="17" t="str">
        <f>IF($A230="","",IF($K230=0,"",IFERROR(_xludf.MINIFS(Trade_Reports!$I$3:$I$502,Trade_Reports!$H$3:$H$502,$A230,Trade_Reports!$M$3:$M$502,"APPROVED",Trade_Reports!$Q$3:$Q$502,"&lt;="&amp;Settings!$B$4),"")))</f>
        <v/>
      </c>
      <c r="H230" s="17" t="str">
        <f>IF($A230="","",IF($K230=0,"",IFERROR(_xludf.MAXIFS(Trade_Reports!$I$3:$I$502,Trade_Reports!$H$3:$H$502,$A230,Trade_Reports!$M$3:$M$502,"APPROVED",Trade_Reports!$Q$3:$Q$502,"&lt;="&amp;Settings!$B$4),"")))</f>
        <v/>
      </c>
      <c r="I230" s="17" t="str">
        <f>IF($A230="","",IF($F230="","",IF($Q230="","",IF(ABS($F230-$Q230)/$Q230&lt;=Settings!$B$18,"STABLE",IF($F230&gt;$Q230,"UP","DOWN")))))</f>
        <v/>
      </c>
      <c r="J230" s="18" t="str">
        <f>IF($A230="","",IF($K230=0,"",MIN(100,ROUND($K230/Settings!$B$14*100,0))))</f>
        <v/>
      </c>
      <c r="K230" s="17" t="str">
        <f>IF($A230="","",COUNTIFS(Trade_Reports!$H$3:$H$502,$A230,Trade_Reports!$M$3:$M$502,"APPROVED",Trade_Reports!$Q$3:$Q$502,"&lt;="&amp;Settings!$B$4))</f>
        <v/>
      </c>
      <c r="L230" s="19" t="str">
        <f>IF($A230="","",IF($K230=0,"",IFERROR(_xludf.MAXIFS(Trade_Reports!$O$3:$O$502,Trade_Reports!$H$3:$H$502,$A230,Trade_Reports!$M$3:$M$502,"APPROVED"),"")))</f>
        <v/>
      </c>
      <c r="M230" s="16" t="s">
        <v>46</v>
      </c>
      <c r="N230" s="15"/>
      <c r="O230" s="9" t="str">
        <f t="shared" si="0"/>
        <v/>
      </c>
      <c r="P230" s="2" t="str">
        <f>IF($A230="","",SUMIFS(Trade_Reports!$U$3:$U$502,Trade_Reports!$H$3:$H$502,$A230,Trade_Reports!$M$3:$M$502,"APPROVED",Trade_Reports!$Q$3:$Q$502,"&lt;="&amp;Settings!$B$4))</f>
        <v/>
      </c>
      <c r="Q230" s="2" t="str">
        <f>IF($A230="","",SUMIFS(Trade_Reports!$U$3:$U$502,Trade_Reports!$H$3:$H$502,$A230,Trade_Reports!$M$3:$M$502,"APPROVED",Trade_Reports!$Q$3:$Q$502,"&lt;="&amp;Settings!$B$5))</f>
        <v/>
      </c>
      <c r="R230" s="2" t="str">
        <f>IF($A230="","",IF($Q230=0,"",IFERROR(_xludf.MINIFS(Trade_Reports!$I$3:$I$502,Trade_Reports!$H$3:$H$502,$A230,Trade_Reports!$M$3:$M$502,"APPROVED",Trade_Reports!$Q$3:$Q$502,"&lt;="&amp;Settings!$B$5,Trade_Reports!$X$3:$X$502,"&gt;="&amp;0.5*$Q230),"")))</f>
        <v/>
      </c>
      <c r="S230" s="2" t="str">
        <f>IF($A230="","",COUNTIFS(Trade_Reports!$H$3:$H$502,$A230,Trade_Reports!$M$3:$M$502,"APPROVED",Trade_Reports!$Q$3:$Q$502,"&lt;="&amp;Settings!$B$5))</f>
        <v/>
      </c>
      <c r="T230" s="2"/>
      <c r="U230" s="2"/>
      <c r="V230" s="21" t="str">
        <f>IF(OR($A230="",ISERROR(SEARCH("_",$A230))),"",IFERROR(SUMIFS(Trade_Reports!$Z$3:$Z$502,Trade_Reports!$H$3:$H$502,$A230,Trade_Reports!$M$3:$M$502,"APPROVED")/SUMIFS(Trade_Reports!$U$3:$U$502,Trade_Reports!$H$3:$H$502,$A230,Trade_Reports!$M$3:$M$502,"APPROVED"),""))</f>
        <v/>
      </c>
      <c r="W230" s="17" t="str">
        <f t="shared" si="1"/>
        <v/>
      </c>
      <c r="X230" s="2"/>
      <c r="Y230" s="2"/>
      <c r="Z230" s="2"/>
    </row>
    <row r="231" spans="1:26" ht="15.75" customHeight="1" x14ac:dyDescent="0.3">
      <c r="A231" s="15"/>
      <c r="B231" s="15"/>
      <c r="C231" s="16"/>
      <c r="D231" s="16"/>
      <c r="E231" s="16"/>
      <c r="F231" s="17" t="str">
        <f>IF($A231="","",IF($K231&lt;Settings!$B$14,"",IF($P231=0,"",IFERROR(_xludf.MINIFS(Trade_Reports!$I$3:$I$502,Trade_Reports!$H$3:$H$502,$A231,Trade_Reports!$M$3:$M$502,"APPROVED",Trade_Reports!$Q$3:$Q$502,"&lt;="&amp;Settings!$B$4,Trade_Reports!$W$3:$W$502,"&gt;="&amp;0.5*$P231),""))))</f>
        <v/>
      </c>
      <c r="G231" s="17" t="str">
        <f>IF($A231="","",IF($K231=0,"",IFERROR(_xludf.MINIFS(Trade_Reports!$I$3:$I$502,Trade_Reports!$H$3:$H$502,$A231,Trade_Reports!$M$3:$M$502,"APPROVED",Trade_Reports!$Q$3:$Q$502,"&lt;="&amp;Settings!$B$4),"")))</f>
        <v/>
      </c>
      <c r="H231" s="17" t="str">
        <f>IF($A231="","",IF($K231=0,"",IFERROR(_xludf.MAXIFS(Trade_Reports!$I$3:$I$502,Trade_Reports!$H$3:$H$502,$A231,Trade_Reports!$M$3:$M$502,"APPROVED",Trade_Reports!$Q$3:$Q$502,"&lt;="&amp;Settings!$B$4),"")))</f>
        <v/>
      </c>
      <c r="I231" s="17" t="str">
        <f>IF($A231="","",IF($F231="","",IF($Q231="","",IF(ABS($F231-$Q231)/$Q231&lt;=Settings!$B$18,"STABLE",IF($F231&gt;$Q231,"UP","DOWN")))))</f>
        <v/>
      </c>
      <c r="J231" s="18" t="str">
        <f>IF($A231="","",IF($K231=0,"",MIN(100,ROUND($K231/Settings!$B$14*100,0))))</f>
        <v/>
      </c>
      <c r="K231" s="17" t="str">
        <f>IF($A231="","",COUNTIFS(Trade_Reports!$H$3:$H$502,$A231,Trade_Reports!$M$3:$M$502,"APPROVED",Trade_Reports!$Q$3:$Q$502,"&lt;="&amp;Settings!$B$4))</f>
        <v/>
      </c>
      <c r="L231" s="19" t="str">
        <f>IF($A231="","",IF($K231=0,"",IFERROR(_xludf.MAXIFS(Trade_Reports!$O$3:$O$502,Trade_Reports!$H$3:$H$502,$A231,Trade_Reports!$M$3:$M$502,"APPROVED"),"")))</f>
        <v/>
      </c>
      <c r="M231" s="16" t="s">
        <v>46</v>
      </c>
      <c r="N231" s="15"/>
      <c r="O231" s="9" t="str">
        <f t="shared" si="0"/>
        <v/>
      </c>
      <c r="P231" s="2" t="str">
        <f>IF($A231="","",SUMIFS(Trade_Reports!$U$3:$U$502,Trade_Reports!$H$3:$H$502,$A231,Trade_Reports!$M$3:$M$502,"APPROVED",Trade_Reports!$Q$3:$Q$502,"&lt;="&amp;Settings!$B$4))</f>
        <v/>
      </c>
      <c r="Q231" s="2" t="str">
        <f>IF($A231="","",SUMIFS(Trade_Reports!$U$3:$U$502,Trade_Reports!$H$3:$H$502,$A231,Trade_Reports!$M$3:$M$502,"APPROVED",Trade_Reports!$Q$3:$Q$502,"&lt;="&amp;Settings!$B$5))</f>
        <v/>
      </c>
      <c r="R231" s="2" t="str">
        <f>IF($A231="","",IF($Q231=0,"",IFERROR(_xludf.MINIFS(Trade_Reports!$I$3:$I$502,Trade_Reports!$H$3:$H$502,$A231,Trade_Reports!$M$3:$M$502,"APPROVED",Trade_Reports!$Q$3:$Q$502,"&lt;="&amp;Settings!$B$5,Trade_Reports!$X$3:$X$502,"&gt;="&amp;0.5*$Q231),"")))</f>
        <v/>
      </c>
      <c r="S231" s="2" t="str">
        <f>IF($A231="","",COUNTIFS(Trade_Reports!$H$3:$H$502,$A231,Trade_Reports!$M$3:$M$502,"APPROVED",Trade_Reports!$Q$3:$Q$502,"&lt;="&amp;Settings!$B$5))</f>
        <v/>
      </c>
      <c r="T231" s="2"/>
      <c r="U231" s="2"/>
      <c r="V231" s="21" t="str">
        <f>IF(OR($A231="",ISERROR(SEARCH("_",$A231))),"",IFERROR(SUMIFS(Trade_Reports!$Z$3:$Z$502,Trade_Reports!$H$3:$H$502,$A231,Trade_Reports!$M$3:$M$502,"APPROVED")/SUMIFS(Trade_Reports!$U$3:$U$502,Trade_Reports!$H$3:$H$502,$A231,Trade_Reports!$M$3:$M$502,"APPROVED"),""))</f>
        <v/>
      </c>
      <c r="W231" s="17" t="str">
        <f t="shared" si="1"/>
        <v/>
      </c>
      <c r="X231" s="2"/>
      <c r="Y231" s="2"/>
      <c r="Z231" s="2"/>
    </row>
    <row r="232" spans="1:26" ht="15.75" customHeight="1" x14ac:dyDescent="0.3">
      <c r="A232" s="15"/>
      <c r="B232" s="15"/>
      <c r="C232" s="16"/>
      <c r="D232" s="16"/>
      <c r="E232" s="16"/>
      <c r="F232" s="17" t="str">
        <f>IF($A232="","",IF($K232&lt;Settings!$B$14,"",IF($P232=0,"",IFERROR(_xludf.MINIFS(Trade_Reports!$I$3:$I$502,Trade_Reports!$H$3:$H$502,$A232,Trade_Reports!$M$3:$M$502,"APPROVED",Trade_Reports!$Q$3:$Q$502,"&lt;="&amp;Settings!$B$4,Trade_Reports!$W$3:$W$502,"&gt;="&amp;0.5*$P232),""))))</f>
        <v/>
      </c>
      <c r="G232" s="17" t="str">
        <f>IF($A232="","",IF($K232=0,"",IFERROR(_xludf.MINIFS(Trade_Reports!$I$3:$I$502,Trade_Reports!$H$3:$H$502,$A232,Trade_Reports!$M$3:$M$502,"APPROVED",Trade_Reports!$Q$3:$Q$502,"&lt;="&amp;Settings!$B$4),"")))</f>
        <v/>
      </c>
      <c r="H232" s="17" t="str">
        <f>IF($A232="","",IF($K232=0,"",IFERROR(_xludf.MAXIFS(Trade_Reports!$I$3:$I$502,Trade_Reports!$H$3:$H$502,$A232,Trade_Reports!$M$3:$M$502,"APPROVED",Trade_Reports!$Q$3:$Q$502,"&lt;="&amp;Settings!$B$4),"")))</f>
        <v/>
      </c>
      <c r="I232" s="17" t="str">
        <f>IF($A232="","",IF($F232="","",IF($Q232="","",IF(ABS($F232-$Q232)/$Q232&lt;=Settings!$B$18,"STABLE",IF($F232&gt;$Q232,"UP","DOWN")))))</f>
        <v/>
      </c>
      <c r="J232" s="18" t="str">
        <f>IF($A232="","",IF($K232=0,"",MIN(100,ROUND($K232/Settings!$B$14*100,0))))</f>
        <v/>
      </c>
      <c r="K232" s="17" t="str">
        <f>IF($A232="","",COUNTIFS(Trade_Reports!$H$3:$H$502,$A232,Trade_Reports!$M$3:$M$502,"APPROVED",Trade_Reports!$Q$3:$Q$502,"&lt;="&amp;Settings!$B$4))</f>
        <v/>
      </c>
      <c r="L232" s="19" t="str">
        <f>IF($A232="","",IF($K232=0,"",IFERROR(_xludf.MAXIFS(Trade_Reports!$O$3:$O$502,Trade_Reports!$H$3:$H$502,$A232,Trade_Reports!$M$3:$M$502,"APPROVED"),"")))</f>
        <v/>
      </c>
      <c r="M232" s="16" t="s">
        <v>46</v>
      </c>
      <c r="N232" s="15"/>
      <c r="O232" s="9" t="str">
        <f t="shared" si="0"/>
        <v/>
      </c>
      <c r="P232" s="2" t="str">
        <f>IF($A232="","",SUMIFS(Trade_Reports!$U$3:$U$502,Trade_Reports!$H$3:$H$502,$A232,Trade_Reports!$M$3:$M$502,"APPROVED",Trade_Reports!$Q$3:$Q$502,"&lt;="&amp;Settings!$B$4))</f>
        <v/>
      </c>
      <c r="Q232" s="2" t="str">
        <f>IF($A232="","",SUMIFS(Trade_Reports!$U$3:$U$502,Trade_Reports!$H$3:$H$502,$A232,Trade_Reports!$M$3:$M$502,"APPROVED",Trade_Reports!$Q$3:$Q$502,"&lt;="&amp;Settings!$B$5))</f>
        <v/>
      </c>
      <c r="R232" s="2" t="str">
        <f>IF($A232="","",IF($Q232=0,"",IFERROR(_xludf.MINIFS(Trade_Reports!$I$3:$I$502,Trade_Reports!$H$3:$H$502,$A232,Trade_Reports!$M$3:$M$502,"APPROVED",Trade_Reports!$Q$3:$Q$502,"&lt;="&amp;Settings!$B$5,Trade_Reports!$X$3:$X$502,"&gt;="&amp;0.5*$Q232),"")))</f>
        <v/>
      </c>
      <c r="S232" s="2" t="str">
        <f>IF($A232="","",COUNTIFS(Trade_Reports!$H$3:$H$502,$A232,Trade_Reports!$M$3:$M$502,"APPROVED",Trade_Reports!$Q$3:$Q$502,"&lt;="&amp;Settings!$B$5))</f>
        <v/>
      </c>
      <c r="T232" s="2"/>
      <c r="U232" s="2"/>
      <c r="V232" s="21" t="str">
        <f>IF(OR($A232="",ISERROR(SEARCH("_",$A232))),"",IFERROR(SUMIFS(Trade_Reports!$Z$3:$Z$502,Trade_Reports!$H$3:$H$502,$A232,Trade_Reports!$M$3:$M$502,"APPROVED")/SUMIFS(Trade_Reports!$U$3:$U$502,Trade_Reports!$H$3:$H$502,$A232,Trade_Reports!$M$3:$M$502,"APPROVED"),""))</f>
        <v/>
      </c>
      <c r="W232" s="17" t="str">
        <f t="shared" si="1"/>
        <v/>
      </c>
      <c r="X232" s="2"/>
      <c r="Y232" s="2"/>
      <c r="Z232" s="2"/>
    </row>
    <row r="233" spans="1:26" ht="15.75" customHeight="1" x14ac:dyDescent="0.3">
      <c r="A233" s="15"/>
      <c r="B233" s="15"/>
      <c r="C233" s="16"/>
      <c r="D233" s="16"/>
      <c r="E233" s="16"/>
      <c r="F233" s="17" t="str">
        <f>IF($A233="","",IF($K233&lt;Settings!$B$14,"",IF($P233=0,"",IFERROR(_xludf.MINIFS(Trade_Reports!$I$3:$I$502,Trade_Reports!$H$3:$H$502,$A233,Trade_Reports!$M$3:$M$502,"APPROVED",Trade_Reports!$Q$3:$Q$502,"&lt;="&amp;Settings!$B$4,Trade_Reports!$W$3:$W$502,"&gt;="&amp;0.5*$P233),""))))</f>
        <v/>
      </c>
      <c r="G233" s="17" t="str">
        <f>IF($A233="","",IF($K233=0,"",IFERROR(_xludf.MINIFS(Trade_Reports!$I$3:$I$502,Trade_Reports!$H$3:$H$502,$A233,Trade_Reports!$M$3:$M$502,"APPROVED",Trade_Reports!$Q$3:$Q$502,"&lt;="&amp;Settings!$B$4),"")))</f>
        <v/>
      </c>
      <c r="H233" s="17" t="str">
        <f>IF($A233="","",IF($K233=0,"",IFERROR(_xludf.MAXIFS(Trade_Reports!$I$3:$I$502,Trade_Reports!$H$3:$H$502,$A233,Trade_Reports!$M$3:$M$502,"APPROVED",Trade_Reports!$Q$3:$Q$502,"&lt;="&amp;Settings!$B$4),"")))</f>
        <v/>
      </c>
      <c r="I233" s="17" t="str">
        <f>IF($A233="","",IF($F233="","",IF($Q233="","",IF(ABS($F233-$Q233)/$Q233&lt;=Settings!$B$18,"STABLE",IF($F233&gt;$Q233,"UP","DOWN")))))</f>
        <v/>
      </c>
      <c r="J233" s="18" t="str">
        <f>IF($A233="","",IF($K233=0,"",MIN(100,ROUND($K233/Settings!$B$14*100,0))))</f>
        <v/>
      </c>
      <c r="K233" s="17" t="str">
        <f>IF($A233="","",COUNTIFS(Trade_Reports!$H$3:$H$502,$A233,Trade_Reports!$M$3:$M$502,"APPROVED",Trade_Reports!$Q$3:$Q$502,"&lt;="&amp;Settings!$B$4))</f>
        <v/>
      </c>
      <c r="L233" s="19" t="str">
        <f>IF($A233="","",IF($K233=0,"",IFERROR(_xludf.MAXIFS(Trade_Reports!$O$3:$O$502,Trade_Reports!$H$3:$H$502,$A233,Trade_Reports!$M$3:$M$502,"APPROVED"),"")))</f>
        <v/>
      </c>
      <c r="M233" s="16" t="s">
        <v>46</v>
      </c>
      <c r="N233" s="15"/>
      <c r="O233" s="9" t="str">
        <f t="shared" si="0"/>
        <v/>
      </c>
      <c r="P233" s="2" t="str">
        <f>IF($A233="","",SUMIFS(Trade_Reports!$U$3:$U$502,Trade_Reports!$H$3:$H$502,$A233,Trade_Reports!$M$3:$M$502,"APPROVED",Trade_Reports!$Q$3:$Q$502,"&lt;="&amp;Settings!$B$4))</f>
        <v/>
      </c>
      <c r="Q233" s="2" t="str">
        <f>IF($A233="","",SUMIFS(Trade_Reports!$U$3:$U$502,Trade_Reports!$H$3:$H$502,$A233,Trade_Reports!$M$3:$M$502,"APPROVED",Trade_Reports!$Q$3:$Q$502,"&lt;="&amp;Settings!$B$5))</f>
        <v/>
      </c>
      <c r="R233" s="2" t="str">
        <f>IF($A233="","",IF($Q233=0,"",IFERROR(_xludf.MINIFS(Trade_Reports!$I$3:$I$502,Trade_Reports!$H$3:$H$502,$A233,Trade_Reports!$M$3:$M$502,"APPROVED",Trade_Reports!$Q$3:$Q$502,"&lt;="&amp;Settings!$B$5,Trade_Reports!$X$3:$X$502,"&gt;="&amp;0.5*$Q233),"")))</f>
        <v/>
      </c>
      <c r="S233" s="2" t="str">
        <f>IF($A233="","",COUNTIFS(Trade_Reports!$H$3:$H$502,$A233,Trade_Reports!$M$3:$M$502,"APPROVED",Trade_Reports!$Q$3:$Q$502,"&lt;="&amp;Settings!$B$5))</f>
        <v/>
      </c>
      <c r="T233" s="2"/>
      <c r="U233" s="2"/>
      <c r="V233" s="21" t="str">
        <f>IF(OR($A233="",ISERROR(SEARCH("_",$A233))),"",IFERROR(SUMIFS(Trade_Reports!$Z$3:$Z$502,Trade_Reports!$H$3:$H$502,$A233,Trade_Reports!$M$3:$M$502,"APPROVED")/SUMIFS(Trade_Reports!$U$3:$U$502,Trade_Reports!$H$3:$H$502,$A233,Trade_Reports!$M$3:$M$502,"APPROVED"),""))</f>
        <v/>
      </c>
      <c r="W233" s="17" t="str">
        <f t="shared" si="1"/>
        <v/>
      </c>
      <c r="X233" s="2"/>
      <c r="Y233" s="2"/>
      <c r="Z233" s="2"/>
    </row>
    <row r="234" spans="1:26" ht="15.75" customHeight="1" x14ac:dyDescent="0.3">
      <c r="A234" s="15"/>
      <c r="B234" s="15"/>
      <c r="C234" s="16"/>
      <c r="D234" s="16"/>
      <c r="E234" s="16"/>
      <c r="F234" s="17" t="str">
        <f>IF($A234="","",IF($K234&lt;Settings!$B$14,"",IF($P234=0,"",IFERROR(_xludf.MINIFS(Trade_Reports!$I$3:$I$502,Trade_Reports!$H$3:$H$502,$A234,Trade_Reports!$M$3:$M$502,"APPROVED",Trade_Reports!$Q$3:$Q$502,"&lt;="&amp;Settings!$B$4,Trade_Reports!$W$3:$W$502,"&gt;="&amp;0.5*$P234),""))))</f>
        <v/>
      </c>
      <c r="G234" s="17" t="str">
        <f>IF($A234="","",IF($K234=0,"",IFERROR(_xludf.MINIFS(Trade_Reports!$I$3:$I$502,Trade_Reports!$H$3:$H$502,$A234,Trade_Reports!$M$3:$M$502,"APPROVED",Trade_Reports!$Q$3:$Q$502,"&lt;="&amp;Settings!$B$4),"")))</f>
        <v/>
      </c>
      <c r="H234" s="17" t="str">
        <f>IF($A234="","",IF($K234=0,"",IFERROR(_xludf.MAXIFS(Trade_Reports!$I$3:$I$502,Trade_Reports!$H$3:$H$502,$A234,Trade_Reports!$M$3:$M$502,"APPROVED",Trade_Reports!$Q$3:$Q$502,"&lt;="&amp;Settings!$B$4),"")))</f>
        <v/>
      </c>
      <c r="I234" s="17" t="str">
        <f>IF($A234="","",IF($F234="","",IF($Q234="","",IF(ABS($F234-$Q234)/$Q234&lt;=Settings!$B$18,"STABLE",IF($F234&gt;$Q234,"UP","DOWN")))))</f>
        <v/>
      </c>
      <c r="J234" s="18" t="str">
        <f>IF($A234="","",IF($K234=0,"",MIN(100,ROUND($K234/Settings!$B$14*100,0))))</f>
        <v/>
      </c>
      <c r="K234" s="17" t="str">
        <f>IF($A234="","",COUNTIFS(Trade_Reports!$H$3:$H$502,$A234,Trade_Reports!$M$3:$M$502,"APPROVED",Trade_Reports!$Q$3:$Q$502,"&lt;="&amp;Settings!$B$4))</f>
        <v/>
      </c>
      <c r="L234" s="19" t="str">
        <f>IF($A234="","",IF($K234=0,"",IFERROR(_xludf.MAXIFS(Trade_Reports!$O$3:$O$502,Trade_Reports!$H$3:$H$502,$A234,Trade_Reports!$M$3:$M$502,"APPROVED"),"")))</f>
        <v/>
      </c>
      <c r="M234" s="16" t="s">
        <v>46</v>
      </c>
      <c r="N234" s="15"/>
      <c r="O234" s="9" t="str">
        <f t="shared" si="0"/>
        <v/>
      </c>
      <c r="P234" s="2" t="str">
        <f>IF($A234="","",SUMIFS(Trade_Reports!$U$3:$U$502,Trade_Reports!$H$3:$H$502,$A234,Trade_Reports!$M$3:$M$502,"APPROVED",Trade_Reports!$Q$3:$Q$502,"&lt;="&amp;Settings!$B$4))</f>
        <v/>
      </c>
      <c r="Q234" s="2" t="str">
        <f>IF($A234="","",SUMIFS(Trade_Reports!$U$3:$U$502,Trade_Reports!$H$3:$H$502,$A234,Trade_Reports!$M$3:$M$502,"APPROVED",Trade_Reports!$Q$3:$Q$502,"&lt;="&amp;Settings!$B$5))</f>
        <v/>
      </c>
      <c r="R234" s="2" t="str">
        <f>IF($A234="","",IF($Q234=0,"",IFERROR(_xludf.MINIFS(Trade_Reports!$I$3:$I$502,Trade_Reports!$H$3:$H$502,$A234,Trade_Reports!$M$3:$M$502,"APPROVED",Trade_Reports!$Q$3:$Q$502,"&lt;="&amp;Settings!$B$5,Trade_Reports!$X$3:$X$502,"&gt;="&amp;0.5*$Q234),"")))</f>
        <v/>
      </c>
      <c r="S234" s="2" t="str">
        <f>IF($A234="","",COUNTIFS(Trade_Reports!$H$3:$H$502,$A234,Trade_Reports!$M$3:$M$502,"APPROVED",Trade_Reports!$Q$3:$Q$502,"&lt;="&amp;Settings!$B$5))</f>
        <v/>
      </c>
      <c r="T234" s="2"/>
      <c r="U234" s="2"/>
      <c r="V234" s="21" t="str">
        <f>IF(OR($A234="",ISERROR(SEARCH("_",$A234))),"",IFERROR(SUMIFS(Trade_Reports!$Z$3:$Z$502,Trade_Reports!$H$3:$H$502,$A234,Trade_Reports!$M$3:$M$502,"APPROVED")/SUMIFS(Trade_Reports!$U$3:$U$502,Trade_Reports!$H$3:$H$502,$A234,Trade_Reports!$M$3:$M$502,"APPROVED"),""))</f>
        <v/>
      </c>
      <c r="W234" s="17" t="str">
        <f t="shared" si="1"/>
        <v/>
      </c>
      <c r="X234" s="2"/>
      <c r="Y234" s="2"/>
      <c r="Z234" s="2"/>
    </row>
    <row r="235" spans="1:26" ht="15.75" customHeight="1" x14ac:dyDescent="0.3">
      <c r="A235" s="15"/>
      <c r="B235" s="15"/>
      <c r="C235" s="16"/>
      <c r="D235" s="16"/>
      <c r="E235" s="16"/>
      <c r="F235" s="17" t="str">
        <f>IF($A235="","",IF($K235&lt;Settings!$B$14,"",IF($P235=0,"",IFERROR(_xludf.MINIFS(Trade_Reports!$I$3:$I$502,Trade_Reports!$H$3:$H$502,$A235,Trade_Reports!$M$3:$M$502,"APPROVED",Trade_Reports!$Q$3:$Q$502,"&lt;="&amp;Settings!$B$4,Trade_Reports!$W$3:$W$502,"&gt;="&amp;0.5*$P235),""))))</f>
        <v/>
      </c>
      <c r="G235" s="17" t="str">
        <f>IF($A235="","",IF($K235=0,"",IFERROR(_xludf.MINIFS(Trade_Reports!$I$3:$I$502,Trade_Reports!$H$3:$H$502,$A235,Trade_Reports!$M$3:$M$502,"APPROVED",Trade_Reports!$Q$3:$Q$502,"&lt;="&amp;Settings!$B$4),"")))</f>
        <v/>
      </c>
      <c r="H235" s="17" t="str">
        <f>IF($A235="","",IF($K235=0,"",IFERROR(_xludf.MAXIFS(Trade_Reports!$I$3:$I$502,Trade_Reports!$H$3:$H$502,$A235,Trade_Reports!$M$3:$M$502,"APPROVED",Trade_Reports!$Q$3:$Q$502,"&lt;="&amp;Settings!$B$4),"")))</f>
        <v/>
      </c>
      <c r="I235" s="17" t="str">
        <f>IF($A235="","",IF($F235="","",IF($Q235="","",IF(ABS($F235-$Q235)/$Q235&lt;=Settings!$B$18,"STABLE",IF($F235&gt;$Q235,"UP","DOWN")))))</f>
        <v/>
      </c>
      <c r="J235" s="18" t="str">
        <f>IF($A235="","",IF($K235=0,"",MIN(100,ROUND($K235/Settings!$B$14*100,0))))</f>
        <v/>
      </c>
      <c r="K235" s="17" t="str">
        <f>IF($A235="","",COUNTIFS(Trade_Reports!$H$3:$H$502,$A235,Trade_Reports!$M$3:$M$502,"APPROVED",Trade_Reports!$Q$3:$Q$502,"&lt;="&amp;Settings!$B$4))</f>
        <v/>
      </c>
      <c r="L235" s="19" t="str">
        <f>IF($A235="","",IF($K235=0,"",IFERROR(_xludf.MAXIFS(Trade_Reports!$O$3:$O$502,Trade_Reports!$H$3:$H$502,$A235,Trade_Reports!$M$3:$M$502,"APPROVED"),"")))</f>
        <v/>
      </c>
      <c r="M235" s="16" t="s">
        <v>46</v>
      </c>
      <c r="N235" s="15"/>
      <c r="O235" s="9" t="str">
        <f t="shared" si="0"/>
        <v/>
      </c>
      <c r="P235" s="2" t="str">
        <f>IF($A235="","",SUMIFS(Trade_Reports!$U$3:$U$502,Trade_Reports!$H$3:$H$502,$A235,Trade_Reports!$M$3:$M$502,"APPROVED",Trade_Reports!$Q$3:$Q$502,"&lt;="&amp;Settings!$B$4))</f>
        <v/>
      </c>
      <c r="Q235" s="2" t="str">
        <f>IF($A235="","",SUMIFS(Trade_Reports!$U$3:$U$502,Trade_Reports!$H$3:$H$502,$A235,Trade_Reports!$M$3:$M$502,"APPROVED",Trade_Reports!$Q$3:$Q$502,"&lt;="&amp;Settings!$B$5))</f>
        <v/>
      </c>
      <c r="R235" s="2" t="str">
        <f>IF($A235="","",IF($Q235=0,"",IFERROR(_xludf.MINIFS(Trade_Reports!$I$3:$I$502,Trade_Reports!$H$3:$H$502,$A235,Trade_Reports!$M$3:$M$502,"APPROVED",Trade_Reports!$Q$3:$Q$502,"&lt;="&amp;Settings!$B$5,Trade_Reports!$X$3:$X$502,"&gt;="&amp;0.5*$Q235),"")))</f>
        <v/>
      </c>
      <c r="S235" s="2" t="str">
        <f>IF($A235="","",COUNTIFS(Trade_Reports!$H$3:$H$502,$A235,Trade_Reports!$M$3:$M$502,"APPROVED",Trade_Reports!$Q$3:$Q$502,"&lt;="&amp;Settings!$B$5))</f>
        <v/>
      </c>
      <c r="T235" s="2"/>
      <c r="U235" s="2"/>
      <c r="V235" s="21" t="str">
        <f>IF(OR($A235="",ISERROR(SEARCH("_",$A235))),"",IFERROR(SUMIFS(Trade_Reports!$Z$3:$Z$502,Trade_Reports!$H$3:$H$502,$A235,Trade_Reports!$M$3:$M$502,"APPROVED")/SUMIFS(Trade_Reports!$U$3:$U$502,Trade_Reports!$H$3:$H$502,$A235,Trade_Reports!$M$3:$M$502,"APPROVED"),""))</f>
        <v/>
      </c>
      <c r="W235" s="17" t="str">
        <f t="shared" si="1"/>
        <v/>
      </c>
      <c r="X235" s="2"/>
      <c r="Y235" s="2"/>
      <c r="Z235" s="2"/>
    </row>
    <row r="236" spans="1:26" ht="15.75" customHeight="1" x14ac:dyDescent="0.3">
      <c r="A236" s="15"/>
      <c r="B236" s="15"/>
      <c r="C236" s="16"/>
      <c r="D236" s="16"/>
      <c r="E236" s="16"/>
      <c r="F236" s="17" t="str">
        <f>IF($A236="","",IF($K236&lt;Settings!$B$14,"",IF($P236=0,"",IFERROR(_xludf.MINIFS(Trade_Reports!$I$3:$I$502,Trade_Reports!$H$3:$H$502,$A236,Trade_Reports!$M$3:$M$502,"APPROVED",Trade_Reports!$Q$3:$Q$502,"&lt;="&amp;Settings!$B$4,Trade_Reports!$W$3:$W$502,"&gt;="&amp;0.5*$P236),""))))</f>
        <v/>
      </c>
      <c r="G236" s="17" t="str">
        <f>IF($A236="","",IF($K236=0,"",IFERROR(_xludf.MINIFS(Trade_Reports!$I$3:$I$502,Trade_Reports!$H$3:$H$502,$A236,Trade_Reports!$M$3:$M$502,"APPROVED",Trade_Reports!$Q$3:$Q$502,"&lt;="&amp;Settings!$B$4),"")))</f>
        <v/>
      </c>
      <c r="H236" s="17" t="str">
        <f>IF($A236="","",IF($K236=0,"",IFERROR(_xludf.MAXIFS(Trade_Reports!$I$3:$I$502,Trade_Reports!$H$3:$H$502,$A236,Trade_Reports!$M$3:$M$502,"APPROVED",Trade_Reports!$Q$3:$Q$502,"&lt;="&amp;Settings!$B$4),"")))</f>
        <v/>
      </c>
      <c r="I236" s="17" t="str">
        <f>IF($A236="","",IF($F236="","",IF($Q236="","",IF(ABS($F236-$Q236)/$Q236&lt;=Settings!$B$18,"STABLE",IF($F236&gt;$Q236,"UP","DOWN")))))</f>
        <v/>
      </c>
      <c r="J236" s="18" t="str">
        <f>IF($A236="","",IF($K236=0,"",MIN(100,ROUND($K236/Settings!$B$14*100,0))))</f>
        <v/>
      </c>
      <c r="K236" s="17" t="str">
        <f>IF($A236="","",COUNTIFS(Trade_Reports!$H$3:$H$502,$A236,Trade_Reports!$M$3:$M$502,"APPROVED",Trade_Reports!$Q$3:$Q$502,"&lt;="&amp;Settings!$B$4))</f>
        <v/>
      </c>
      <c r="L236" s="19" t="str">
        <f>IF($A236="","",IF($K236=0,"",IFERROR(_xludf.MAXIFS(Trade_Reports!$O$3:$O$502,Trade_Reports!$H$3:$H$502,$A236,Trade_Reports!$M$3:$M$502,"APPROVED"),"")))</f>
        <v/>
      </c>
      <c r="M236" s="16" t="s">
        <v>46</v>
      </c>
      <c r="N236" s="15"/>
      <c r="O236" s="9" t="str">
        <f t="shared" si="0"/>
        <v/>
      </c>
      <c r="P236" s="2" t="str">
        <f>IF($A236="","",SUMIFS(Trade_Reports!$U$3:$U$502,Trade_Reports!$H$3:$H$502,$A236,Trade_Reports!$M$3:$M$502,"APPROVED",Trade_Reports!$Q$3:$Q$502,"&lt;="&amp;Settings!$B$4))</f>
        <v/>
      </c>
      <c r="Q236" s="2" t="str">
        <f>IF($A236="","",SUMIFS(Trade_Reports!$U$3:$U$502,Trade_Reports!$H$3:$H$502,$A236,Trade_Reports!$M$3:$M$502,"APPROVED",Trade_Reports!$Q$3:$Q$502,"&lt;="&amp;Settings!$B$5))</f>
        <v/>
      </c>
      <c r="R236" s="2" t="str">
        <f>IF($A236="","",IF($Q236=0,"",IFERROR(_xludf.MINIFS(Trade_Reports!$I$3:$I$502,Trade_Reports!$H$3:$H$502,$A236,Trade_Reports!$M$3:$M$502,"APPROVED",Trade_Reports!$Q$3:$Q$502,"&lt;="&amp;Settings!$B$5,Trade_Reports!$X$3:$X$502,"&gt;="&amp;0.5*$Q236),"")))</f>
        <v/>
      </c>
      <c r="S236" s="2" t="str">
        <f>IF($A236="","",COUNTIFS(Trade_Reports!$H$3:$H$502,$A236,Trade_Reports!$M$3:$M$502,"APPROVED",Trade_Reports!$Q$3:$Q$502,"&lt;="&amp;Settings!$B$5))</f>
        <v/>
      </c>
      <c r="T236" s="2"/>
      <c r="U236" s="2"/>
      <c r="V236" s="21" t="str">
        <f>IF(OR($A236="",ISERROR(SEARCH("_",$A236))),"",IFERROR(SUMIFS(Trade_Reports!$Z$3:$Z$502,Trade_Reports!$H$3:$H$502,$A236,Trade_Reports!$M$3:$M$502,"APPROVED")/SUMIFS(Trade_Reports!$U$3:$U$502,Trade_Reports!$H$3:$H$502,$A236,Trade_Reports!$M$3:$M$502,"APPROVED"),""))</f>
        <v/>
      </c>
      <c r="W236" s="17" t="str">
        <f t="shared" si="1"/>
        <v/>
      </c>
      <c r="X236" s="2"/>
      <c r="Y236" s="2"/>
      <c r="Z236" s="2"/>
    </row>
    <row r="237" spans="1:26" ht="15.75" customHeight="1" x14ac:dyDescent="0.3">
      <c r="A237" s="15"/>
      <c r="B237" s="15"/>
      <c r="C237" s="16"/>
      <c r="D237" s="16"/>
      <c r="E237" s="16"/>
      <c r="F237" s="17" t="str">
        <f>IF($A237="","",IF($K237&lt;Settings!$B$14,"",IF($P237=0,"",IFERROR(_xludf.MINIFS(Trade_Reports!$I$3:$I$502,Trade_Reports!$H$3:$H$502,$A237,Trade_Reports!$M$3:$M$502,"APPROVED",Trade_Reports!$Q$3:$Q$502,"&lt;="&amp;Settings!$B$4,Trade_Reports!$W$3:$W$502,"&gt;="&amp;0.5*$P237),""))))</f>
        <v/>
      </c>
      <c r="G237" s="17" t="str">
        <f>IF($A237="","",IF($K237=0,"",IFERROR(_xludf.MINIFS(Trade_Reports!$I$3:$I$502,Trade_Reports!$H$3:$H$502,$A237,Trade_Reports!$M$3:$M$502,"APPROVED",Trade_Reports!$Q$3:$Q$502,"&lt;="&amp;Settings!$B$4),"")))</f>
        <v/>
      </c>
      <c r="H237" s="17" t="str">
        <f>IF($A237="","",IF($K237=0,"",IFERROR(_xludf.MAXIFS(Trade_Reports!$I$3:$I$502,Trade_Reports!$H$3:$H$502,$A237,Trade_Reports!$M$3:$M$502,"APPROVED",Trade_Reports!$Q$3:$Q$502,"&lt;="&amp;Settings!$B$4),"")))</f>
        <v/>
      </c>
      <c r="I237" s="17" t="str">
        <f>IF($A237="","",IF($F237="","",IF($Q237="","",IF(ABS($F237-$Q237)/$Q237&lt;=Settings!$B$18,"STABLE",IF($F237&gt;$Q237,"UP","DOWN")))))</f>
        <v/>
      </c>
      <c r="J237" s="18" t="str">
        <f>IF($A237="","",IF($K237=0,"",MIN(100,ROUND($K237/Settings!$B$14*100,0))))</f>
        <v/>
      </c>
      <c r="K237" s="17" t="str">
        <f>IF($A237="","",COUNTIFS(Trade_Reports!$H$3:$H$502,$A237,Trade_Reports!$M$3:$M$502,"APPROVED",Trade_Reports!$Q$3:$Q$502,"&lt;="&amp;Settings!$B$4))</f>
        <v/>
      </c>
      <c r="L237" s="19" t="str">
        <f>IF($A237="","",IF($K237=0,"",IFERROR(_xludf.MAXIFS(Trade_Reports!$O$3:$O$502,Trade_Reports!$H$3:$H$502,$A237,Trade_Reports!$M$3:$M$502,"APPROVED"),"")))</f>
        <v/>
      </c>
      <c r="M237" s="16" t="s">
        <v>46</v>
      </c>
      <c r="N237" s="15"/>
      <c r="O237" s="9" t="str">
        <f t="shared" si="0"/>
        <v/>
      </c>
      <c r="P237" s="2" t="str">
        <f>IF($A237="","",SUMIFS(Trade_Reports!$U$3:$U$502,Trade_Reports!$H$3:$H$502,$A237,Trade_Reports!$M$3:$M$502,"APPROVED",Trade_Reports!$Q$3:$Q$502,"&lt;="&amp;Settings!$B$4))</f>
        <v/>
      </c>
      <c r="Q237" s="2" t="str">
        <f>IF($A237="","",SUMIFS(Trade_Reports!$U$3:$U$502,Trade_Reports!$H$3:$H$502,$A237,Trade_Reports!$M$3:$M$502,"APPROVED",Trade_Reports!$Q$3:$Q$502,"&lt;="&amp;Settings!$B$5))</f>
        <v/>
      </c>
      <c r="R237" s="2" t="str">
        <f>IF($A237="","",IF($Q237=0,"",IFERROR(_xludf.MINIFS(Trade_Reports!$I$3:$I$502,Trade_Reports!$H$3:$H$502,$A237,Trade_Reports!$M$3:$M$502,"APPROVED",Trade_Reports!$Q$3:$Q$502,"&lt;="&amp;Settings!$B$5,Trade_Reports!$X$3:$X$502,"&gt;="&amp;0.5*$Q237),"")))</f>
        <v/>
      </c>
      <c r="S237" s="2" t="str">
        <f>IF($A237="","",COUNTIFS(Trade_Reports!$H$3:$H$502,$A237,Trade_Reports!$M$3:$M$502,"APPROVED",Trade_Reports!$Q$3:$Q$502,"&lt;="&amp;Settings!$B$5))</f>
        <v/>
      </c>
      <c r="T237" s="2"/>
      <c r="U237" s="2"/>
      <c r="V237" s="21" t="str">
        <f>IF(OR($A237="",ISERROR(SEARCH("_",$A237))),"",IFERROR(SUMIFS(Trade_Reports!$Z$3:$Z$502,Trade_Reports!$H$3:$H$502,$A237,Trade_Reports!$M$3:$M$502,"APPROVED")/SUMIFS(Trade_Reports!$U$3:$U$502,Trade_Reports!$H$3:$H$502,$A237,Trade_Reports!$M$3:$M$502,"APPROVED"),""))</f>
        <v/>
      </c>
      <c r="W237" s="17" t="str">
        <f t="shared" si="1"/>
        <v/>
      </c>
      <c r="X237" s="2"/>
      <c r="Y237" s="2"/>
      <c r="Z237" s="2"/>
    </row>
    <row r="238" spans="1:26" ht="15.75" customHeight="1" x14ac:dyDescent="0.3">
      <c r="A238" s="15"/>
      <c r="B238" s="15"/>
      <c r="C238" s="16"/>
      <c r="D238" s="16"/>
      <c r="E238" s="16"/>
      <c r="F238" s="17" t="str">
        <f>IF($A238="","",IF($K238&lt;Settings!$B$14,"",IF($P238=0,"",IFERROR(_xludf.MINIFS(Trade_Reports!$I$3:$I$502,Trade_Reports!$H$3:$H$502,$A238,Trade_Reports!$M$3:$M$502,"APPROVED",Trade_Reports!$Q$3:$Q$502,"&lt;="&amp;Settings!$B$4,Trade_Reports!$W$3:$W$502,"&gt;="&amp;0.5*$P238),""))))</f>
        <v/>
      </c>
      <c r="G238" s="17" t="str">
        <f>IF($A238="","",IF($K238=0,"",IFERROR(_xludf.MINIFS(Trade_Reports!$I$3:$I$502,Trade_Reports!$H$3:$H$502,$A238,Trade_Reports!$M$3:$M$502,"APPROVED",Trade_Reports!$Q$3:$Q$502,"&lt;="&amp;Settings!$B$4),"")))</f>
        <v/>
      </c>
      <c r="H238" s="17" t="str">
        <f>IF($A238="","",IF($K238=0,"",IFERROR(_xludf.MAXIFS(Trade_Reports!$I$3:$I$502,Trade_Reports!$H$3:$H$502,$A238,Trade_Reports!$M$3:$M$502,"APPROVED",Trade_Reports!$Q$3:$Q$502,"&lt;="&amp;Settings!$B$4),"")))</f>
        <v/>
      </c>
      <c r="I238" s="17" t="str">
        <f>IF($A238="","",IF($F238="","",IF($Q238="","",IF(ABS($F238-$Q238)/$Q238&lt;=Settings!$B$18,"STABLE",IF($F238&gt;$Q238,"UP","DOWN")))))</f>
        <v/>
      </c>
      <c r="J238" s="18" t="str">
        <f>IF($A238="","",IF($K238=0,"",MIN(100,ROUND($K238/Settings!$B$14*100,0))))</f>
        <v/>
      </c>
      <c r="K238" s="17" t="str">
        <f>IF($A238="","",COUNTIFS(Trade_Reports!$H$3:$H$502,$A238,Trade_Reports!$M$3:$M$502,"APPROVED",Trade_Reports!$Q$3:$Q$502,"&lt;="&amp;Settings!$B$4))</f>
        <v/>
      </c>
      <c r="L238" s="19" t="str">
        <f>IF($A238="","",IF($K238=0,"",IFERROR(_xludf.MAXIFS(Trade_Reports!$O$3:$O$502,Trade_Reports!$H$3:$H$502,$A238,Trade_Reports!$M$3:$M$502,"APPROVED"),"")))</f>
        <v/>
      </c>
      <c r="M238" s="16" t="s">
        <v>46</v>
      </c>
      <c r="N238" s="15"/>
      <c r="O238" s="9" t="str">
        <f t="shared" si="0"/>
        <v/>
      </c>
      <c r="P238" s="2" t="str">
        <f>IF($A238="","",SUMIFS(Trade_Reports!$U$3:$U$502,Trade_Reports!$H$3:$H$502,$A238,Trade_Reports!$M$3:$M$502,"APPROVED",Trade_Reports!$Q$3:$Q$502,"&lt;="&amp;Settings!$B$4))</f>
        <v/>
      </c>
      <c r="Q238" s="2" t="str">
        <f>IF($A238="","",SUMIFS(Trade_Reports!$U$3:$U$502,Trade_Reports!$H$3:$H$502,$A238,Trade_Reports!$M$3:$M$502,"APPROVED",Trade_Reports!$Q$3:$Q$502,"&lt;="&amp;Settings!$B$5))</f>
        <v/>
      </c>
      <c r="R238" s="2" t="str">
        <f>IF($A238="","",IF($Q238=0,"",IFERROR(_xludf.MINIFS(Trade_Reports!$I$3:$I$502,Trade_Reports!$H$3:$H$502,$A238,Trade_Reports!$M$3:$M$502,"APPROVED",Trade_Reports!$Q$3:$Q$502,"&lt;="&amp;Settings!$B$5,Trade_Reports!$X$3:$X$502,"&gt;="&amp;0.5*$Q238),"")))</f>
        <v/>
      </c>
      <c r="S238" s="2" t="str">
        <f>IF($A238="","",COUNTIFS(Trade_Reports!$H$3:$H$502,$A238,Trade_Reports!$M$3:$M$502,"APPROVED",Trade_Reports!$Q$3:$Q$502,"&lt;="&amp;Settings!$B$5))</f>
        <v/>
      </c>
      <c r="T238" s="2"/>
      <c r="U238" s="2"/>
      <c r="V238" s="21" t="str">
        <f>IF(OR($A238="",ISERROR(SEARCH("_",$A238))),"",IFERROR(SUMIFS(Trade_Reports!$Z$3:$Z$502,Trade_Reports!$H$3:$H$502,$A238,Trade_Reports!$M$3:$M$502,"APPROVED")/SUMIFS(Trade_Reports!$U$3:$U$502,Trade_Reports!$H$3:$H$502,$A238,Trade_Reports!$M$3:$M$502,"APPROVED"),""))</f>
        <v/>
      </c>
      <c r="W238" s="17" t="str">
        <f t="shared" si="1"/>
        <v/>
      </c>
      <c r="X238" s="2"/>
      <c r="Y238" s="2"/>
      <c r="Z238" s="2"/>
    </row>
    <row r="239" spans="1:26" ht="15.75" customHeight="1" x14ac:dyDescent="0.3">
      <c r="A239" s="15"/>
      <c r="B239" s="15"/>
      <c r="C239" s="16"/>
      <c r="D239" s="16"/>
      <c r="E239" s="16"/>
      <c r="F239" s="17" t="str">
        <f>IF($A239="","",IF($K239&lt;Settings!$B$14,"",IF($P239=0,"",IFERROR(_xludf.MINIFS(Trade_Reports!$I$3:$I$502,Trade_Reports!$H$3:$H$502,$A239,Trade_Reports!$M$3:$M$502,"APPROVED",Trade_Reports!$Q$3:$Q$502,"&lt;="&amp;Settings!$B$4,Trade_Reports!$W$3:$W$502,"&gt;="&amp;0.5*$P239),""))))</f>
        <v/>
      </c>
      <c r="G239" s="17" t="str">
        <f>IF($A239="","",IF($K239=0,"",IFERROR(_xludf.MINIFS(Trade_Reports!$I$3:$I$502,Trade_Reports!$H$3:$H$502,$A239,Trade_Reports!$M$3:$M$502,"APPROVED",Trade_Reports!$Q$3:$Q$502,"&lt;="&amp;Settings!$B$4),"")))</f>
        <v/>
      </c>
      <c r="H239" s="17" t="str">
        <f>IF($A239="","",IF($K239=0,"",IFERROR(_xludf.MAXIFS(Trade_Reports!$I$3:$I$502,Trade_Reports!$H$3:$H$502,$A239,Trade_Reports!$M$3:$M$502,"APPROVED",Trade_Reports!$Q$3:$Q$502,"&lt;="&amp;Settings!$B$4),"")))</f>
        <v/>
      </c>
      <c r="I239" s="17" t="str">
        <f>IF($A239="","",IF($F239="","",IF($Q239="","",IF(ABS($F239-$Q239)/$Q239&lt;=Settings!$B$18,"STABLE",IF($F239&gt;$Q239,"UP","DOWN")))))</f>
        <v/>
      </c>
      <c r="J239" s="18" t="str">
        <f>IF($A239="","",IF($K239=0,"",MIN(100,ROUND($K239/Settings!$B$14*100,0))))</f>
        <v/>
      </c>
      <c r="K239" s="17" t="str">
        <f>IF($A239="","",COUNTIFS(Trade_Reports!$H$3:$H$502,$A239,Trade_Reports!$M$3:$M$502,"APPROVED",Trade_Reports!$Q$3:$Q$502,"&lt;="&amp;Settings!$B$4))</f>
        <v/>
      </c>
      <c r="L239" s="19" t="str">
        <f>IF($A239="","",IF($K239=0,"",IFERROR(_xludf.MAXIFS(Trade_Reports!$O$3:$O$502,Trade_Reports!$H$3:$H$502,$A239,Trade_Reports!$M$3:$M$502,"APPROVED"),"")))</f>
        <v/>
      </c>
      <c r="M239" s="16" t="s">
        <v>46</v>
      </c>
      <c r="N239" s="15"/>
      <c r="O239" s="9" t="str">
        <f t="shared" si="0"/>
        <v/>
      </c>
      <c r="P239" s="2" t="str">
        <f>IF($A239="","",SUMIFS(Trade_Reports!$U$3:$U$502,Trade_Reports!$H$3:$H$502,$A239,Trade_Reports!$M$3:$M$502,"APPROVED",Trade_Reports!$Q$3:$Q$502,"&lt;="&amp;Settings!$B$4))</f>
        <v/>
      </c>
      <c r="Q239" s="2" t="str">
        <f>IF($A239="","",SUMIFS(Trade_Reports!$U$3:$U$502,Trade_Reports!$H$3:$H$502,$A239,Trade_Reports!$M$3:$M$502,"APPROVED",Trade_Reports!$Q$3:$Q$502,"&lt;="&amp;Settings!$B$5))</f>
        <v/>
      </c>
      <c r="R239" s="2" t="str">
        <f>IF($A239="","",IF($Q239=0,"",IFERROR(_xludf.MINIFS(Trade_Reports!$I$3:$I$502,Trade_Reports!$H$3:$H$502,$A239,Trade_Reports!$M$3:$M$502,"APPROVED",Trade_Reports!$Q$3:$Q$502,"&lt;="&amp;Settings!$B$5,Trade_Reports!$X$3:$X$502,"&gt;="&amp;0.5*$Q239),"")))</f>
        <v/>
      </c>
      <c r="S239" s="2" t="str">
        <f>IF($A239="","",COUNTIFS(Trade_Reports!$H$3:$H$502,$A239,Trade_Reports!$M$3:$M$502,"APPROVED",Trade_Reports!$Q$3:$Q$502,"&lt;="&amp;Settings!$B$5))</f>
        <v/>
      </c>
      <c r="T239" s="2"/>
      <c r="U239" s="2"/>
      <c r="V239" s="21" t="str">
        <f>IF(OR($A239="",ISERROR(SEARCH("_",$A239))),"",IFERROR(SUMIFS(Trade_Reports!$Z$3:$Z$502,Trade_Reports!$H$3:$H$502,$A239,Trade_Reports!$M$3:$M$502,"APPROVED")/SUMIFS(Trade_Reports!$U$3:$U$502,Trade_Reports!$H$3:$H$502,$A239,Trade_Reports!$M$3:$M$502,"APPROVED"),""))</f>
        <v/>
      </c>
      <c r="W239" s="17" t="str">
        <f t="shared" si="1"/>
        <v/>
      </c>
      <c r="X239" s="2"/>
      <c r="Y239" s="2"/>
      <c r="Z239" s="2"/>
    </row>
    <row r="240" spans="1:26" ht="15.75" customHeight="1" x14ac:dyDescent="0.3">
      <c r="A240" s="15"/>
      <c r="B240" s="15"/>
      <c r="C240" s="16"/>
      <c r="D240" s="16"/>
      <c r="E240" s="16"/>
      <c r="F240" s="17" t="str">
        <f>IF($A240="","",IF($K240&lt;Settings!$B$14,"",IF($P240=0,"",IFERROR(_xludf.MINIFS(Trade_Reports!$I$3:$I$502,Trade_Reports!$H$3:$H$502,$A240,Trade_Reports!$M$3:$M$502,"APPROVED",Trade_Reports!$Q$3:$Q$502,"&lt;="&amp;Settings!$B$4,Trade_Reports!$W$3:$W$502,"&gt;="&amp;0.5*$P240),""))))</f>
        <v/>
      </c>
      <c r="G240" s="17" t="str">
        <f>IF($A240="","",IF($K240=0,"",IFERROR(_xludf.MINIFS(Trade_Reports!$I$3:$I$502,Trade_Reports!$H$3:$H$502,$A240,Trade_Reports!$M$3:$M$502,"APPROVED",Trade_Reports!$Q$3:$Q$502,"&lt;="&amp;Settings!$B$4),"")))</f>
        <v/>
      </c>
      <c r="H240" s="17" t="str">
        <f>IF($A240="","",IF($K240=0,"",IFERROR(_xludf.MAXIFS(Trade_Reports!$I$3:$I$502,Trade_Reports!$H$3:$H$502,$A240,Trade_Reports!$M$3:$M$502,"APPROVED",Trade_Reports!$Q$3:$Q$502,"&lt;="&amp;Settings!$B$4),"")))</f>
        <v/>
      </c>
      <c r="I240" s="17" t="str">
        <f>IF($A240="","",IF($F240="","",IF($Q240="","",IF(ABS($F240-$Q240)/$Q240&lt;=Settings!$B$18,"STABLE",IF($F240&gt;$Q240,"UP","DOWN")))))</f>
        <v/>
      </c>
      <c r="J240" s="18" t="str">
        <f>IF($A240="","",IF($K240=0,"",MIN(100,ROUND($K240/Settings!$B$14*100,0))))</f>
        <v/>
      </c>
      <c r="K240" s="17" t="str">
        <f>IF($A240="","",COUNTIFS(Trade_Reports!$H$3:$H$502,$A240,Trade_Reports!$M$3:$M$502,"APPROVED",Trade_Reports!$Q$3:$Q$502,"&lt;="&amp;Settings!$B$4))</f>
        <v/>
      </c>
      <c r="L240" s="19" t="str">
        <f>IF($A240="","",IF($K240=0,"",IFERROR(_xludf.MAXIFS(Trade_Reports!$O$3:$O$502,Trade_Reports!$H$3:$H$502,$A240,Trade_Reports!$M$3:$M$502,"APPROVED"),"")))</f>
        <v/>
      </c>
      <c r="M240" s="16" t="s">
        <v>46</v>
      </c>
      <c r="N240" s="15"/>
      <c r="O240" s="9" t="str">
        <f t="shared" si="0"/>
        <v/>
      </c>
      <c r="P240" s="2" t="str">
        <f>IF($A240="","",SUMIFS(Trade_Reports!$U$3:$U$502,Trade_Reports!$H$3:$H$502,$A240,Trade_Reports!$M$3:$M$502,"APPROVED",Trade_Reports!$Q$3:$Q$502,"&lt;="&amp;Settings!$B$4))</f>
        <v/>
      </c>
      <c r="Q240" s="2" t="str">
        <f>IF($A240="","",SUMIFS(Trade_Reports!$U$3:$U$502,Trade_Reports!$H$3:$H$502,$A240,Trade_Reports!$M$3:$M$502,"APPROVED",Trade_Reports!$Q$3:$Q$502,"&lt;="&amp;Settings!$B$5))</f>
        <v/>
      </c>
      <c r="R240" s="2" t="str">
        <f>IF($A240="","",IF($Q240=0,"",IFERROR(_xludf.MINIFS(Trade_Reports!$I$3:$I$502,Trade_Reports!$H$3:$H$502,$A240,Trade_Reports!$M$3:$M$502,"APPROVED",Trade_Reports!$Q$3:$Q$502,"&lt;="&amp;Settings!$B$5,Trade_Reports!$X$3:$X$502,"&gt;="&amp;0.5*$Q240),"")))</f>
        <v/>
      </c>
      <c r="S240" s="2" t="str">
        <f>IF($A240="","",COUNTIFS(Trade_Reports!$H$3:$H$502,$A240,Trade_Reports!$M$3:$M$502,"APPROVED",Trade_Reports!$Q$3:$Q$502,"&lt;="&amp;Settings!$B$5))</f>
        <v/>
      </c>
      <c r="T240" s="2"/>
      <c r="U240" s="2"/>
      <c r="V240" s="21" t="str">
        <f>IF(OR($A240="",ISERROR(SEARCH("_",$A240))),"",IFERROR(SUMIFS(Trade_Reports!$Z$3:$Z$502,Trade_Reports!$H$3:$H$502,$A240,Trade_Reports!$M$3:$M$502,"APPROVED")/SUMIFS(Trade_Reports!$U$3:$U$502,Trade_Reports!$H$3:$H$502,$A240,Trade_Reports!$M$3:$M$502,"APPROVED"),""))</f>
        <v/>
      </c>
      <c r="W240" s="17" t="str">
        <f t="shared" si="1"/>
        <v/>
      </c>
      <c r="X240" s="2"/>
      <c r="Y240" s="2"/>
      <c r="Z240" s="2"/>
    </row>
    <row r="241" spans="1:26" ht="15.75" customHeight="1" x14ac:dyDescent="0.3">
      <c r="A241" s="15"/>
      <c r="B241" s="15"/>
      <c r="C241" s="16"/>
      <c r="D241" s="16"/>
      <c r="E241" s="16"/>
      <c r="F241" s="17" t="str">
        <f>IF($A241="","",IF($K241&lt;Settings!$B$14,"",IF($P241=0,"",IFERROR(_xludf.MINIFS(Trade_Reports!$I$3:$I$502,Trade_Reports!$H$3:$H$502,$A241,Trade_Reports!$M$3:$M$502,"APPROVED",Trade_Reports!$Q$3:$Q$502,"&lt;="&amp;Settings!$B$4,Trade_Reports!$W$3:$W$502,"&gt;="&amp;0.5*$P241),""))))</f>
        <v/>
      </c>
      <c r="G241" s="17" t="str">
        <f>IF($A241="","",IF($K241=0,"",IFERROR(_xludf.MINIFS(Trade_Reports!$I$3:$I$502,Trade_Reports!$H$3:$H$502,$A241,Trade_Reports!$M$3:$M$502,"APPROVED",Trade_Reports!$Q$3:$Q$502,"&lt;="&amp;Settings!$B$4),"")))</f>
        <v/>
      </c>
      <c r="H241" s="17" t="str">
        <f>IF($A241="","",IF($K241=0,"",IFERROR(_xludf.MAXIFS(Trade_Reports!$I$3:$I$502,Trade_Reports!$H$3:$H$502,$A241,Trade_Reports!$M$3:$M$502,"APPROVED",Trade_Reports!$Q$3:$Q$502,"&lt;="&amp;Settings!$B$4),"")))</f>
        <v/>
      </c>
      <c r="I241" s="17" t="str">
        <f>IF($A241="","",IF($F241="","",IF($Q241="","",IF(ABS($F241-$Q241)/$Q241&lt;=Settings!$B$18,"STABLE",IF($F241&gt;$Q241,"UP","DOWN")))))</f>
        <v/>
      </c>
      <c r="J241" s="18" t="str">
        <f>IF($A241="","",IF($K241=0,"",MIN(100,ROUND($K241/Settings!$B$14*100,0))))</f>
        <v/>
      </c>
      <c r="K241" s="17" t="str">
        <f>IF($A241="","",COUNTIFS(Trade_Reports!$H$3:$H$502,$A241,Trade_Reports!$M$3:$M$502,"APPROVED",Trade_Reports!$Q$3:$Q$502,"&lt;="&amp;Settings!$B$4))</f>
        <v/>
      </c>
      <c r="L241" s="19" t="str">
        <f>IF($A241="","",IF($K241=0,"",IFERROR(_xludf.MAXIFS(Trade_Reports!$O$3:$O$502,Trade_Reports!$H$3:$H$502,$A241,Trade_Reports!$M$3:$M$502,"APPROVED"),"")))</f>
        <v/>
      </c>
      <c r="M241" s="16" t="s">
        <v>46</v>
      </c>
      <c r="N241" s="15"/>
      <c r="O241" s="9" t="str">
        <f t="shared" si="0"/>
        <v/>
      </c>
      <c r="P241" s="2" t="str">
        <f>IF($A241="","",SUMIFS(Trade_Reports!$U$3:$U$502,Trade_Reports!$H$3:$H$502,$A241,Trade_Reports!$M$3:$M$502,"APPROVED",Trade_Reports!$Q$3:$Q$502,"&lt;="&amp;Settings!$B$4))</f>
        <v/>
      </c>
      <c r="Q241" s="2" t="str">
        <f>IF($A241="","",SUMIFS(Trade_Reports!$U$3:$U$502,Trade_Reports!$H$3:$H$502,$A241,Trade_Reports!$M$3:$M$502,"APPROVED",Trade_Reports!$Q$3:$Q$502,"&lt;="&amp;Settings!$B$5))</f>
        <v/>
      </c>
      <c r="R241" s="2" t="str">
        <f>IF($A241="","",IF($Q241=0,"",IFERROR(_xludf.MINIFS(Trade_Reports!$I$3:$I$502,Trade_Reports!$H$3:$H$502,$A241,Trade_Reports!$M$3:$M$502,"APPROVED",Trade_Reports!$Q$3:$Q$502,"&lt;="&amp;Settings!$B$5,Trade_Reports!$X$3:$X$502,"&gt;="&amp;0.5*$Q241),"")))</f>
        <v/>
      </c>
      <c r="S241" s="2" t="str">
        <f>IF($A241="","",COUNTIFS(Trade_Reports!$H$3:$H$502,$A241,Trade_Reports!$M$3:$M$502,"APPROVED",Trade_Reports!$Q$3:$Q$502,"&lt;="&amp;Settings!$B$5))</f>
        <v/>
      </c>
      <c r="T241" s="2"/>
      <c r="U241" s="2"/>
      <c r="V241" s="21" t="str">
        <f>IF(OR($A241="",ISERROR(SEARCH("_",$A241))),"",IFERROR(SUMIFS(Trade_Reports!$Z$3:$Z$502,Trade_Reports!$H$3:$H$502,$A241,Trade_Reports!$M$3:$M$502,"APPROVED")/SUMIFS(Trade_Reports!$U$3:$U$502,Trade_Reports!$H$3:$H$502,$A241,Trade_Reports!$M$3:$M$502,"APPROVED"),""))</f>
        <v/>
      </c>
      <c r="W241" s="17" t="str">
        <f t="shared" si="1"/>
        <v/>
      </c>
      <c r="X241" s="2"/>
      <c r="Y241" s="2"/>
      <c r="Z241" s="2"/>
    </row>
    <row r="242" spans="1:26" ht="15.75" customHeight="1" x14ac:dyDescent="0.3">
      <c r="A242" s="15"/>
      <c r="B242" s="15"/>
      <c r="C242" s="16"/>
      <c r="D242" s="16"/>
      <c r="E242" s="16"/>
      <c r="F242" s="17" t="str">
        <f>IF($A242="","",IF($K242&lt;Settings!$B$14,"",IF($P242=0,"",IFERROR(_xludf.MINIFS(Trade_Reports!$I$3:$I$502,Trade_Reports!$H$3:$H$502,$A242,Trade_Reports!$M$3:$M$502,"APPROVED",Trade_Reports!$Q$3:$Q$502,"&lt;="&amp;Settings!$B$4,Trade_Reports!$W$3:$W$502,"&gt;="&amp;0.5*$P242),""))))</f>
        <v/>
      </c>
      <c r="G242" s="17" t="str">
        <f>IF($A242="","",IF($K242=0,"",IFERROR(_xludf.MINIFS(Trade_Reports!$I$3:$I$502,Trade_Reports!$H$3:$H$502,$A242,Trade_Reports!$M$3:$M$502,"APPROVED",Trade_Reports!$Q$3:$Q$502,"&lt;="&amp;Settings!$B$4),"")))</f>
        <v/>
      </c>
      <c r="H242" s="17" t="str">
        <f>IF($A242="","",IF($K242=0,"",IFERROR(_xludf.MAXIFS(Trade_Reports!$I$3:$I$502,Trade_Reports!$H$3:$H$502,$A242,Trade_Reports!$M$3:$M$502,"APPROVED",Trade_Reports!$Q$3:$Q$502,"&lt;="&amp;Settings!$B$4),"")))</f>
        <v/>
      </c>
      <c r="I242" s="17" t="str">
        <f>IF($A242="","",IF($F242="","",IF($Q242="","",IF(ABS($F242-$Q242)/$Q242&lt;=Settings!$B$18,"STABLE",IF($F242&gt;$Q242,"UP","DOWN")))))</f>
        <v/>
      </c>
      <c r="J242" s="18" t="str">
        <f>IF($A242="","",IF($K242=0,"",MIN(100,ROUND($K242/Settings!$B$14*100,0))))</f>
        <v/>
      </c>
      <c r="K242" s="17" t="str">
        <f>IF($A242="","",COUNTIFS(Trade_Reports!$H$3:$H$502,$A242,Trade_Reports!$M$3:$M$502,"APPROVED",Trade_Reports!$Q$3:$Q$502,"&lt;="&amp;Settings!$B$4))</f>
        <v/>
      </c>
      <c r="L242" s="19" t="str">
        <f>IF($A242="","",IF($K242=0,"",IFERROR(_xludf.MAXIFS(Trade_Reports!$O$3:$O$502,Trade_Reports!$H$3:$H$502,$A242,Trade_Reports!$M$3:$M$502,"APPROVED"),"")))</f>
        <v/>
      </c>
      <c r="M242" s="16" t="s">
        <v>46</v>
      </c>
      <c r="N242" s="15"/>
      <c r="O242" s="9" t="str">
        <f t="shared" si="0"/>
        <v/>
      </c>
      <c r="P242" s="2" t="str">
        <f>IF($A242="","",SUMIFS(Trade_Reports!$U$3:$U$502,Trade_Reports!$H$3:$H$502,$A242,Trade_Reports!$M$3:$M$502,"APPROVED",Trade_Reports!$Q$3:$Q$502,"&lt;="&amp;Settings!$B$4))</f>
        <v/>
      </c>
      <c r="Q242" s="2" t="str">
        <f>IF($A242="","",SUMIFS(Trade_Reports!$U$3:$U$502,Trade_Reports!$H$3:$H$502,$A242,Trade_Reports!$M$3:$M$502,"APPROVED",Trade_Reports!$Q$3:$Q$502,"&lt;="&amp;Settings!$B$5))</f>
        <v/>
      </c>
      <c r="R242" s="2" t="str">
        <f>IF($A242="","",IF($Q242=0,"",IFERROR(_xludf.MINIFS(Trade_Reports!$I$3:$I$502,Trade_Reports!$H$3:$H$502,$A242,Trade_Reports!$M$3:$M$502,"APPROVED",Trade_Reports!$Q$3:$Q$502,"&lt;="&amp;Settings!$B$5,Trade_Reports!$X$3:$X$502,"&gt;="&amp;0.5*$Q242),"")))</f>
        <v/>
      </c>
      <c r="S242" s="2" t="str">
        <f>IF($A242="","",COUNTIFS(Trade_Reports!$H$3:$H$502,$A242,Trade_Reports!$M$3:$M$502,"APPROVED",Trade_Reports!$Q$3:$Q$502,"&lt;="&amp;Settings!$B$5))</f>
        <v/>
      </c>
      <c r="T242" s="2"/>
      <c r="U242" s="2"/>
      <c r="V242" s="21" t="str">
        <f>IF(OR($A242="",ISERROR(SEARCH("_",$A242))),"",IFERROR(SUMIFS(Trade_Reports!$Z$3:$Z$502,Trade_Reports!$H$3:$H$502,$A242,Trade_Reports!$M$3:$M$502,"APPROVED")/SUMIFS(Trade_Reports!$U$3:$U$502,Trade_Reports!$H$3:$H$502,$A242,Trade_Reports!$M$3:$M$502,"APPROVED"),""))</f>
        <v/>
      </c>
      <c r="W242" s="17" t="str">
        <f t="shared" si="1"/>
        <v/>
      </c>
      <c r="X242" s="2"/>
      <c r="Y242" s="2"/>
      <c r="Z242" s="2"/>
    </row>
    <row r="243" spans="1:26" ht="15.75" customHeight="1" x14ac:dyDescent="0.3">
      <c r="A243" s="15"/>
      <c r="B243" s="15"/>
      <c r="C243" s="16"/>
      <c r="D243" s="16"/>
      <c r="E243" s="16"/>
      <c r="F243" s="17" t="str">
        <f>IF($A243="","",IF($K243&lt;Settings!$B$14,"",IF($P243=0,"",IFERROR(_xludf.MINIFS(Trade_Reports!$I$3:$I$502,Trade_Reports!$H$3:$H$502,$A243,Trade_Reports!$M$3:$M$502,"APPROVED",Trade_Reports!$Q$3:$Q$502,"&lt;="&amp;Settings!$B$4,Trade_Reports!$W$3:$W$502,"&gt;="&amp;0.5*$P243),""))))</f>
        <v/>
      </c>
      <c r="G243" s="17" t="str">
        <f>IF($A243="","",IF($K243=0,"",IFERROR(_xludf.MINIFS(Trade_Reports!$I$3:$I$502,Trade_Reports!$H$3:$H$502,$A243,Trade_Reports!$M$3:$M$502,"APPROVED",Trade_Reports!$Q$3:$Q$502,"&lt;="&amp;Settings!$B$4),"")))</f>
        <v/>
      </c>
      <c r="H243" s="17" t="str">
        <f>IF($A243="","",IF($K243=0,"",IFERROR(_xludf.MAXIFS(Trade_Reports!$I$3:$I$502,Trade_Reports!$H$3:$H$502,$A243,Trade_Reports!$M$3:$M$502,"APPROVED",Trade_Reports!$Q$3:$Q$502,"&lt;="&amp;Settings!$B$4),"")))</f>
        <v/>
      </c>
      <c r="I243" s="17" t="str">
        <f>IF($A243="","",IF($F243="","",IF($Q243="","",IF(ABS($F243-$Q243)/$Q243&lt;=Settings!$B$18,"STABLE",IF($F243&gt;$Q243,"UP","DOWN")))))</f>
        <v/>
      </c>
      <c r="J243" s="18" t="str">
        <f>IF($A243="","",IF($K243=0,"",MIN(100,ROUND($K243/Settings!$B$14*100,0))))</f>
        <v/>
      </c>
      <c r="K243" s="17" t="str">
        <f>IF($A243="","",COUNTIFS(Trade_Reports!$H$3:$H$502,$A243,Trade_Reports!$M$3:$M$502,"APPROVED",Trade_Reports!$Q$3:$Q$502,"&lt;="&amp;Settings!$B$4))</f>
        <v/>
      </c>
      <c r="L243" s="19" t="str">
        <f>IF($A243="","",IF($K243=0,"",IFERROR(_xludf.MAXIFS(Trade_Reports!$O$3:$O$502,Trade_Reports!$H$3:$H$502,$A243,Trade_Reports!$M$3:$M$502,"APPROVED"),"")))</f>
        <v/>
      </c>
      <c r="M243" s="16" t="s">
        <v>46</v>
      </c>
      <c r="N243" s="15"/>
      <c r="O243" s="9" t="str">
        <f t="shared" si="0"/>
        <v/>
      </c>
      <c r="P243" s="2" t="str">
        <f>IF($A243="","",SUMIFS(Trade_Reports!$U$3:$U$502,Trade_Reports!$H$3:$H$502,$A243,Trade_Reports!$M$3:$M$502,"APPROVED",Trade_Reports!$Q$3:$Q$502,"&lt;="&amp;Settings!$B$4))</f>
        <v/>
      </c>
      <c r="Q243" s="2" t="str">
        <f>IF($A243="","",SUMIFS(Trade_Reports!$U$3:$U$502,Trade_Reports!$H$3:$H$502,$A243,Trade_Reports!$M$3:$M$502,"APPROVED",Trade_Reports!$Q$3:$Q$502,"&lt;="&amp;Settings!$B$5))</f>
        <v/>
      </c>
      <c r="R243" s="2" t="str">
        <f>IF($A243="","",IF($Q243=0,"",IFERROR(_xludf.MINIFS(Trade_Reports!$I$3:$I$502,Trade_Reports!$H$3:$H$502,$A243,Trade_Reports!$M$3:$M$502,"APPROVED",Trade_Reports!$Q$3:$Q$502,"&lt;="&amp;Settings!$B$5,Trade_Reports!$X$3:$X$502,"&gt;="&amp;0.5*$Q243),"")))</f>
        <v/>
      </c>
      <c r="S243" s="2" t="str">
        <f>IF($A243="","",COUNTIFS(Trade_Reports!$H$3:$H$502,$A243,Trade_Reports!$M$3:$M$502,"APPROVED",Trade_Reports!$Q$3:$Q$502,"&lt;="&amp;Settings!$B$5))</f>
        <v/>
      </c>
      <c r="T243" s="2"/>
      <c r="U243" s="2"/>
      <c r="V243" s="21" t="str">
        <f>IF(OR($A243="",ISERROR(SEARCH("_",$A243))),"",IFERROR(SUMIFS(Trade_Reports!$Z$3:$Z$502,Trade_Reports!$H$3:$H$502,$A243,Trade_Reports!$M$3:$M$502,"APPROVED")/SUMIFS(Trade_Reports!$U$3:$U$502,Trade_Reports!$H$3:$H$502,$A243,Trade_Reports!$M$3:$M$502,"APPROVED"),""))</f>
        <v/>
      </c>
      <c r="W243" s="17" t="str">
        <f t="shared" si="1"/>
        <v/>
      </c>
      <c r="X243" s="2"/>
      <c r="Y243" s="2"/>
      <c r="Z243" s="2"/>
    </row>
    <row r="244" spans="1:26" ht="15.75" customHeight="1" x14ac:dyDescent="0.3">
      <c r="A244" s="15"/>
      <c r="B244" s="15"/>
      <c r="C244" s="16"/>
      <c r="D244" s="16"/>
      <c r="E244" s="16"/>
      <c r="F244" s="17" t="str">
        <f>IF($A244="","",IF($K244&lt;Settings!$B$14,"",IF($P244=0,"",IFERROR(_xludf.MINIFS(Trade_Reports!$I$3:$I$502,Trade_Reports!$H$3:$H$502,$A244,Trade_Reports!$M$3:$M$502,"APPROVED",Trade_Reports!$Q$3:$Q$502,"&lt;="&amp;Settings!$B$4,Trade_Reports!$W$3:$W$502,"&gt;="&amp;0.5*$P244),""))))</f>
        <v/>
      </c>
      <c r="G244" s="17" t="str">
        <f>IF($A244="","",IF($K244=0,"",IFERROR(_xludf.MINIFS(Trade_Reports!$I$3:$I$502,Trade_Reports!$H$3:$H$502,$A244,Trade_Reports!$M$3:$M$502,"APPROVED",Trade_Reports!$Q$3:$Q$502,"&lt;="&amp;Settings!$B$4),"")))</f>
        <v/>
      </c>
      <c r="H244" s="17" t="str">
        <f>IF($A244="","",IF($K244=0,"",IFERROR(_xludf.MAXIFS(Trade_Reports!$I$3:$I$502,Trade_Reports!$H$3:$H$502,$A244,Trade_Reports!$M$3:$M$502,"APPROVED",Trade_Reports!$Q$3:$Q$502,"&lt;="&amp;Settings!$B$4),"")))</f>
        <v/>
      </c>
      <c r="I244" s="17" t="str">
        <f>IF($A244="","",IF($F244="","",IF($Q244="","",IF(ABS($F244-$Q244)/$Q244&lt;=Settings!$B$18,"STABLE",IF($F244&gt;$Q244,"UP","DOWN")))))</f>
        <v/>
      </c>
      <c r="J244" s="18" t="str">
        <f>IF($A244="","",IF($K244=0,"",MIN(100,ROUND($K244/Settings!$B$14*100,0))))</f>
        <v/>
      </c>
      <c r="K244" s="17" t="str">
        <f>IF($A244="","",COUNTIFS(Trade_Reports!$H$3:$H$502,$A244,Trade_Reports!$M$3:$M$502,"APPROVED",Trade_Reports!$Q$3:$Q$502,"&lt;="&amp;Settings!$B$4))</f>
        <v/>
      </c>
      <c r="L244" s="19" t="str">
        <f>IF($A244="","",IF($K244=0,"",IFERROR(_xludf.MAXIFS(Trade_Reports!$O$3:$O$502,Trade_Reports!$H$3:$H$502,$A244,Trade_Reports!$M$3:$M$502,"APPROVED"),"")))</f>
        <v/>
      </c>
      <c r="M244" s="16" t="s">
        <v>46</v>
      </c>
      <c r="N244" s="15"/>
      <c r="O244" s="9" t="str">
        <f t="shared" si="0"/>
        <v/>
      </c>
      <c r="P244" s="2" t="str">
        <f>IF($A244="","",SUMIFS(Trade_Reports!$U$3:$U$502,Trade_Reports!$H$3:$H$502,$A244,Trade_Reports!$M$3:$M$502,"APPROVED",Trade_Reports!$Q$3:$Q$502,"&lt;="&amp;Settings!$B$4))</f>
        <v/>
      </c>
      <c r="Q244" s="2" t="str">
        <f>IF($A244="","",SUMIFS(Trade_Reports!$U$3:$U$502,Trade_Reports!$H$3:$H$502,$A244,Trade_Reports!$M$3:$M$502,"APPROVED",Trade_Reports!$Q$3:$Q$502,"&lt;="&amp;Settings!$B$5))</f>
        <v/>
      </c>
      <c r="R244" s="2" t="str">
        <f>IF($A244="","",IF($Q244=0,"",IFERROR(_xludf.MINIFS(Trade_Reports!$I$3:$I$502,Trade_Reports!$H$3:$H$502,$A244,Trade_Reports!$M$3:$M$502,"APPROVED",Trade_Reports!$Q$3:$Q$502,"&lt;="&amp;Settings!$B$5,Trade_Reports!$X$3:$X$502,"&gt;="&amp;0.5*$Q244),"")))</f>
        <v/>
      </c>
      <c r="S244" s="2" t="str">
        <f>IF($A244="","",COUNTIFS(Trade_Reports!$H$3:$H$502,$A244,Trade_Reports!$M$3:$M$502,"APPROVED",Trade_Reports!$Q$3:$Q$502,"&lt;="&amp;Settings!$B$5))</f>
        <v/>
      </c>
      <c r="T244" s="2"/>
      <c r="U244" s="2"/>
      <c r="V244" s="21" t="str">
        <f>IF(OR($A244="",ISERROR(SEARCH("_",$A244))),"",IFERROR(SUMIFS(Trade_Reports!$Z$3:$Z$502,Trade_Reports!$H$3:$H$502,$A244,Trade_Reports!$M$3:$M$502,"APPROVED")/SUMIFS(Trade_Reports!$U$3:$U$502,Trade_Reports!$H$3:$H$502,$A244,Trade_Reports!$M$3:$M$502,"APPROVED"),""))</f>
        <v/>
      </c>
      <c r="W244" s="17" t="str">
        <f t="shared" si="1"/>
        <v/>
      </c>
      <c r="X244" s="2"/>
      <c r="Y244" s="2"/>
      <c r="Z244" s="2"/>
    </row>
    <row r="245" spans="1:26" ht="15.75" customHeight="1" x14ac:dyDescent="0.3">
      <c r="A245" s="15"/>
      <c r="B245" s="15"/>
      <c r="C245" s="16"/>
      <c r="D245" s="16"/>
      <c r="E245" s="16"/>
      <c r="F245" s="17" t="str">
        <f>IF($A245="","",IF($K245&lt;Settings!$B$14,"",IF($P245=0,"",IFERROR(_xludf.MINIFS(Trade_Reports!$I$3:$I$502,Trade_Reports!$H$3:$H$502,$A245,Trade_Reports!$M$3:$M$502,"APPROVED",Trade_Reports!$Q$3:$Q$502,"&lt;="&amp;Settings!$B$4,Trade_Reports!$W$3:$W$502,"&gt;="&amp;0.5*$P245),""))))</f>
        <v/>
      </c>
      <c r="G245" s="17" t="str">
        <f>IF($A245="","",IF($K245=0,"",IFERROR(_xludf.MINIFS(Trade_Reports!$I$3:$I$502,Trade_Reports!$H$3:$H$502,$A245,Trade_Reports!$M$3:$M$502,"APPROVED",Trade_Reports!$Q$3:$Q$502,"&lt;="&amp;Settings!$B$4),"")))</f>
        <v/>
      </c>
      <c r="H245" s="17" t="str">
        <f>IF($A245="","",IF($K245=0,"",IFERROR(_xludf.MAXIFS(Trade_Reports!$I$3:$I$502,Trade_Reports!$H$3:$H$502,$A245,Trade_Reports!$M$3:$M$502,"APPROVED",Trade_Reports!$Q$3:$Q$502,"&lt;="&amp;Settings!$B$4),"")))</f>
        <v/>
      </c>
      <c r="I245" s="17" t="str">
        <f>IF($A245="","",IF($F245="","",IF($Q245="","",IF(ABS($F245-$Q245)/$Q245&lt;=Settings!$B$18,"STABLE",IF($F245&gt;$Q245,"UP","DOWN")))))</f>
        <v/>
      </c>
      <c r="J245" s="18" t="str">
        <f>IF($A245="","",IF($K245=0,"",MIN(100,ROUND($K245/Settings!$B$14*100,0))))</f>
        <v/>
      </c>
      <c r="K245" s="17" t="str">
        <f>IF($A245="","",COUNTIFS(Trade_Reports!$H$3:$H$502,$A245,Trade_Reports!$M$3:$M$502,"APPROVED",Trade_Reports!$Q$3:$Q$502,"&lt;="&amp;Settings!$B$4))</f>
        <v/>
      </c>
      <c r="L245" s="19" t="str">
        <f>IF($A245="","",IF($K245=0,"",IFERROR(_xludf.MAXIFS(Trade_Reports!$O$3:$O$502,Trade_Reports!$H$3:$H$502,$A245,Trade_Reports!$M$3:$M$502,"APPROVED"),"")))</f>
        <v/>
      </c>
      <c r="M245" s="16" t="s">
        <v>46</v>
      </c>
      <c r="N245" s="15"/>
      <c r="O245" s="9" t="str">
        <f t="shared" si="0"/>
        <v/>
      </c>
      <c r="P245" s="2" t="str">
        <f>IF($A245="","",SUMIFS(Trade_Reports!$U$3:$U$502,Trade_Reports!$H$3:$H$502,$A245,Trade_Reports!$M$3:$M$502,"APPROVED",Trade_Reports!$Q$3:$Q$502,"&lt;="&amp;Settings!$B$4))</f>
        <v/>
      </c>
      <c r="Q245" s="2" t="str">
        <f>IF($A245="","",SUMIFS(Trade_Reports!$U$3:$U$502,Trade_Reports!$H$3:$H$502,$A245,Trade_Reports!$M$3:$M$502,"APPROVED",Trade_Reports!$Q$3:$Q$502,"&lt;="&amp;Settings!$B$5))</f>
        <v/>
      </c>
      <c r="R245" s="2" t="str">
        <f>IF($A245="","",IF($Q245=0,"",IFERROR(_xludf.MINIFS(Trade_Reports!$I$3:$I$502,Trade_Reports!$H$3:$H$502,$A245,Trade_Reports!$M$3:$M$502,"APPROVED",Trade_Reports!$Q$3:$Q$502,"&lt;="&amp;Settings!$B$5,Trade_Reports!$X$3:$X$502,"&gt;="&amp;0.5*$Q245),"")))</f>
        <v/>
      </c>
      <c r="S245" s="2" t="str">
        <f>IF($A245="","",COUNTIFS(Trade_Reports!$H$3:$H$502,$A245,Trade_Reports!$M$3:$M$502,"APPROVED",Trade_Reports!$Q$3:$Q$502,"&lt;="&amp;Settings!$B$5))</f>
        <v/>
      </c>
      <c r="T245" s="2"/>
      <c r="U245" s="2"/>
      <c r="V245" s="21" t="str">
        <f>IF(OR($A245="",ISERROR(SEARCH("_",$A245))),"",IFERROR(SUMIFS(Trade_Reports!$Z$3:$Z$502,Trade_Reports!$H$3:$H$502,$A245,Trade_Reports!$M$3:$M$502,"APPROVED")/SUMIFS(Trade_Reports!$U$3:$U$502,Trade_Reports!$H$3:$H$502,$A245,Trade_Reports!$M$3:$M$502,"APPROVED"),""))</f>
        <v/>
      </c>
      <c r="W245" s="17" t="str">
        <f t="shared" si="1"/>
        <v/>
      </c>
      <c r="X245" s="2"/>
      <c r="Y245" s="2"/>
      <c r="Z245" s="2"/>
    </row>
    <row r="246" spans="1:26" ht="15.75" customHeight="1" x14ac:dyDescent="0.3">
      <c r="A246" s="15"/>
      <c r="B246" s="15"/>
      <c r="C246" s="16"/>
      <c r="D246" s="16"/>
      <c r="E246" s="16"/>
      <c r="F246" s="17" t="str">
        <f>IF($A246="","",IF($K246&lt;Settings!$B$14,"",IF($P246=0,"",IFERROR(_xludf.MINIFS(Trade_Reports!$I$3:$I$502,Trade_Reports!$H$3:$H$502,$A246,Trade_Reports!$M$3:$M$502,"APPROVED",Trade_Reports!$Q$3:$Q$502,"&lt;="&amp;Settings!$B$4,Trade_Reports!$W$3:$W$502,"&gt;="&amp;0.5*$P246),""))))</f>
        <v/>
      </c>
      <c r="G246" s="17" t="str">
        <f>IF($A246="","",IF($K246=0,"",IFERROR(_xludf.MINIFS(Trade_Reports!$I$3:$I$502,Trade_Reports!$H$3:$H$502,$A246,Trade_Reports!$M$3:$M$502,"APPROVED",Trade_Reports!$Q$3:$Q$502,"&lt;="&amp;Settings!$B$4),"")))</f>
        <v/>
      </c>
      <c r="H246" s="17" t="str">
        <f>IF($A246="","",IF($K246=0,"",IFERROR(_xludf.MAXIFS(Trade_Reports!$I$3:$I$502,Trade_Reports!$H$3:$H$502,$A246,Trade_Reports!$M$3:$M$502,"APPROVED",Trade_Reports!$Q$3:$Q$502,"&lt;="&amp;Settings!$B$4),"")))</f>
        <v/>
      </c>
      <c r="I246" s="17" t="str">
        <f>IF($A246="","",IF($F246="","",IF($Q246="","",IF(ABS($F246-$Q246)/$Q246&lt;=Settings!$B$18,"STABLE",IF($F246&gt;$Q246,"UP","DOWN")))))</f>
        <v/>
      </c>
      <c r="J246" s="18" t="str">
        <f>IF($A246="","",IF($K246=0,"",MIN(100,ROUND($K246/Settings!$B$14*100,0))))</f>
        <v/>
      </c>
      <c r="K246" s="17" t="str">
        <f>IF($A246="","",COUNTIFS(Trade_Reports!$H$3:$H$502,$A246,Trade_Reports!$M$3:$M$502,"APPROVED",Trade_Reports!$Q$3:$Q$502,"&lt;="&amp;Settings!$B$4))</f>
        <v/>
      </c>
      <c r="L246" s="19" t="str">
        <f>IF($A246="","",IF($K246=0,"",IFERROR(_xludf.MAXIFS(Trade_Reports!$O$3:$O$502,Trade_Reports!$H$3:$H$502,$A246,Trade_Reports!$M$3:$M$502,"APPROVED"),"")))</f>
        <v/>
      </c>
      <c r="M246" s="16" t="s">
        <v>46</v>
      </c>
      <c r="N246" s="15"/>
      <c r="O246" s="9" t="str">
        <f t="shared" si="0"/>
        <v/>
      </c>
      <c r="P246" s="2" t="str">
        <f>IF($A246="","",SUMIFS(Trade_Reports!$U$3:$U$502,Trade_Reports!$H$3:$H$502,$A246,Trade_Reports!$M$3:$M$502,"APPROVED",Trade_Reports!$Q$3:$Q$502,"&lt;="&amp;Settings!$B$4))</f>
        <v/>
      </c>
      <c r="Q246" s="2" t="str">
        <f>IF($A246="","",SUMIFS(Trade_Reports!$U$3:$U$502,Trade_Reports!$H$3:$H$502,$A246,Trade_Reports!$M$3:$M$502,"APPROVED",Trade_Reports!$Q$3:$Q$502,"&lt;="&amp;Settings!$B$5))</f>
        <v/>
      </c>
      <c r="R246" s="2" t="str">
        <f>IF($A246="","",IF($Q246=0,"",IFERROR(_xludf.MINIFS(Trade_Reports!$I$3:$I$502,Trade_Reports!$H$3:$H$502,$A246,Trade_Reports!$M$3:$M$502,"APPROVED",Trade_Reports!$Q$3:$Q$502,"&lt;="&amp;Settings!$B$5,Trade_Reports!$X$3:$X$502,"&gt;="&amp;0.5*$Q246),"")))</f>
        <v/>
      </c>
      <c r="S246" s="2" t="str">
        <f>IF($A246="","",COUNTIFS(Trade_Reports!$H$3:$H$502,$A246,Trade_Reports!$M$3:$M$502,"APPROVED",Trade_Reports!$Q$3:$Q$502,"&lt;="&amp;Settings!$B$5))</f>
        <v/>
      </c>
      <c r="T246" s="2"/>
      <c r="U246" s="2"/>
      <c r="V246" s="21" t="str">
        <f>IF(OR($A246="",ISERROR(SEARCH("_",$A246))),"",IFERROR(SUMIFS(Trade_Reports!$Z$3:$Z$502,Trade_Reports!$H$3:$H$502,$A246,Trade_Reports!$M$3:$M$502,"APPROVED")/SUMIFS(Trade_Reports!$U$3:$U$502,Trade_Reports!$H$3:$H$502,$A246,Trade_Reports!$M$3:$M$502,"APPROVED"),""))</f>
        <v/>
      </c>
      <c r="W246" s="17" t="str">
        <f t="shared" si="1"/>
        <v/>
      </c>
      <c r="X246" s="2"/>
      <c r="Y246" s="2"/>
      <c r="Z246" s="2"/>
    </row>
    <row r="247" spans="1:26" ht="15.75" customHeight="1" x14ac:dyDescent="0.3">
      <c r="A247" s="15"/>
      <c r="B247" s="15"/>
      <c r="C247" s="16"/>
      <c r="D247" s="16"/>
      <c r="E247" s="16"/>
      <c r="F247" s="17" t="str">
        <f>IF($A247="","",IF($K247&lt;Settings!$B$14,"",IF($P247=0,"",IFERROR(_xludf.MINIFS(Trade_Reports!$I$3:$I$502,Trade_Reports!$H$3:$H$502,$A247,Trade_Reports!$M$3:$M$502,"APPROVED",Trade_Reports!$Q$3:$Q$502,"&lt;="&amp;Settings!$B$4,Trade_Reports!$W$3:$W$502,"&gt;="&amp;0.5*$P247),""))))</f>
        <v/>
      </c>
      <c r="G247" s="17" t="str">
        <f>IF($A247="","",IF($K247=0,"",IFERROR(_xludf.MINIFS(Trade_Reports!$I$3:$I$502,Trade_Reports!$H$3:$H$502,$A247,Trade_Reports!$M$3:$M$502,"APPROVED",Trade_Reports!$Q$3:$Q$502,"&lt;="&amp;Settings!$B$4),"")))</f>
        <v/>
      </c>
      <c r="H247" s="17" t="str">
        <f>IF($A247="","",IF($K247=0,"",IFERROR(_xludf.MAXIFS(Trade_Reports!$I$3:$I$502,Trade_Reports!$H$3:$H$502,$A247,Trade_Reports!$M$3:$M$502,"APPROVED",Trade_Reports!$Q$3:$Q$502,"&lt;="&amp;Settings!$B$4),"")))</f>
        <v/>
      </c>
      <c r="I247" s="17" t="str">
        <f>IF($A247="","",IF($F247="","",IF($Q247="","",IF(ABS($F247-$Q247)/$Q247&lt;=Settings!$B$18,"STABLE",IF($F247&gt;$Q247,"UP","DOWN")))))</f>
        <v/>
      </c>
      <c r="J247" s="18" t="str">
        <f>IF($A247="","",IF($K247=0,"",MIN(100,ROUND($K247/Settings!$B$14*100,0))))</f>
        <v/>
      </c>
      <c r="K247" s="17" t="str">
        <f>IF($A247="","",COUNTIFS(Trade_Reports!$H$3:$H$502,$A247,Trade_Reports!$M$3:$M$502,"APPROVED",Trade_Reports!$Q$3:$Q$502,"&lt;="&amp;Settings!$B$4))</f>
        <v/>
      </c>
      <c r="L247" s="19" t="str">
        <f>IF($A247="","",IF($K247=0,"",IFERROR(_xludf.MAXIFS(Trade_Reports!$O$3:$O$502,Trade_Reports!$H$3:$H$502,$A247,Trade_Reports!$M$3:$M$502,"APPROVED"),"")))</f>
        <v/>
      </c>
      <c r="M247" s="16" t="s">
        <v>46</v>
      </c>
      <c r="N247" s="15"/>
      <c r="O247" s="9" t="str">
        <f t="shared" si="0"/>
        <v/>
      </c>
      <c r="P247" s="2" t="str">
        <f>IF($A247="","",SUMIFS(Trade_Reports!$U$3:$U$502,Trade_Reports!$H$3:$H$502,$A247,Trade_Reports!$M$3:$M$502,"APPROVED",Trade_Reports!$Q$3:$Q$502,"&lt;="&amp;Settings!$B$4))</f>
        <v/>
      </c>
      <c r="Q247" s="2" t="str">
        <f>IF($A247="","",SUMIFS(Trade_Reports!$U$3:$U$502,Trade_Reports!$H$3:$H$502,$A247,Trade_Reports!$M$3:$M$502,"APPROVED",Trade_Reports!$Q$3:$Q$502,"&lt;="&amp;Settings!$B$5))</f>
        <v/>
      </c>
      <c r="R247" s="2" t="str">
        <f>IF($A247="","",IF($Q247=0,"",IFERROR(_xludf.MINIFS(Trade_Reports!$I$3:$I$502,Trade_Reports!$H$3:$H$502,$A247,Trade_Reports!$M$3:$M$502,"APPROVED",Trade_Reports!$Q$3:$Q$502,"&lt;="&amp;Settings!$B$5,Trade_Reports!$X$3:$X$502,"&gt;="&amp;0.5*$Q247),"")))</f>
        <v/>
      </c>
      <c r="S247" s="2" t="str">
        <f>IF($A247="","",COUNTIFS(Trade_Reports!$H$3:$H$502,$A247,Trade_Reports!$M$3:$M$502,"APPROVED",Trade_Reports!$Q$3:$Q$502,"&lt;="&amp;Settings!$B$5))</f>
        <v/>
      </c>
      <c r="T247" s="2"/>
      <c r="U247" s="2"/>
      <c r="V247" s="21" t="str">
        <f>IF(OR($A247="",ISERROR(SEARCH("_",$A247))),"",IFERROR(SUMIFS(Trade_Reports!$Z$3:$Z$502,Trade_Reports!$H$3:$H$502,$A247,Trade_Reports!$M$3:$M$502,"APPROVED")/SUMIFS(Trade_Reports!$U$3:$U$502,Trade_Reports!$H$3:$H$502,$A247,Trade_Reports!$M$3:$M$502,"APPROVED"),""))</f>
        <v/>
      </c>
      <c r="W247" s="17" t="str">
        <f t="shared" si="1"/>
        <v/>
      </c>
      <c r="X247" s="2"/>
      <c r="Y247" s="2"/>
      <c r="Z247" s="2"/>
    </row>
    <row r="248" spans="1:26" ht="15.75" customHeight="1" x14ac:dyDescent="0.3">
      <c r="A248" s="15"/>
      <c r="B248" s="15"/>
      <c r="C248" s="16"/>
      <c r="D248" s="16"/>
      <c r="E248" s="16"/>
      <c r="F248" s="17" t="str">
        <f>IF($A248="","",IF($K248&lt;Settings!$B$14,"",IF($P248=0,"",IFERROR(_xludf.MINIFS(Trade_Reports!$I$3:$I$502,Trade_Reports!$H$3:$H$502,$A248,Trade_Reports!$M$3:$M$502,"APPROVED",Trade_Reports!$Q$3:$Q$502,"&lt;="&amp;Settings!$B$4,Trade_Reports!$W$3:$W$502,"&gt;="&amp;0.5*$P248),""))))</f>
        <v/>
      </c>
      <c r="G248" s="17" t="str">
        <f>IF($A248="","",IF($K248=0,"",IFERROR(_xludf.MINIFS(Trade_Reports!$I$3:$I$502,Trade_Reports!$H$3:$H$502,$A248,Trade_Reports!$M$3:$M$502,"APPROVED",Trade_Reports!$Q$3:$Q$502,"&lt;="&amp;Settings!$B$4),"")))</f>
        <v/>
      </c>
      <c r="H248" s="17" t="str">
        <f>IF($A248="","",IF($K248=0,"",IFERROR(_xludf.MAXIFS(Trade_Reports!$I$3:$I$502,Trade_Reports!$H$3:$H$502,$A248,Trade_Reports!$M$3:$M$502,"APPROVED",Trade_Reports!$Q$3:$Q$502,"&lt;="&amp;Settings!$B$4),"")))</f>
        <v/>
      </c>
      <c r="I248" s="17" t="str">
        <f>IF($A248="","",IF($F248="","",IF($Q248="","",IF(ABS($F248-$Q248)/$Q248&lt;=Settings!$B$18,"STABLE",IF($F248&gt;$Q248,"UP","DOWN")))))</f>
        <v/>
      </c>
      <c r="J248" s="18" t="str">
        <f>IF($A248="","",IF($K248=0,"",MIN(100,ROUND($K248/Settings!$B$14*100,0))))</f>
        <v/>
      </c>
      <c r="K248" s="17" t="str">
        <f>IF($A248="","",COUNTIFS(Trade_Reports!$H$3:$H$502,$A248,Trade_Reports!$M$3:$M$502,"APPROVED",Trade_Reports!$Q$3:$Q$502,"&lt;="&amp;Settings!$B$4))</f>
        <v/>
      </c>
      <c r="L248" s="19" t="str">
        <f>IF($A248="","",IF($K248=0,"",IFERROR(_xludf.MAXIFS(Trade_Reports!$O$3:$O$502,Trade_Reports!$H$3:$H$502,$A248,Trade_Reports!$M$3:$M$502,"APPROVED"),"")))</f>
        <v/>
      </c>
      <c r="M248" s="16" t="s">
        <v>46</v>
      </c>
      <c r="N248" s="15"/>
      <c r="O248" s="9" t="str">
        <f t="shared" si="0"/>
        <v/>
      </c>
      <c r="P248" s="2" t="str">
        <f>IF($A248="","",SUMIFS(Trade_Reports!$U$3:$U$502,Trade_Reports!$H$3:$H$502,$A248,Trade_Reports!$M$3:$M$502,"APPROVED",Trade_Reports!$Q$3:$Q$502,"&lt;="&amp;Settings!$B$4))</f>
        <v/>
      </c>
      <c r="Q248" s="2" t="str">
        <f>IF($A248="","",SUMIFS(Trade_Reports!$U$3:$U$502,Trade_Reports!$H$3:$H$502,$A248,Trade_Reports!$M$3:$M$502,"APPROVED",Trade_Reports!$Q$3:$Q$502,"&lt;="&amp;Settings!$B$5))</f>
        <v/>
      </c>
      <c r="R248" s="2" t="str">
        <f>IF($A248="","",IF($Q248=0,"",IFERROR(_xludf.MINIFS(Trade_Reports!$I$3:$I$502,Trade_Reports!$H$3:$H$502,$A248,Trade_Reports!$M$3:$M$502,"APPROVED",Trade_Reports!$Q$3:$Q$502,"&lt;="&amp;Settings!$B$5,Trade_Reports!$X$3:$X$502,"&gt;="&amp;0.5*$Q248),"")))</f>
        <v/>
      </c>
      <c r="S248" s="2" t="str">
        <f>IF($A248="","",COUNTIFS(Trade_Reports!$H$3:$H$502,$A248,Trade_Reports!$M$3:$M$502,"APPROVED",Trade_Reports!$Q$3:$Q$502,"&lt;="&amp;Settings!$B$5))</f>
        <v/>
      </c>
      <c r="T248" s="2"/>
      <c r="U248" s="2"/>
      <c r="V248" s="21" t="str">
        <f>IF(OR($A248="",ISERROR(SEARCH("_",$A248))),"",IFERROR(SUMIFS(Trade_Reports!$Z$3:$Z$502,Trade_Reports!$H$3:$H$502,$A248,Trade_Reports!$M$3:$M$502,"APPROVED")/SUMIFS(Trade_Reports!$U$3:$U$502,Trade_Reports!$H$3:$H$502,$A248,Trade_Reports!$M$3:$M$502,"APPROVED"),""))</f>
        <v/>
      </c>
      <c r="W248" s="17" t="str">
        <f t="shared" si="1"/>
        <v/>
      </c>
      <c r="X248" s="2"/>
      <c r="Y248" s="2"/>
      <c r="Z248" s="2"/>
    </row>
    <row r="249" spans="1:26" ht="15.75" customHeight="1" x14ac:dyDescent="0.3">
      <c r="A249" s="15"/>
      <c r="B249" s="15"/>
      <c r="C249" s="16"/>
      <c r="D249" s="16"/>
      <c r="E249" s="16"/>
      <c r="F249" s="17" t="str">
        <f>IF($A249="","",IF($K249&lt;Settings!$B$14,"",IF($P249=0,"",IFERROR(_xludf.MINIFS(Trade_Reports!$I$3:$I$502,Trade_Reports!$H$3:$H$502,$A249,Trade_Reports!$M$3:$M$502,"APPROVED",Trade_Reports!$Q$3:$Q$502,"&lt;="&amp;Settings!$B$4,Trade_Reports!$W$3:$W$502,"&gt;="&amp;0.5*$P249),""))))</f>
        <v/>
      </c>
      <c r="G249" s="17" t="str">
        <f>IF($A249="","",IF($K249=0,"",IFERROR(_xludf.MINIFS(Trade_Reports!$I$3:$I$502,Trade_Reports!$H$3:$H$502,$A249,Trade_Reports!$M$3:$M$502,"APPROVED",Trade_Reports!$Q$3:$Q$502,"&lt;="&amp;Settings!$B$4),"")))</f>
        <v/>
      </c>
      <c r="H249" s="17" t="str">
        <f>IF($A249="","",IF($K249=0,"",IFERROR(_xludf.MAXIFS(Trade_Reports!$I$3:$I$502,Trade_Reports!$H$3:$H$502,$A249,Trade_Reports!$M$3:$M$502,"APPROVED",Trade_Reports!$Q$3:$Q$502,"&lt;="&amp;Settings!$B$4),"")))</f>
        <v/>
      </c>
      <c r="I249" s="17" t="str">
        <f>IF($A249="","",IF($F249="","",IF($Q249="","",IF(ABS($F249-$Q249)/$Q249&lt;=Settings!$B$18,"STABLE",IF($F249&gt;$Q249,"UP","DOWN")))))</f>
        <v/>
      </c>
      <c r="J249" s="18" t="str">
        <f>IF($A249="","",IF($K249=0,"",MIN(100,ROUND($K249/Settings!$B$14*100,0))))</f>
        <v/>
      </c>
      <c r="K249" s="17" t="str">
        <f>IF($A249="","",COUNTIFS(Trade_Reports!$H$3:$H$502,$A249,Trade_Reports!$M$3:$M$502,"APPROVED",Trade_Reports!$Q$3:$Q$502,"&lt;="&amp;Settings!$B$4))</f>
        <v/>
      </c>
      <c r="L249" s="19" t="str">
        <f>IF($A249="","",IF($K249=0,"",IFERROR(_xludf.MAXIFS(Trade_Reports!$O$3:$O$502,Trade_Reports!$H$3:$H$502,$A249,Trade_Reports!$M$3:$M$502,"APPROVED"),"")))</f>
        <v/>
      </c>
      <c r="M249" s="16" t="s">
        <v>46</v>
      </c>
      <c r="N249" s="15"/>
      <c r="O249" s="9" t="str">
        <f t="shared" si="0"/>
        <v/>
      </c>
      <c r="P249" s="2" t="str">
        <f>IF($A249="","",SUMIFS(Trade_Reports!$U$3:$U$502,Trade_Reports!$H$3:$H$502,$A249,Trade_Reports!$M$3:$M$502,"APPROVED",Trade_Reports!$Q$3:$Q$502,"&lt;="&amp;Settings!$B$4))</f>
        <v/>
      </c>
      <c r="Q249" s="2" t="str">
        <f>IF($A249="","",SUMIFS(Trade_Reports!$U$3:$U$502,Trade_Reports!$H$3:$H$502,$A249,Trade_Reports!$M$3:$M$502,"APPROVED",Trade_Reports!$Q$3:$Q$502,"&lt;="&amp;Settings!$B$5))</f>
        <v/>
      </c>
      <c r="R249" s="2" t="str">
        <f>IF($A249="","",IF($Q249=0,"",IFERROR(_xludf.MINIFS(Trade_Reports!$I$3:$I$502,Trade_Reports!$H$3:$H$502,$A249,Trade_Reports!$M$3:$M$502,"APPROVED",Trade_Reports!$Q$3:$Q$502,"&lt;="&amp;Settings!$B$5,Trade_Reports!$X$3:$X$502,"&gt;="&amp;0.5*$Q249),"")))</f>
        <v/>
      </c>
      <c r="S249" s="2" t="str">
        <f>IF($A249="","",COUNTIFS(Trade_Reports!$H$3:$H$502,$A249,Trade_Reports!$M$3:$M$502,"APPROVED",Trade_Reports!$Q$3:$Q$502,"&lt;="&amp;Settings!$B$5))</f>
        <v/>
      </c>
      <c r="T249" s="2"/>
      <c r="U249" s="2"/>
      <c r="V249" s="21" t="str">
        <f>IF(OR($A249="",ISERROR(SEARCH("_",$A249))),"",IFERROR(SUMIFS(Trade_Reports!$Z$3:$Z$502,Trade_Reports!$H$3:$H$502,$A249,Trade_Reports!$M$3:$M$502,"APPROVED")/SUMIFS(Trade_Reports!$U$3:$U$502,Trade_Reports!$H$3:$H$502,$A249,Trade_Reports!$M$3:$M$502,"APPROVED"),""))</f>
        <v/>
      </c>
      <c r="W249" s="17" t="str">
        <f t="shared" si="1"/>
        <v/>
      </c>
      <c r="X249" s="2"/>
      <c r="Y249" s="2"/>
      <c r="Z249" s="2"/>
    </row>
    <row r="250" spans="1:26" ht="15.75" customHeight="1" x14ac:dyDescent="0.3">
      <c r="A250" s="15"/>
      <c r="B250" s="15"/>
      <c r="C250" s="16"/>
      <c r="D250" s="16"/>
      <c r="E250" s="16"/>
      <c r="F250" s="17" t="str">
        <f>IF($A250="","",IF($K250&lt;Settings!$B$14,"",IF($P250=0,"",IFERROR(_xludf.MINIFS(Trade_Reports!$I$3:$I$502,Trade_Reports!$H$3:$H$502,$A250,Trade_Reports!$M$3:$M$502,"APPROVED",Trade_Reports!$Q$3:$Q$502,"&lt;="&amp;Settings!$B$4,Trade_Reports!$W$3:$W$502,"&gt;="&amp;0.5*$P250),""))))</f>
        <v/>
      </c>
      <c r="G250" s="17" t="str">
        <f>IF($A250="","",IF($K250=0,"",IFERROR(_xludf.MINIFS(Trade_Reports!$I$3:$I$502,Trade_Reports!$H$3:$H$502,$A250,Trade_Reports!$M$3:$M$502,"APPROVED",Trade_Reports!$Q$3:$Q$502,"&lt;="&amp;Settings!$B$4),"")))</f>
        <v/>
      </c>
      <c r="H250" s="17" t="str">
        <f>IF($A250="","",IF($K250=0,"",IFERROR(_xludf.MAXIFS(Trade_Reports!$I$3:$I$502,Trade_Reports!$H$3:$H$502,$A250,Trade_Reports!$M$3:$M$502,"APPROVED",Trade_Reports!$Q$3:$Q$502,"&lt;="&amp;Settings!$B$4),"")))</f>
        <v/>
      </c>
      <c r="I250" s="17" t="str">
        <f>IF($A250="","",IF($F250="","",IF($Q250="","",IF(ABS($F250-$Q250)/$Q250&lt;=Settings!$B$18,"STABLE",IF($F250&gt;$Q250,"UP","DOWN")))))</f>
        <v/>
      </c>
      <c r="J250" s="18" t="str">
        <f>IF($A250="","",IF($K250=0,"",MIN(100,ROUND($K250/Settings!$B$14*100,0))))</f>
        <v/>
      </c>
      <c r="K250" s="17" t="str">
        <f>IF($A250="","",COUNTIFS(Trade_Reports!$H$3:$H$502,$A250,Trade_Reports!$M$3:$M$502,"APPROVED",Trade_Reports!$Q$3:$Q$502,"&lt;="&amp;Settings!$B$4))</f>
        <v/>
      </c>
      <c r="L250" s="19" t="str">
        <f>IF($A250="","",IF($K250=0,"",IFERROR(_xludf.MAXIFS(Trade_Reports!$O$3:$O$502,Trade_Reports!$H$3:$H$502,$A250,Trade_Reports!$M$3:$M$502,"APPROVED"),"")))</f>
        <v/>
      </c>
      <c r="M250" s="16" t="s">
        <v>46</v>
      </c>
      <c r="N250" s="15"/>
      <c r="O250" s="9" t="str">
        <f t="shared" si="0"/>
        <v/>
      </c>
      <c r="P250" s="2" t="str">
        <f>IF($A250="","",SUMIFS(Trade_Reports!$U$3:$U$502,Trade_Reports!$H$3:$H$502,$A250,Trade_Reports!$M$3:$M$502,"APPROVED",Trade_Reports!$Q$3:$Q$502,"&lt;="&amp;Settings!$B$4))</f>
        <v/>
      </c>
      <c r="Q250" s="2" t="str">
        <f>IF($A250="","",SUMIFS(Trade_Reports!$U$3:$U$502,Trade_Reports!$H$3:$H$502,$A250,Trade_Reports!$M$3:$M$502,"APPROVED",Trade_Reports!$Q$3:$Q$502,"&lt;="&amp;Settings!$B$5))</f>
        <v/>
      </c>
      <c r="R250" s="2" t="str">
        <f>IF($A250="","",IF($Q250=0,"",IFERROR(_xludf.MINIFS(Trade_Reports!$I$3:$I$502,Trade_Reports!$H$3:$H$502,$A250,Trade_Reports!$M$3:$M$502,"APPROVED",Trade_Reports!$Q$3:$Q$502,"&lt;="&amp;Settings!$B$5,Trade_Reports!$X$3:$X$502,"&gt;="&amp;0.5*$Q250),"")))</f>
        <v/>
      </c>
      <c r="S250" s="2" t="str">
        <f>IF($A250="","",COUNTIFS(Trade_Reports!$H$3:$H$502,$A250,Trade_Reports!$M$3:$M$502,"APPROVED",Trade_Reports!$Q$3:$Q$502,"&lt;="&amp;Settings!$B$5))</f>
        <v/>
      </c>
      <c r="T250" s="2"/>
      <c r="U250" s="2"/>
      <c r="V250" s="21" t="str">
        <f>IF(OR($A250="",ISERROR(SEARCH("_",$A250))),"",IFERROR(SUMIFS(Trade_Reports!$Z$3:$Z$502,Trade_Reports!$H$3:$H$502,$A250,Trade_Reports!$M$3:$M$502,"APPROVED")/SUMIFS(Trade_Reports!$U$3:$U$502,Trade_Reports!$H$3:$H$502,$A250,Trade_Reports!$M$3:$M$502,"APPROVED"),""))</f>
        <v/>
      </c>
      <c r="W250" s="17" t="str">
        <f t="shared" si="1"/>
        <v/>
      </c>
      <c r="X250" s="2"/>
      <c r="Y250" s="2"/>
      <c r="Z250" s="2"/>
    </row>
    <row r="251" spans="1:26" ht="15.75" customHeight="1" x14ac:dyDescent="0.3">
      <c r="A251" s="15"/>
      <c r="B251" s="15"/>
      <c r="C251" s="16"/>
      <c r="D251" s="16"/>
      <c r="E251" s="16"/>
      <c r="F251" s="17" t="str">
        <f>IF($A251="","",IF($K251&lt;Settings!$B$14,"",IF($P251=0,"",IFERROR(_xludf.MINIFS(Trade_Reports!$I$3:$I$502,Trade_Reports!$H$3:$H$502,$A251,Trade_Reports!$M$3:$M$502,"APPROVED",Trade_Reports!$Q$3:$Q$502,"&lt;="&amp;Settings!$B$4,Trade_Reports!$W$3:$W$502,"&gt;="&amp;0.5*$P251),""))))</f>
        <v/>
      </c>
      <c r="G251" s="17" t="str">
        <f>IF($A251="","",IF($K251=0,"",IFERROR(_xludf.MINIFS(Trade_Reports!$I$3:$I$502,Trade_Reports!$H$3:$H$502,$A251,Trade_Reports!$M$3:$M$502,"APPROVED",Trade_Reports!$Q$3:$Q$502,"&lt;="&amp;Settings!$B$4),"")))</f>
        <v/>
      </c>
      <c r="H251" s="17" t="str">
        <f>IF($A251="","",IF($K251=0,"",IFERROR(_xludf.MAXIFS(Trade_Reports!$I$3:$I$502,Trade_Reports!$H$3:$H$502,$A251,Trade_Reports!$M$3:$M$502,"APPROVED",Trade_Reports!$Q$3:$Q$502,"&lt;="&amp;Settings!$B$4),"")))</f>
        <v/>
      </c>
      <c r="I251" s="17" t="str">
        <f>IF($A251="","",IF($F251="","",IF($Q251="","",IF(ABS($F251-$Q251)/$Q251&lt;=Settings!$B$18,"STABLE",IF($F251&gt;$Q251,"UP","DOWN")))))</f>
        <v/>
      </c>
      <c r="J251" s="18" t="str">
        <f>IF($A251="","",IF($K251=0,"",MIN(100,ROUND($K251/Settings!$B$14*100,0))))</f>
        <v/>
      </c>
      <c r="K251" s="17" t="str">
        <f>IF($A251="","",COUNTIFS(Trade_Reports!$H$3:$H$502,$A251,Trade_Reports!$M$3:$M$502,"APPROVED",Trade_Reports!$Q$3:$Q$502,"&lt;="&amp;Settings!$B$4))</f>
        <v/>
      </c>
      <c r="L251" s="19" t="str">
        <f>IF($A251="","",IF($K251=0,"",IFERROR(_xludf.MAXIFS(Trade_Reports!$O$3:$O$502,Trade_Reports!$H$3:$H$502,$A251,Trade_Reports!$M$3:$M$502,"APPROVED"),"")))</f>
        <v/>
      </c>
      <c r="M251" s="16" t="s">
        <v>46</v>
      </c>
      <c r="N251" s="15"/>
      <c r="O251" s="9" t="str">
        <f t="shared" si="0"/>
        <v/>
      </c>
      <c r="P251" s="2" t="str">
        <f>IF($A251="","",SUMIFS(Trade_Reports!$U$3:$U$502,Trade_Reports!$H$3:$H$502,$A251,Trade_Reports!$M$3:$M$502,"APPROVED",Trade_Reports!$Q$3:$Q$502,"&lt;="&amp;Settings!$B$4))</f>
        <v/>
      </c>
      <c r="Q251" s="2" t="str">
        <f>IF($A251="","",SUMIFS(Trade_Reports!$U$3:$U$502,Trade_Reports!$H$3:$H$502,$A251,Trade_Reports!$M$3:$M$502,"APPROVED",Trade_Reports!$Q$3:$Q$502,"&lt;="&amp;Settings!$B$5))</f>
        <v/>
      </c>
      <c r="R251" s="2" t="str">
        <f>IF($A251="","",IF($Q251=0,"",IFERROR(_xludf.MINIFS(Trade_Reports!$I$3:$I$502,Trade_Reports!$H$3:$H$502,$A251,Trade_Reports!$M$3:$M$502,"APPROVED",Trade_Reports!$Q$3:$Q$502,"&lt;="&amp;Settings!$B$5,Trade_Reports!$X$3:$X$502,"&gt;="&amp;0.5*$Q251),"")))</f>
        <v/>
      </c>
      <c r="S251" s="2" t="str">
        <f>IF($A251="","",COUNTIFS(Trade_Reports!$H$3:$H$502,$A251,Trade_Reports!$M$3:$M$502,"APPROVED",Trade_Reports!$Q$3:$Q$502,"&lt;="&amp;Settings!$B$5))</f>
        <v/>
      </c>
      <c r="T251" s="2"/>
      <c r="U251" s="2"/>
      <c r="V251" s="21" t="str">
        <f>IF(OR($A251="",ISERROR(SEARCH("_",$A251))),"",IFERROR(SUMIFS(Trade_Reports!$Z$3:$Z$502,Trade_Reports!$H$3:$H$502,$A251,Trade_Reports!$M$3:$M$502,"APPROVED")/SUMIFS(Trade_Reports!$U$3:$U$502,Trade_Reports!$H$3:$H$502,$A251,Trade_Reports!$M$3:$M$502,"APPROVED"),""))</f>
        <v/>
      </c>
      <c r="W251" s="17" t="str">
        <f t="shared" si="1"/>
        <v/>
      </c>
      <c r="X251" s="2"/>
      <c r="Y251" s="2"/>
      <c r="Z251" s="2"/>
    </row>
    <row r="252" spans="1:26" ht="15.75" customHeight="1" x14ac:dyDescent="0.3">
      <c r="A252" s="15"/>
      <c r="B252" s="15"/>
      <c r="C252" s="16"/>
      <c r="D252" s="16"/>
      <c r="E252" s="16"/>
      <c r="F252" s="17" t="str">
        <f>IF($A252="","",IF($K252&lt;Settings!$B$14,"",IF($P252=0,"",IFERROR(_xludf.MINIFS(Trade_Reports!$I$3:$I$502,Trade_Reports!$H$3:$H$502,$A252,Trade_Reports!$M$3:$M$502,"APPROVED",Trade_Reports!$Q$3:$Q$502,"&lt;="&amp;Settings!$B$4,Trade_Reports!$W$3:$W$502,"&gt;="&amp;0.5*$P252),""))))</f>
        <v/>
      </c>
      <c r="G252" s="17" t="str">
        <f>IF($A252="","",IF($K252=0,"",IFERROR(_xludf.MINIFS(Trade_Reports!$I$3:$I$502,Trade_Reports!$H$3:$H$502,$A252,Trade_Reports!$M$3:$M$502,"APPROVED",Trade_Reports!$Q$3:$Q$502,"&lt;="&amp;Settings!$B$4),"")))</f>
        <v/>
      </c>
      <c r="H252" s="17" t="str">
        <f>IF($A252="","",IF($K252=0,"",IFERROR(_xludf.MAXIFS(Trade_Reports!$I$3:$I$502,Trade_Reports!$H$3:$H$502,$A252,Trade_Reports!$M$3:$M$502,"APPROVED",Trade_Reports!$Q$3:$Q$502,"&lt;="&amp;Settings!$B$4),"")))</f>
        <v/>
      </c>
      <c r="I252" s="17" t="str">
        <f>IF($A252="","",IF($F252="","",IF($Q252="","",IF(ABS($F252-$Q252)/$Q252&lt;=Settings!$B$18,"STABLE",IF($F252&gt;$Q252,"UP","DOWN")))))</f>
        <v/>
      </c>
      <c r="J252" s="18" t="str">
        <f>IF($A252="","",IF($K252=0,"",MIN(100,ROUND($K252/Settings!$B$14*100,0))))</f>
        <v/>
      </c>
      <c r="K252" s="17" t="str">
        <f>IF($A252="","",COUNTIFS(Trade_Reports!$H$3:$H$502,$A252,Trade_Reports!$M$3:$M$502,"APPROVED",Trade_Reports!$Q$3:$Q$502,"&lt;="&amp;Settings!$B$4))</f>
        <v/>
      </c>
      <c r="L252" s="19" t="str">
        <f>IF($A252="","",IF($K252=0,"",IFERROR(_xludf.MAXIFS(Trade_Reports!$O$3:$O$502,Trade_Reports!$H$3:$H$502,$A252,Trade_Reports!$M$3:$M$502,"APPROVED"),"")))</f>
        <v/>
      </c>
      <c r="M252" s="16" t="s">
        <v>46</v>
      </c>
      <c r="N252" s="15"/>
      <c r="O252" s="9" t="str">
        <f t="shared" si="0"/>
        <v/>
      </c>
      <c r="P252" s="2" t="str">
        <f>IF($A252="","",SUMIFS(Trade_Reports!$U$3:$U$502,Trade_Reports!$H$3:$H$502,$A252,Trade_Reports!$M$3:$M$502,"APPROVED",Trade_Reports!$Q$3:$Q$502,"&lt;="&amp;Settings!$B$4))</f>
        <v/>
      </c>
      <c r="Q252" s="2" t="str">
        <f>IF($A252="","",SUMIFS(Trade_Reports!$U$3:$U$502,Trade_Reports!$H$3:$H$502,$A252,Trade_Reports!$M$3:$M$502,"APPROVED",Trade_Reports!$Q$3:$Q$502,"&lt;="&amp;Settings!$B$5))</f>
        <v/>
      </c>
      <c r="R252" s="2" t="str">
        <f>IF($A252="","",IF($Q252=0,"",IFERROR(_xludf.MINIFS(Trade_Reports!$I$3:$I$502,Trade_Reports!$H$3:$H$502,$A252,Trade_Reports!$M$3:$M$502,"APPROVED",Trade_Reports!$Q$3:$Q$502,"&lt;="&amp;Settings!$B$5,Trade_Reports!$X$3:$X$502,"&gt;="&amp;0.5*$Q252),"")))</f>
        <v/>
      </c>
      <c r="S252" s="2" t="str">
        <f>IF($A252="","",COUNTIFS(Trade_Reports!$H$3:$H$502,$A252,Trade_Reports!$M$3:$M$502,"APPROVED",Trade_Reports!$Q$3:$Q$502,"&lt;="&amp;Settings!$B$5))</f>
        <v/>
      </c>
      <c r="T252" s="2"/>
      <c r="U252" s="2"/>
      <c r="V252" s="21" t="str">
        <f>IF(OR($A252="",ISERROR(SEARCH("_",$A252))),"",IFERROR(SUMIFS(Trade_Reports!$Z$3:$Z$502,Trade_Reports!$H$3:$H$502,$A252,Trade_Reports!$M$3:$M$502,"APPROVED")/SUMIFS(Trade_Reports!$U$3:$U$502,Trade_Reports!$H$3:$H$502,$A252,Trade_Reports!$M$3:$M$502,"APPROVED"),""))</f>
        <v/>
      </c>
      <c r="W252" s="17" t="str">
        <f t="shared" si="1"/>
        <v/>
      </c>
      <c r="X252" s="2"/>
      <c r="Y252" s="2"/>
      <c r="Z252" s="2"/>
    </row>
    <row r="253" spans="1:26" ht="15.75" customHeight="1" x14ac:dyDescent="0.3">
      <c r="A253" s="15"/>
      <c r="B253" s="15"/>
      <c r="C253" s="16"/>
      <c r="D253" s="16"/>
      <c r="E253" s="16"/>
      <c r="F253" s="17" t="str">
        <f>IF($A253="","",IF($K253&lt;Settings!$B$14,"",IF($P253=0,"",IFERROR(_xludf.MINIFS(Trade_Reports!$I$3:$I$502,Trade_Reports!$H$3:$H$502,$A253,Trade_Reports!$M$3:$M$502,"APPROVED",Trade_Reports!$Q$3:$Q$502,"&lt;="&amp;Settings!$B$4,Trade_Reports!$W$3:$W$502,"&gt;="&amp;0.5*$P253),""))))</f>
        <v/>
      </c>
      <c r="G253" s="17" t="str">
        <f>IF($A253="","",IF($K253=0,"",IFERROR(_xludf.MINIFS(Trade_Reports!$I$3:$I$502,Trade_Reports!$H$3:$H$502,$A253,Trade_Reports!$M$3:$M$502,"APPROVED",Trade_Reports!$Q$3:$Q$502,"&lt;="&amp;Settings!$B$4),"")))</f>
        <v/>
      </c>
      <c r="H253" s="17" t="str">
        <f>IF($A253="","",IF($K253=0,"",IFERROR(_xludf.MAXIFS(Trade_Reports!$I$3:$I$502,Trade_Reports!$H$3:$H$502,$A253,Trade_Reports!$M$3:$M$502,"APPROVED",Trade_Reports!$Q$3:$Q$502,"&lt;="&amp;Settings!$B$4),"")))</f>
        <v/>
      </c>
      <c r="I253" s="17" t="str">
        <f>IF($A253="","",IF($F253="","",IF($Q253="","",IF(ABS($F253-$Q253)/$Q253&lt;=Settings!$B$18,"STABLE",IF($F253&gt;$Q253,"UP","DOWN")))))</f>
        <v/>
      </c>
      <c r="J253" s="18" t="str">
        <f>IF($A253="","",IF($K253=0,"",MIN(100,ROUND($K253/Settings!$B$14*100,0))))</f>
        <v/>
      </c>
      <c r="K253" s="17" t="str">
        <f>IF($A253="","",COUNTIFS(Trade_Reports!$H$3:$H$502,$A253,Trade_Reports!$M$3:$M$502,"APPROVED",Trade_Reports!$Q$3:$Q$502,"&lt;="&amp;Settings!$B$4))</f>
        <v/>
      </c>
      <c r="L253" s="19" t="str">
        <f>IF($A253="","",IF($K253=0,"",IFERROR(_xludf.MAXIFS(Trade_Reports!$O$3:$O$502,Trade_Reports!$H$3:$H$502,$A253,Trade_Reports!$M$3:$M$502,"APPROVED"),"")))</f>
        <v/>
      </c>
      <c r="M253" s="16" t="s">
        <v>46</v>
      </c>
      <c r="N253" s="15"/>
      <c r="O253" s="9" t="str">
        <f t="shared" si="0"/>
        <v/>
      </c>
      <c r="P253" s="2" t="str">
        <f>IF($A253="","",SUMIFS(Trade_Reports!$U$3:$U$502,Trade_Reports!$H$3:$H$502,$A253,Trade_Reports!$M$3:$M$502,"APPROVED",Trade_Reports!$Q$3:$Q$502,"&lt;="&amp;Settings!$B$4))</f>
        <v/>
      </c>
      <c r="Q253" s="2" t="str">
        <f>IF($A253="","",SUMIFS(Trade_Reports!$U$3:$U$502,Trade_Reports!$H$3:$H$502,$A253,Trade_Reports!$M$3:$M$502,"APPROVED",Trade_Reports!$Q$3:$Q$502,"&lt;="&amp;Settings!$B$5))</f>
        <v/>
      </c>
      <c r="R253" s="2" t="str">
        <f>IF($A253="","",IF($Q253=0,"",IFERROR(_xludf.MINIFS(Trade_Reports!$I$3:$I$502,Trade_Reports!$H$3:$H$502,$A253,Trade_Reports!$M$3:$M$502,"APPROVED",Trade_Reports!$Q$3:$Q$502,"&lt;="&amp;Settings!$B$5,Trade_Reports!$X$3:$X$502,"&gt;="&amp;0.5*$Q253),"")))</f>
        <v/>
      </c>
      <c r="S253" s="2" t="str">
        <f>IF($A253="","",COUNTIFS(Trade_Reports!$H$3:$H$502,$A253,Trade_Reports!$M$3:$M$502,"APPROVED",Trade_Reports!$Q$3:$Q$502,"&lt;="&amp;Settings!$B$5))</f>
        <v/>
      </c>
      <c r="T253" s="2"/>
      <c r="U253" s="2"/>
      <c r="V253" s="21" t="str">
        <f>IF(OR($A253="",ISERROR(SEARCH("_",$A253))),"",IFERROR(SUMIFS(Trade_Reports!$Z$3:$Z$502,Trade_Reports!$H$3:$H$502,$A253,Trade_Reports!$M$3:$M$502,"APPROVED")/SUMIFS(Trade_Reports!$U$3:$U$502,Trade_Reports!$H$3:$H$502,$A253,Trade_Reports!$M$3:$M$502,"APPROVED"),""))</f>
        <v/>
      </c>
      <c r="W253" s="17" t="str">
        <f t="shared" si="1"/>
        <v/>
      </c>
      <c r="X253" s="2"/>
      <c r="Y253" s="2"/>
      <c r="Z253" s="2"/>
    </row>
    <row r="254" spans="1:26" ht="15.75" customHeight="1" x14ac:dyDescent="0.3">
      <c r="A254" s="15"/>
      <c r="B254" s="15"/>
      <c r="C254" s="16"/>
      <c r="D254" s="16"/>
      <c r="E254" s="16"/>
      <c r="F254" s="17" t="str">
        <f>IF($A254="","",IF($K254&lt;Settings!$B$14,"",IF($P254=0,"",IFERROR(_xludf.MINIFS(Trade_Reports!$I$3:$I$502,Trade_Reports!$H$3:$H$502,$A254,Trade_Reports!$M$3:$M$502,"APPROVED",Trade_Reports!$Q$3:$Q$502,"&lt;="&amp;Settings!$B$4,Trade_Reports!$W$3:$W$502,"&gt;="&amp;0.5*$P254),""))))</f>
        <v/>
      </c>
      <c r="G254" s="17" t="str">
        <f>IF($A254="","",IF($K254=0,"",IFERROR(_xludf.MINIFS(Trade_Reports!$I$3:$I$502,Trade_Reports!$H$3:$H$502,$A254,Trade_Reports!$M$3:$M$502,"APPROVED",Trade_Reports!$Q$3:$Q$502,"&lt;="&amp;Settings!$B$4),"")))</f>
        <v/>
      </c>
      <c r="H254" s="17" t="str">
        <f>IF($A254="","",IF($K254=0,"",IFERROR(_xludf.MAXIFS(Trade_Reports!$I$3:$I$502,Trade_Reports!$H$3:$H$502,$A254,Trade_Reports!$M$3:$M$502,"APPROVED",Trade_Reports!$Q$3:$Q$502,"&lt;="&amp;Settings!$B$4),"")))</f>
        <v/>
      </c>
      <c r="I254" s="17" t="str">
        <f>IF($A254="","",IF($F254="","",IF($Q254="","",IF(ABS($F254-$Q254)/$Q254&lt;=Settings!$B$18,"STABLE",IF($F254&gt;$Q254,"UP","DOWN")))))</f>
        <v/>
      </c>
      <c r="J254" s="18" t="str">
        <f>IF($A254="","",IF($K254=0,"",MIN(100,ROUND($K254/Settings!$B$14*100,0))))</f>
        <v/>
      </c>
      <c r="K254" s="17" t="str">
        <f>IF($A254="","",COUNTIFS(Trade_Reports!$H$3:$H$502,$A254,Trade_Reports!$M$3:$M$502,"APPROVED",Trade_Reports!$Q$3:$Q$502,"&lt;="&amp;Settings!$B$4))</f>
        <v/>
      </c>
      <c r="L254" s="19" t="str">
        <f>IF($A254="","",IF($K254=0,"",IFERROR(_xludf.MAXIFS(Trade_Reports!$O$3:$O$502,Trade_Reports!$H$3:$H$502,$A254,Trade_Reports!$M$3:$M$502,"APPROVED"),"")))</f>
        <v/>
      </c>
      <c r="M254" s="16" t="s">
        <v>46</v>
      </c>
      <c r="N254" s="15"/>
      <c r="O254" s="9" t="str">
        <f t="shared" si="0"/>
        <v/>
      </c>
      <c r="P254" s="2" t="str">
        <f>IF($A254="","",SUMIFS(Trade_Reports!$U$3:$U$502,Trade_Reports!$H$3:$H$502,$A254,Trade_Reports!$M$3:$M$502,"APPROVED",Trade_Reports!$Q$3:$Q$502,"&lt;="&amp;Settings!$B$4))</f>
        <v/>
      </c>
      <c r="Q254" s="2" t="str">
        <f>IF($A254="","",SUMIFS(Trade_Reports!$U$3:$U$502,Trade_Reports!$H$3:$H$502,$A254,Trade_Reports!$M$3:$M$502,"APPROVED",Trade_Reports!$Q$3:$Q$502,"&lt;="&amp;Settings!$B$5))</f>
        <v/>
      </c>
      <c r="R254" s="2" t="str">
        <f>IF($A254="","",IF($Q254=0,"",IFERROR(_xludf.MINIFS(Trade_Reports!$I$3:$I$502,Trade_Reports!$H$3:$H$502,$A254,Trade_Reports!$M$3:$M$502,"APPROVED",Trade_Reports!$Q$3:$Q$502,"&lt;="&amp;Settings!$B$5,Trade_Reports!$X$3:$X$502,"&gt;="&amp;0.5*$Q254),"")))</f>
        <v/>
      </c>
      <c r="S254" s="2" t="str">
        <f>IF($A254="","",COUNTIFS(Trade_Reports!$H$3:$H$502,$A254,Trade_Reports!$M$3:$M$502,"APPROVED",Trade_Reports!$Q$3:$Q$502,"&lt;="&amp;Settings!$B$5))</f>
        <v/>
      </c>
      <c r="T254" s="2"/>
      <c r="U254" s="2"/>
      <c r="V254" s="21" t="str">
        <f>IF(OR($A254="",ISERROR(SEARCH("_",$A254))),"",IFERROR(SUMIFS(Trade_Reports!$Z$3:$Z$502,Trade_Reports!$H$3:$H$502,$A254,Trade_Reports!$M$3:$M$502,"APPROVED")/SUMIFS(Trade_Reports!$U$3:$U$502,Trade_Reports!$H$3:$H$502,$A254,Trade_Reports!$M$3:$M$502,"APPROVED"),""))</f>
        <v/>
      </c>
      <c r="W254" s="17" t="str">
        <f t="shared" si="1"/>
        <v/>
      </c>
      <c r="X254" s="2"/>
      <c r="Y254" s="2"/>
      <c r="Z254" s="2"/>
    </row>
    <row r="255" spans="1:26" ht="15.75" customHeight="1" x14ac:dyDescent="0.3">
      <c r="A255" s="15"/>
      <c r="B255" s="15"/>
      <c r="C255" s="16"/>
      <c r="D255" s="16"/>
      <c r="E255" s="16"/>
      <c r="F255" s="17" t="str">
        <f>IF($A255="","",IF($K255&lt;Settings!$B$14,"",IF($P255=0,"",IFERROR(_xludf.MINIFS(Trade_Reports!$I$3:$I$502,Trade_Reports!$H$3:$H$502,$A255,Trade_Reports!$M$3:$M$502,"APPROVED",Trade_Reports!$Q$3:$Q$502,"&lt;="&amp;Settings!$B$4,Trade_Reports!$W$3:$W$502,"&gt;="&amp;0.5*$P255),""))))</f>
        <v/>
      </c>
      <c r="G255" s="17" t="str">
        <f>IF($A255="","",IF($K255=0,"",IFERROR(_xludf.MINIFS(Trade_Reports!$I$3:$I$502,Trade_Reports!$H$3:$H$502,$A255,Trade_Reports!$M$3:$M$502,"APPROVED",Trade_Reports!$Q$3:$Q$502,"&lt;="&amp;Settings!$B$4),"")))</f>
        <v/>
      </c>
      <c r="H255" s="17" t="str">
        <f>IF($A255="","",IF($K255=0,"",IFERROR(_xludf.MAXIFS(Trade_Reports!$I$3:$I$502,Trade_Reports!$H$3:$H$502,$A255,Trade_Reports!$M$3:$M$502,"APPROVED",Trade_Reports!$Q$3:$Q$502,"&lt;="&amp;Settings!$B$4),"")))</f>
        <v/>
      </c>
      <c r="I255" s="17" t="str">
        <f>IF($A255="","",IF($F255="","",IF($Q255="","",IF(ABS($F255-$Q255)/$Q255&lt;=Settings!$B$18,"STABLE",IF($F255&gt;$Q255,"UP","DOWN")))))</f>
        <v/>
      </c>
      <c r="J255" s="18" t="str">
        <f>IF($A255="","",IF($K255=0,"",MIN(100,ROUND($K255/Settings!$B$14*100,0))))</f>
        <v/>
      </c>
      <c r="K255" s="17" t="str">
        <f>IF($A255="","",COUNTIFS(Trade_Reports!$H$3:$H$502,$A255,Trade_Reports!$M$3:$M$502,"APPROVED",Trade_Reports!$Q$3:$Q$502,"&lt;="&amp;Settings!$B$4))</f>
        <v/>
      </c>
      <c r="L255" s="19" t="str">
        <f>IF($A255="","",IF($K255=0,"",IFERROR(_xludf.MAXIFS(Trade_Reports!$O$3:$O$502,Trade_Reports!$H$3:$H$502,$A255,Trade_Reports!$M$3:$M$502,"APPROVED"),"")))</f>
        <v/>
      </c>
      <c r="M255" s="16" t="s">
        <v>46</v>
      </c>
      <c r="N255" s="15"/>
      <c r="O255" s="9" t="str">
        <f t="shared" si="0"/>
        <v/>
      </c>
      <c r="P255" s="2" t="str">
        <f>IF($A255="","",SUMIFS(Trade_Reports!$U$3:$U$502,Trade_Reports!$H$3:$H$502,$A255,Trade_Reports!$M$3:$M$502,"APPROVED",Trade_Reports!$Q$3:$Q$502,"&lt;="&amp;Settings!$B$4))</f>
        <v/>
      </c>
      <c r="Q255" s="2" t="str">
        <f>IF($A255="","",SUMIFS(Trade_Reports!$U$3:$U$502,Trade_Reports!$H$3:$H$502,$A255,Trade_Reports!$M$3:$M$502,"APPROVED",Trade_Reports!$Q$3:$Q$502,"&lt;="&amp;Settings!$B$5))</f>
        <v/>
      </c>
      <c r="R255" s="2" t="str">
        <f>IF($A255="","",IF($Q255=0,"",IFERROR(_xludf.MINIFS(Trade_Reports!$I$3:$I$502,Trade_Reports!$H$3:$H$502,$A255,Trade_Reports!$M$3:$M$502,"APPROVED",Trade_Reports!$Q$3:$Q$502,"&lt;="&amp;Settings!$B$5,Trade_Reports!$X$3:$X$502,"&gt;="&amp;0.5*$Q255),"")))</f>
        <v/>
      </c>
      <c r="S255" s="2" t="str">
        <f>IF($A255="","",COUNTIFS(Trade_Reports!$H$3:$H$502,$A255,Trade_Reports!$M$3:$M$502,"APPROVED",Trade_Reports!$Q$3:$Q$502,"&lt;="&amp;Settings!$B$5))</f>
        <v/>
      </c>
      <c r="T255" s="2"/>
      <c r="U255" s="2"/>
      <c r="V255" s="21" t="str">
        <f>IF(OR($A255="",ISERROR(SEARCH("_",$A255))),"",IFERROR(SUMIFS(Trade_Reports!$Z$3:$Z$502,Trade_Reports!$H$3:$H$502,$A255,Trade_Reports!$M$3:$M$502,"APPROVED")/SUMIFS(Trade_Reports!$U$3:$U$502,Trade_Reports!$H$3:$H$502,$A255,Trade_Reports!$M$3:$M$502,"APPROVED"),""))</f>
        <v/>
      </c>
      <c r="W255" s="17" t="str">
        <f t="shared" si="1"/>
        <v/>
      </c>
      <c r="X255" s="2"/>
      <c r="Y255" s="2"/>
      <c r="Z255" s="2"/>
    </row>
    <row r="256" spans="1:26" ht="15.75" customHeight="1" x14ac:dyDescent="0.3">
      <c r="A256" s="15"/>
      <c r="B256" s="15"/>
      <c r="C256" s="16"/>
      <c r="D256" s="16"/>
      <c r="E256" s="16"/>
      <c r="F256" s="17" t="str">
        <f>IF($A256="","",IF($K256&lt;Settings!$B$14,"",IF($P256=0,"",IFERROR(_xludf.MINIFS(Trade_Reports!$I$3:$I$502,Trade_Reports!$H$3:$H$502,$A256,Trade_Reports!$M$3:$M$502,"APPROVED",Trade_Reports!$Q$3:$Q$502,"&lt;="&amp;Settings!$B$4,Trade_Reports!$W$3:$W$502,"&gt;="&amp;0.5*$P256),""))))</f>
        <v/>
      </c>
      <c r="G256" s="17" t="str">
        <f>IF($A256="","",IF($K256=0,"",IFERROR(_xludf.MINIFS(Trade_Reports!$I$3:$I$502,Trade_Reports!$H$3:$H$502,$A256,Trade_Reports!$M$3:$M$502,"APPROVED",Trade_Reports!$Q$3:$Q$502,"&lt;="&amp;Settings!$B$4),"")))</f>
        <v/>
      </c>
      <c r="H256" s="17" t="str">
        <f>IF($A256="","",IF($K256=0,"",IFERROR(_xludf.MAXIFS(Trade_Reports!$I$3:$I$502,Trade_Reports!$H$3:$H$502,$A256,Trade_Reports!$M$3:$M$502,"APPROVED",Trade_Reports!$Q$3:$Q$502,"&lt;="&amp;Settings!$B$4),"")))</f>
        <v/>
      </c>
      <c r="I256" s="17" t="str">
        <f>IF($A256="","",IF($F256="","",IF($Q256="","",IF(ABS($F256-$Q256)/$Q256&lt;=Settings!$B$18,"STABLE",IF($F256&gt;$Q256,"UP","DOWN")))))</f>
        <v/>
      </c>
      <c r="J256" s="18" t="str">
        <f>IF($A256="","",IF($K256=0,"",MIN(100,ROUND($K256/Settings!$B$14*100,0))))</f>
        <v/>
      </c>
      <c r="K256" s="17" t="str">
        <f>IF($A256="","",COUNTIFS(Trade_Reports!$H$3:$H$502,$A256,Trade_Reports!$M$3:$M$502,"APPROVED",Trade_Reports!$Q$3:$Q$502,"&lt;="&amp;Settings!$B$4))</f>
        <v/>
      </c>
      <c r="L256" s="19" t="str">
        <f>IF($A256="","",IF($K256=0,"",IFERROR(_xludf.MAXIFS(Trade_Reports!$O$3:$O$502,Trade_Reports!$H$3:$H$502,$A256,Trade_Reports!$M$3:$M$502,"APPROVED"),"")))</f>
        <v/>
      </c>
      <c r="M256" s="16" t="s">
        <v>46</v>
      </c>
      <c r="N256" s="15"/>
      <c r="O256" s="9" t="str">
        <f t="shared" si="0"/>
        <v/>
      </c>
      <c r="P256" s="2" t="str">
        <f>IF($A256="","",SUMIFS(Trade_Reports!$U$3:$U$502,Trade_Reports!$H$3:$H$502,$A256,Trade_Reports!$M$3:$M$502,"APPROVED",Trade_Reports!$Q$3:$Q$502,"&lt;="&amp;Settings!$B$4))</f>
        <v/>
      </c>
      <c r="Q256" s="2" t="str">
        <f>IF($A256="","",SUMIFS(Trade_Reports!$U$3:$U$502,Trade_Reports!$H$3:$H$502,$A256,Trade_Reports!$M$3:$M$502,"APPROVED",Trade_Reports!$Q$3:$Q$502,"&lt;="&amp;Settings!$B$5))</f>
        <v/>
      </c>
      <c r="R256" s="2" t="str">
        <f>IF($A256="","",IF($Q256=0,"",IFERROR(_xludf.MINIFS(Trade_Reports!$I$3:$I$502,Trade_Reports!$H$3:$H$502,$A256,Trade_Reports!$M$3:$M$502,"APPROVED",Trade_Reports!$Q$3:$Q$502,"&lt;="&amp;Settings!$B$5,Trade_Reports!$X$3:$X$502,"&gt;="&amp;0.5*$Q256),"")))</f>
        <v/>
      </c>
      <c r="S256" s="2" t="str">
        <f>IF($A256="","",COUNTIFS(Trade_Reports!$H$3:$H$502,$A256,Trade_Reports!$M$3:$M$502,"APPROVED",Trade_Reports!$Q$3:$Q$502,"&lt;="&amp;Settings!$B$5))</f>
        <v/>
      </c>
      <c r="T256" s="2"/>
      <c r="U256" s="2"/>
      <c r="V256" s="21" t="str">
        <f>IF(OR($A256="",ISERROR(SEARCH("_",$A256))),"",IFERROR(SUMIFS(Trade_Reports!$Z$3:$Z$502,Trade_Reports!$H$3:$H$502,$A256,Trade_Reports!$M$3:$M$502,"APPROVED")/SUMIFS(Trade_Reports!$U$3:$U$502,Trade_Reports!$H$3:$H$502,$A256,Trade_Reports!$M$3:$M$502,"APPROVED"),""))</f>
        <v/>
      </c>
      <c r="W256" s="17" t="str">
        <f t="shared" si="1"/>
        <v/>
      </c>
      <c r="X256" s="2"/>
      <c r="Y256" s="2"/>
      <c r="Z256" s="2"/>
    </row>
    <row r="257" spans="1:26" ht="15.75" customHeight="1" x14ac:dyDescent="0.3">
      <c r="A257" s="15"/>
      <c r="B257" s="15"/>
      <c r="C257" s="16"/>
      <c r="D257" s="16"/>
      <c r="E257" s="16"/>
      <c r="F257" s="17" t="str">
        <f>IF($A257="","",IF($K257&lt;Settings!$B$14,"",IF($P257=0,"",IFERROR(_xludf.MINIFS(Trade_Reports!$I$3:$I$502,Trade_Reports!$H$3:$H$502,$A257,Trade_Reports!$M$3:$M$502,"APPROVED",Trade_Reports!$Q$3:$Q$502,"&lt;="&amp;Settings!$B$4,Trade_Reports!$W$3:$W$502,"&gt;="&amp;0.5*$P257),""))))</f>
        <v/>
      </c>
      <c r="G257" s="17" t="str">
        <f>IF($A257="","",IF($K257=0,"",IFERROR(_xludf.MINIFS(Trade_Reports!$I$3:$I$502,Trade_Reports!$H$3:$H$502,$A257,Trade_Reports!$M$3:$M$502,"APPROVED",Trade_Reports!$Q$3:$Q$502,"&lt;="&amp;Settings!$B$4),"")))</f>
        <v/>
      </c>
      <c r="H257" s="17" t="str">
        <f>IF($A257="","",IF($K257=0,"",IFERROR(_xludf.MAXIFS(Trade_Reports!$I$3:$I$502,Trade_Reports!$H$3:$H$502,$A257,Trade_Reports!$M$3:$M$502,"APPROVED",Trade_Reports!$Q$3:$Q$502,"&lt;="&amp;Settings!$B$4),"")))</f>
        <v/>
      </c>
      <c r="I257" s="17" t="str">
        <f>IF($A257="","",IF($F257="","",IF($Q257="","",IF(ABS($F257-$Q257)/$Q257&lt;=Settings!$B$18,"STABLE",IF($F257&gt;$Q257,"UP","DOWN")))))</f>
        <v/>
      </c>
      <c r="J257" s="18" t="str">
        <f>IF($A257="","",IF($K257=0,"",MIN(100,ROUND($K257/Settings!$B$14*100,0))))</f>
        <v/>
      </c>
      <c r="K257" s="17" t="str">
        <f>IF($A257="","",COUNTIFS(Trade_Reports!$H$3:$H$502,$A257,Trade_Reports!$M$3:$M$502,"APPROVED",Trade_Reports!$Q$3:$Q$502,"&lt;="&amp;Settings!$B$4))</f>
        <v/>
      </c>
      <c r="L257" s="19" t="str">
        <f>IF($A257="","",IF($K257=0,"",IFERROR(_xludf.MAXIFS(Trade_Reports!$O$3:$O$502,Trade_Reports!$H$3:$H$502,$A257,Trade_Reports!$M$3:$M$502,"APPROVED"),"")))</f>
        <v/>
      </c>
      <c r="M257" s="16" t="s">
        <v>46</v>
      </c>
      <c r="N257" s="15"/>
      <c r="O257" s="9" t="str">
        <f t="shared" si="0"/>
        <v/>
      </c>
      <c r="P257" s="2" t="str">
        <f>IF($A257="","",SUMIFS(Trade_Reports!$U$3:$U$502,Trade_Reports!$H$3:$H$502,$A257,Trade_Reports!$M$3:$M$502,"APPROVED",Trade_Reports!$Q$3:$Q$502,"&lt;="&amp;Settings!$B$4))</f>
        <v/>
      </c>
      <c r="Q257" s="2" t="str">
        <f>IF($A257="","",SUMIFS(Trade_Reports!$U$3:$U$502,Trade_Reports!$H$3:$H$502,$A257,Trade_Reports!$M$3:$M$502,"APPROVED",Trade_Reports!$Q$3:$Q$502,"&lt;="&amp;Settings!$B$5))</f>
        <v/>
      </c>
      <c r="R257" s="2" t="str">
        <f>IF($A257="","",IF($Q257=0,"",IFERROR(_xludf.MINIFS(Trade_Reports!$I$3:$I$502,Trade_Reports!$H$3:$H$502,$A257,Trade_Reports!$M$3:$M$502,"APPROVED",Trade_Reports!$Q$3:$Q$502,"&lt;="&amp;Settings!$B$5,Trade_Reports!$X$3:$X$502,"&gt;="&amp;0.5*$Q257),"")))</f>
        <v/>
      </c>
      <c r="S257" s="2" t="str">
        <f>IF($A257="","",COUNTIFS(Trade_Reports!$H$3:$H$502,$A257,Trade_Reports!$M$3:$M$502,"APPROVED",Trade_Reports!$Q$3:$Q$502,"&lt;="&amp;Settings!$B$5))</f>
        <v/>
      </c>
      <c r="T257" s="2"/>
      <c r="U257" s="2"/>
      <c r="V257" s="21" t="str">
        <f>IF(OR($A257="",ISERROR(SEARCH("_",$A257))),"",IFERROR(SUMIFS(Trade_Reports!$Z$3:$Z$502,Trade_Reports!$H$3:$H$502,$A257,Trade_Reports!$M$3:$M$502,"APPROVED")/SUMIFS(Trade_Reports!$U$3:$U$502,Trade_Reports!$H$3:$H$502,$A257,Trade_Reports!$M$3:$M$502,"APPROVED"),""))</f>
        <v/>
      </c>
      <c r="W257" s="17" t="str">
        <f t="shared" si="1"/>
        <v/>
      </c>
      <c r="X257" s="2"/>
      <c r="Y257" s="2"/>
      <c r="Z257" s="2"/>
    </row>
    <row r="258" spans="1:26" ht="15.75" customHeight="1" x14ac:dyDescent="0.3">
      <c r="A258" s="15"/>
      <c r="B258" s="15"/>
      <c r="C258" s="16"/>
      <c r="D258" s="16"/>
      <c r="E258" s="16"/>
      <c r="F258" s="17" t="str">
        <f>IF($A258="","",IF($K258&lt;Settings!$B$14,"",IF($P258=0,"",IFERROR(_xludf.MINIFS(Trade_Reports!$I$3:$I$502,Trade_Reports!$H$3:$H$502,$A258,Trade_Reports!$M$3:$M$502,"APPROVED",Trade_Reports!$Q$3:$Q$502,"&lt;="&amp;Settings!$B$4,Trade_Reports!$W$3:$W$502,"&gt;="&amp;0.5*$P258),""))))</f>
        <v/>
      </c>
      <c r="G258" s="17" t="str">
        <f>IF($A258="","",IF($K258=0,"",IFERROR(_xludf.MINIFS(Trade_Reports!$I$3:$I$502,Trade_Reports!$H$3:$H$502,$A258,Trade_Reports!$M$3:$M$502,"APPROVED",Trade_Reports!$Q$3:$Q$502,"&lt;="&amp;Settings!$B$4),"")))</f>
        <v/>
      </c>
      <c r="H258" s="17" t="str">
        <f>IF($A258="","",IF($K258=0,"",IFERROR(_xludf.MAXIFS(Trade_Reports!$I$3:$I$502,Trade_Reports!$H$3:$H$502,$A258,Trade_Reports!$M$3:$M$502,"APPROVED",Trade_Reports!$Q$3:$Q$502,"&lt;="&amp;Settings!$B$4),"")))</f>
        <v/>
      </c>
      <c r="I258" s="17" t="str">
        <f>IF($A258="","",IF($F258="","",IF($Q258="","",IF(ABS($F258-$Q258)/$Q258&lt;=Settings!$B$18,"STABLE",IF($F258&gt;$Q258,"UP","DOWN")))))</f>
        <v/>
      </c>
      <c r="J258" s="18" t="str">
        <f>IF($A258="","",IF($K258=0,"",MIN(100,ROUND($K258/Settings!$B$14*100,0))))</f>
        <v/>
      </c>
      <c r="K258" s="17" t="str">
        <f>IF($A258="","",COUNTIFS(Trade_Reports!$H$3:$H$502,$A258,Trade_Reports!$M$3:$M$502,"APPROVED",Trade_Reports!$Q$3:$Q$502,"&lt;="&amp;Settings!$B$4))</f>
        <v/>
      </c>
      <c r="L258" s="19" t="str">
        <f>IF($A258="","",IF($K258=0,"",IFERROR(_xludf.MAXIFS(Trade_Reports!$O$3:$O$502,Trade_Reports!$H$3:$H$502,$A258,Trade_Reports!$M$3:$M$502,"APPROVED"),"")))</f>
        <v/>
      </c>
      <c r="M258" s="16" t="s">
        <v>46</v>
      </c>
      <c r="N258" s="15"/>
      <c r="O258" s="9" t="str">
        <f t="shared" ref="O258:O512" si="2">IF(OR($A258="",ISERROR(SEARCH("_",$A258))),"", $W258)</f>
        <v/>
      </c>
      <c r="P258" s="2" t="str">
        <f>IF($A258="","",SUMIFS(Trade_Reports!$U$3:$U$502,Trade_Reports!$H$3:$H$502,$A258,Trade_Reports!$M$3:$M$502,"APPROVED",Trade_Reports!$Q$3:$Q$502,"&lt;="&amp;Settings!$B$4))</f>
        <v/>
      </c>
      <c r="Q258" s="2" t="str">
        <f>IF($A258="","",SUMIFS(Trade_Reports!$U$3:$U$502,Trade_Reports!$H$3:$H$502,$A258,Trade_Reports!$M$3:$M$502,"APPROVED",Trade_Reports!$Q$3:$Q$502,"&lt;="&amp;Settings!$B$5))</f>
        <v/>
      </c>
      <c r="R258" s="2" t="str">
        <f>IF($A258="","",IF($Q258=0,"",IFERROR(_xludf.MINIFS(Trade_Reports!$I$3:$I$502,Trade_Reports!$H$3:$H$502,$A258,Trade_Reports!$M$3:$M$502,"APPROVED",Trade_Reports!$Q$3:$Q$502,"&lt;="&amp;Settings!$B$5,Trade_Reports!$X$3:$X$502,"&gt;="&amp;0.5*$Q258),"")))</f>
        <v/>
      </c>
      <c r="S258" s="2" t="str">
        <f>IF($A258="","",COUNTIFS(Trade_Reports!$H$3:$H$502,$A258,Trade_Reports!$M$3:$M$502,"APPROVED",Trade_Reports!$Q$3:$Q$502,"&lt;="&amp;Settings!$B$5))</f>
        <v/>
      </c>
      <c r="T258" s="2"/>
      <c r="U258" s="2"/>
      <c r="V258" s="21" t="str">
        <f>IF(OR($A258="",ISERROR(SEARCH("_",$A258))),"",IFERROR(SUMIFS(Trade_Reports!$Z$3:$Z$502,Trade_Reports!$H$3:$H$502,$A258,Trade_Reports!$M$3:$M$502,"APPROVED")/SUMIFS(Trade_Reports!$U$3:$U$502,Trade_Reports!$H$3:$H$502,$A258,Trade_Reports!$M$3:$M$502,"APPROVED"),""))</f>
        <v/>
      </c>
      <c r="W258" s="17" t="str">
        <f t="shared" ref="W258:W512" si="3">IF($V258="","",IF($V258&lt;1.75,"LOW",IF($V258&lt;2.5,"MID","HIGH")))</f>
        <v/>
      </c>
      <c r="X258" s="2"/>
      <c r="Y258" s="2"/>
      <c r="Z258" s="2"/>
    </row>
    <row r="259" spans="1:26" ht="15.75" customHeight="1" x14ac:dyDescent="0.3">
      <c r="A259" s="15"/>
      <c r="B259" s="15"/>
      <c r="C259" s="16"/>
      <c r="D259" s="16"/>
      <c r="E259" s="16"/>
      <c r="F259" s="17" t="str">
        <f>IF($A259="","",IF($K259&lt;Settings!$B$14,"",IF($P259=0,"",IFERROR(_xludf.MINIFS(Trade_Reports!$I$3:$I$502,Trade_Reports!$H$3:$H$502,$A259,Trade_Reports!$M$3:$M$502,"APPROVED",Trade_Reports!$Q$3:$Q$502,"&lt;="&amp;Settings!$B$4,Trade_Reports!$W$3:$W$502,"&gt;="&amp;0.5*$P259),""))))</f>
        <v/>
      </c>
      <c r="G259" s="17" t="str">
        <f>IF($A259="","",IF($K259=0,"",IFERROR(_xludf.MINIFS(Trade_Reports!$I$3:$I$502,Trade_Reports!$H$3:$H$502,$A259,Trade_Reports!$M$3:$M$502,"APPROVED",Trade_Reports!$Q$3:$Q$502,"&lt;="&amp;Settings!$B$4),"")))</f>
        <v/>
      </c>
      <c r="H259" s="17" t="str">
        <f>IF($A259="","",IF($K259=0,"",IFERROR(_xludf.MAXIFS(Trade_Reports!$I$3:$I$502,Trade_Reports!$H$3:$H$502,$A259,Trade_Reports!$M$3:$M$502,"APPROVED",Trade_Reports!$Q$3:$Q$502,"&lt;="&amp;Settings!$B$4),"")))</f>
        <v/>
      </c>
      <c r="I259" s="17" t="str">
        <f>IF($A259="","",IF($F259="","",IF($Q259="","",IF(ABS($F259-$Q259)/$Q259&lt;=Settings!$B$18,"STABLE",IF($F259&gt;$Q259,"UP","DOWN")))))</f>
        <v/>
      </c>
      <c r="J259" s="18" t="str">
        <f>IF($A259="","",IF($K259=0,"",MIN(100,ROUND($K259/Settings!$B$14*100,0))))</f>
        <v/>
      </c>
      <c r="K259" s="17" t="str">
        <f>IF($A259="","",COUNTIFS(Trade_Reports!$H$3:$H$502,$A259,Trade_Reports!$M$3:$M$502,"APPROVED",Trade_Reports!$Q$3:$Q$502,"&lt;="&amp;Settings!$B$4))</f>
        <v/>
      </c>
      <c r="L259" s="19" t="str">
        <f>IF($A259="","",IF($K259=0,"",IFERROR(_xludf.MAXIFS(Trade_Reports!$O$3:$O$502,Trade_Reports!$H$3:$H$502,$A259,Trade_Reports!$M$3:$M$502,"APPROVED"),"")))</f>
        <v/>
      </c>
      <c r="M259" s="16" t="s">
        <v>46</v>
      </c>
      <c r="N259" s="15"/>
      <c r="O259" s="9" t="str">
        <f t="shared" si="2"/>
        <v/>
      </c>
      <c r="P259" s="2" t="str">
        <f>IF($A259="","",SUMIFS(Trade_Reports!$U$3:$U$502,Trade_Reports!$H$3:$H$502,$A259,Trade_Reports!$M$3:$M$502,"APPROVED",Trade_Reports!$Q$3:$Q$502,"&lt;="&amp;Settings!$B$4))</f>
        <v/>
      </c>
      <c r="Q259" s="2" t="str">
        <f>IF($A259="","",SUMIFS(Trade_Reports!$U$3:$U$502,Trade_Reports!$H$3:$H$502,$A259,Trade_Reports!$M$3:$M$502,"APPROVED",Trade_Reports!$Q$3:$Q$502,"&lt;="&amp;Settings!$B$5))</f>
        <v/>
      </c>
      <c r="R259" s="2" t="str">
        <f>IF($A259="","",IF($Q259=0,"",IFERROR(_xludf.MINIFS(Trade_Reports!$I$3:$I$502,Trade_Reports!$H$3:$H$502,$A259,Trade_Reports!$M$3:$M$502,"APPROVED",Trade_Reports!$Q$3:$Q$502,"&lt;="&amp;Settings!$B$5,Trade_Reports!$X$3:$X$502,"&gt;="&amp;0.5*$Q259),"")))</f>
        <v/>
      </c>
      <c r="S259" s="2" t="str">
        <f>IF($A259="","",COUNTIFS(Trade_Reports!$H$3:$H$502,$A259,Trade_Reports!$M$3:$M$502,"APPROVED",Trade_Reports!$Q$3:$Q$502,"&lt;="&amp;Settings!$B$5))</f>
        <v/>
      </c>
      <c r="T259" s="2"/>
      <c r="U259" s="2"/>
      <c r="V259" s="21" t="str">
        <f>IF(OR($A259="",ISERROR(SEARCH("_",$A259))),"",IFERROR(SUMIFS(Trade_Reports!$Z$3:$Z$502,Trade_Reports!$H$3:$H$502,$A259,Trade_Reports!$M$3:$M$502,"APPROVED")/SUMIFS(Trade_Reports!$U$3:$U$502,Trade_Reports!$H$3:$H$502,$A259,Trade_Reports!$M$3:$M$502,"APPROVED"),""))</f>
        <v/>
      </c>
      <c r="W259" s="17" t="str">
        <f t="shared" si="3"/>
        <v/>
      </c>
      <c r="X259" s="2"/>
      <c r="Y259" s="2"/>
      <c r="Z259" s="2"/>
    </row>
    <row r="260" spans="1:26" ht="15.75" customHeight="1" x14ac:dyDescent="0.3">
      <c r="A260" s="15"/>
      <c r="B260" s="15"/>
      <c r="C260" s="16"/>
      <c r="D260" s="16"/>
      <c r="E260" s="16"/>
      <c r="F260" s="17" t="str">
        <f>IF($A260="","",IF($K260&lt;Settings!$B$14,"",IF($P260=0,"",IFERROR(_xludf.MINIFS(Trade_Reports!$I$3:$I$502,Trade_Reports!$H$3:$H$502,$A260,Trade_Reports!$M$3:$M$502,"APPROVED",Trade_Reports!$Q$3:$Q$502,"&lt;="&amp;Settings!$B$4,Trade_Reports!$W$3:$W$502,"&gt;="&amp;0.5*$P260),""))))</f>
        <v/>
      </c>
      <c r="G260" s="17" t="str">
        <f>IF($A260="","",IF($K260=0,"",IFERROR(_xludf.MINIFS(Trade_Reports!$I$3:$I$502,Trade_Reports!$H$3:$H$502,$A260,Trade_Reports!$M$3:$M$502,"APPROVED",Trade_Reports!$Q$3:$Q$502,"&lt;="&amp;Settings!$B$4),"")))</f>
        <v/>
      </c>
      <c r="H260" s="17" t="str">
        <f>IF($A260="","",IF($K260=0,"",IFERROR(_xludf.MAXIFS(Trade_Reports!$I$3:$I$502,Trade_Reports!$H$3:$H$502,$A260,Trade_Reports!$M$3:$M$502,"APPROVED",Trade_Reports!$Q$3:$Q$502,"&lt;="&amp;Settings!$B$4),"")))</f>
        <v/>
      </c>
      <c r="I260" s="17" t="str">
        <f>IF($A260="","",IF($F260="","",IF($Q260="","",IF(ABS($F260-$Q260)/$Q260&lt;=Settings!$B$18,"STABLE",IF($F260&gt;$Q260,"UP","DOWN")))))</f>
        <v/>
      </c>
      <c r="J260" s="18" t="str">
        <f>IF($A260="","",IF($K260=0,"",MIN(100,ROUND($K260/Settings!$B$14*100,0))))</f>
        <v/>
      </c>
      <c r="K260" s="17" t="str">
        <f>IF($A260="","",COUNTIFS(Trade_Reports!$H$3:$H$502,$A260,Trade_Reports!$M$3:$M$502,"APPROVED",Trade_Reports!$Q$3:$Q$502,"&lt;="&amp;Settings!$B$4))</f>
        <v/>
      </c>
      <c r="L260" s="19" t="str">
        <f>IF($A260="","",IF($K260=0,"",IFERROR(_xludf.MAXIFS(Trade_Reports!$O$3:$O$502,Trade_Reports!$H$3:$H$502,$A260,Trade_Reports!$M$3:$M$502,"APPROVED"),"")))</f>
        <v/>
      </c>
      <c r="M260" s="16" t="s">
        <v>46</v>
      </c>
      <c r="N260" s="15"/>
      <c r="O260" s="9" t="str">
        <f t="shared" si="2"/>
        <v/>
      </c>
      <c r="P260" s="2" t="str">
        <f>IF($A260="","",SUMIFS(Trade_Reports!$U$3:$U$502,Trade_Reports!$H$3:$H$502,$A260,Trade_Reports!$M$3:$M$502,"APPROVED",Trade_Reports!$Q$3:$Q$502,"&lt;="&amp;Settings!$B$4))</f>
        <v/>
      </c>
      <c r="Q260" s="2" t="str">
        <f>IF($A260="","",SUMIFS(Trade_Reports!$U$3:$U$502,Trade_Reports!$H$3:$H$502,$A260,Trade_Reports!$M$3:$M$502,"APPROVED",Trade_Reports!$Q$3:$Q$502,"&lt;="&amp;Settings!$B$5))</f>
        <v/>
      </c>
      <c r="R260" s="2" t="str">
        <f>IF($A260="","",IF($Q260=0,"",IFERROR(_xludf.MINIFS(Trade_Reports!$I$3:$I$502,Trade_Reports!$H$3:$H$502,$A260,Trade_Reports!$M$3:$M$502,"APPROVED",Trade_Reports!$Q$3:$Q$502,"&lt;="&amp;Settings!$B$5,Trade_Reports!$X$3:$X$502,"&gt;="&amp;0.5*$Q260),"")))</f>
        <v/>
      </c>
      <c r="S260" s="2" t="str">
        <f>IF($A260="","",COUNTIFS(Trade_Reports!$H$3:$H$502,$A260,Trade_Reports!$M$3:$M$502,"APPROVED",Trade_Reports!$Q$3:$Q$502,"&lt;="&amp;Settings!$B$5))</f>
        <v/>
      </c>
      <c r="T260" s="2"/>
      <c r="U260" s="2"/>
      <c r="V260" s="21" t="str">
        <f>IF(OR($A260="",ISERROR(SEARCH("_",$A260))),"",IFERROR(SUMIFS(Trade_Reports!$Z$3:$Z$502,Trade_Reports!$H$3:$H$502,$A260,Trade_Reports!$M$3:$M$502,"APPROVED")/SUMIFS(Trade_Reports!$U$3:$U$502,Trade_Reports!$H$3:$H$502,$A260,Trade_Reports!$M$3:$M$502,"APPROVED"),""))</f>
        <v/>
      </c>
      <c r="W260" s="17" t="str">
        <f t="shared" si="3"/>
        <v/>
      </c>
      <c r="X260" s="2"/>
      <c r="Y260" s="2"/>
      <c r="Z260" s="2"/>
    </row>
    <row r="261" spans="1:26" ht="15.75" customHeight="1" x14ac:dyDescent="0.3">
      <c r="A261" s="15"/>
      <c r="B261" s="15"/>
      <c r="C261" s="16"/>
      <c r="D261" s="16"/>
      <c r="E261" s="16"/>
      <c r="F261" s="17" t="str">
        <f>IF($A261="","",IF($K261&lt;Settings!$B$14,"",IF($P261=0,"",IFERROR(_xludf.MINIFS(Trade_Reports!$I$3:$I$502,Trade_Reports!$H$3:$H$502,$A261,Trade_Reports!$M$3:$M$502,"APPROVED",Trade_Reports!$Q$3:$Q$502,"&lt;="&amp;Settings!$B$4,Trade_Reports!$W$3:$W$502,"&gt;="&amp;0.5*$P261),""))))</f>
        <v/>
      </c>
      <c r="G261" s="17" t="str">
        <f>IF($A261="","",IF($K261=0,"",IFERROR(_xludf.MINIFS(Trade_Reports!$I$3:$I$502,Trade_Reports!$H$3:$H$502,$A261,Trade_Reports!$M$3:$M$502,"APPROVED",Trade_Reports!$Q$3:$Q$502,"&lt;="&amp;Settings!$B$4),"")))</f>
        <v/>
      </c>
      <c r="H261" s="17" t="str">
        <f>IF($A261="","",IF($K261=0,"",IFERROR(_xludf.MAXIFS(Trade_Reports!$I$3:$I$502,Trade_Reports!$H$3:$H$502,$A261,Trade_Reports!$M$3:$M$502,"APPROVED",Trade_Reports!$Q$3:$Q$502,"&lt;="&amp;Settings!$B$4),"")))</f>
        <v/>
      </c>
      <c r="I261" s="17" t="str">
        <f>IF($A261="","",IF($F261="","",IF($Q261="","",IF(ABS($F261-$Q261)/$Q261&lt;=Settings!$B$18,"STABLE",IF($F261&gt;$Q261,"UP","DOWN")))))</f>
        <v/>
      </c>
      <c r="J261" s="18" t="str">
        <f>IF($A261="","",IF($K261=0,"",MIN(100,ROUND($K261/Settings!$B$14*100,0))))</f>
        <v/>
      </c>
      <c r="K261" s="17" t="str">
        <f>IF($A261="","",COUNTIFS(Trade_Reports!$H$3:$H$502,$A261,Trade_Reports!$M$3:$M$502,"APPROVED",Trade_Reports!$Q$3:$Q$502,"&lt;="&amp;Settings!$B$4))</f>
        <v/>
      </c>
      <c r="L261" s="19" t="str">
        <f>IF($A261="","",IF($K261=0,"",IFERROR(_xludf.MAXIFS(Trade_Reports!$O$3:$O$502,Trade_Reports!$H$3:$H$502,$A261,Trade_Reports!$M$3:$M$502,"APPROVED"),"")))</f>
        <v/>
      </c>
      <c r="M261" s="16" t="s">
        <v>46</v>
      </c>
      <c r="N261" s="15"/>
      <c r="O261" s="9" t="str">
        <f t="shared" si="2"/>
        <v/>
      </c>
      <c r="P261" s="2" t="str">
        <f>IF($A261="","",SUMIFS(Trade_Reports!$U$3:$U$502,Trade_Reports!$H$3:$H$502,$A261,Trade_Reports!$M$3:$M$502,"APPROVED",Trade_Reports!$Q$3:$Q$502,"&lt;="&amp;Settings!$B$4))</f>
        <v/>
      </c>
      <c r="Q261" s="2" t="str">
        <f>IF($A261="","",SUMIFS(Trade_Reports!$U$3:$U$502,Trade_Reports!$H$3:$H$502,$A261,Trade_Reports!$M$3:$M$502,"APPROVED",Trade_Reports!$Q$3:$Q$502,"&lt;="&amp;Settings!$B$5))</f>
        <v/>
      </c>
      <c r="R261" s="2" t="str">
        <f>IF($A261="","",IF($Q261=0,"",IFERROR(_xludf.MINIFS(Trade_Reports!$I$3:$I$502,Trade_Reports!$H$3:$H$502,$A261,Trade_Reports!$M$3:$M$502,"APPROVED",Trade_Reports!$Q$3:$Q$502,"&lt;="&amp;Settings!$B$5,Trade_Reports!$X$3:$X$502,"&gt;="&amp;0.5*$Q261),"")))</f>
        <v/>
      </c>
      <c r="S261" s="2" t="str">
        <f>IF($A261="","",COUNTIFS(Trade_Reports!$H$3:$H$502,$A261,Trade_Reports!$M$3:$M$502,"APPROVED",Trade_Reports!$Q$3:$Q$502,"&lt;="&amp;Settings!$B$5))</f>
        <v/>
      </c>
      <c r="T261" s="2"/>
      <c r="U261" s="2"/>
      <c r="V261" s="21" t="str">
        <f>IF(OR($A261="",ISERROR(SEARCH("_",$A261))),"",IFERROR(SUMIFS(Trade_Reports!$Z$3:$Z$502,Trade_Reports!$H$3:$H$502,$A261,Trade_Reports!$M$3:$M$502,"APPROVED")/SUMIFS(Trade_Reports!$U$3:$U$502,Trade_Reports!$H$3:$H$502,$A261,Trade_Reports!$M$3:$M$502,"APPROVED"),""))</f>
        <v/>
      </c>
      <c r="W261" s="17" t="str">
        <f t="shared" si="3"/>
        <v/>
      </c>
      <c r="X261" s="2"/>
      <c r="Y261" s="2"/>
      <c r="Z261" s="2"/>
    </row>
    <row r="262" spans="1:26" ht="15.75" customHeight="1" x14ac:dyDescent="0.3">
      <c r="A262" s="15"/>
      <c r="B262" s="15"/>
      <c r="C262" s="16"/>
      <c r="D262" s="16"/>
      <c r="E262" s="16"/>
      <c r="F262" s="17" t="str">
        <f>IF($A262="","",IF($K262&lt;Settings!$B$14,"",IF($P262=0,"",IFERROR(_xludf.MINIFS(Trade_Reports!$I$3:$I$502,Trade_Reports!$H$3:$H$502,$A262,Trade_Reports!$M$3:$M$502,"APPROVED",Trade_Reports!$Q$3:$Q$502,"&lt;="&amp;Settings!$B$4,Trade_Reports!$W$3:$W$502,"&gt;="&amp;0.5*$P262),""))))</f>
        <v/>
      </c>
      <c r="G262" s="17" t="str">
        <f>IF($A262="","",IF($K262=0,"",IFERROR(_xludf.MINIFS(Trade_Reports!$I$3:$I$502,Trade_Reports!$H$3:$H$502,$A262,Trade_Reports!$M$3:$M$502,"APPROVED",Trade_Reports!$Q$3:$Q$502,"&lt;="&amp;Settings!$B$4),"")))</f>
        <v/>
      </c>
      <c r="H262" s="17" t="str">
        <f>IF($A262="","",IF($K262=0,"",IFERROR(_xludf.MAXIFS(Trade_Reports!$I$3:$I$502,Trade_Reports!$H$3:$H$502,$A262,Trade_Reports!$M$3:$M$502,"APPROVED",Trade_Reports!$Q$3:$Q$502,"&lt;="&amp;Settings!$B$4),"")))</f>
        <v/>
      </c>
      <c r="I262" s="17" t="str">
        <f>IF($A262="","",IF($F262="","",IF($Q262="","",IF(ABS($F262-$Q262)/$Q262&lt;=Settings!$B$18,"STABLE",IF($F262&gt;$Q262,"UP","DOWN")))))</f>
        <v/>
      </c>
      <c r="J262" s="18" t="str">
        <f>IF($A262="","",IF($K262=0,"",MIN(100,ROUND($K262/Settings!$B$14*100,0))))</f>
        <v/>
      </c>
      <c r="K262" s="17" t="str">
        <f>IF($A262="","",COUNTIFS(Trade_Reports!$H$3:$H$502,$A262,Trade_Reports!$M$3:$M$502,"APPROVED",Trade_Reports!$Q$3:$Q$502,"&lt;="&amp;Settings!$B$4))</f>
        <v/>
      </c>
      <c r="L262" s="19" t="str">
        <f>IF($A262="","",IF($K262=0,"",IFERROR(_xludf.MAXIFS(Trade_Reports!$O$3:$O$502,Trade_Reports!$H$3:$H$502,$A262,Trade_Reports!$M$3:$M$502,"APPROVED"),"")))</f>
        <v/>
      </c>
      <c r="M262" s="16" t="s">
        <v>46</v>
      </c>
      <c r="N262" s="15"/>
      <c r="O262" s="9" t="str">
        <f t="shared" si="2"/>
        <v/>
      </c>
      <c r="P262" s="2" t="str">
        <f>IF($A262="","",SUMIFS(Trade_Reports!$U$3:$U$502,Trade_Reports!$H$3:$H$502,$A262,Trade_Reports!$M$3:$M$502,"APPROVED",Trade_Reports!$Q$3:$Q$502,"&lt;="&amp;Settings!$B$4))</f>
        <v/>
      </c>
      <c r="Q262" s="2" t="str">
        <f>IF($A262="","",SUMIFS(Trade_Reports!$U$3:$U$502,Trade_Reports!$H$3:$H$502,$A262,Trade_Reports!$M$3:$M$502,"APPROVED",Trade_Reports!$Q$3:$Q$502,"&lt;="&amp;Settings!$B$5))</f>
        <v/>
      </c>
      <c r="R262" s="2" t="str">
        <f>IF($A262="","",IF($Q262=0,"",IFERROR(_xludf.MINIFS(Trade_Reports!$I$3:$I$502,Trade_Reports!$H$3:$H$502,$A262,Trade_Reports!$M$3:$M$502,"APPROVED",Trade_Reports!$Q$3:$Q$502,"&lt;="&amp;Settings!$B$5,Trade_Reports!$X$3:$X$502,"&gt;="&amp;0.5*$Q262),"")))</f>
        <v/>
      </c>
      <c r="S262" s="2" t="str">
        <f>IF($A262="","",COUNTIFS(Trade_Reports!$H$3:$H$502,$A262,Trade_Reports!$M$3:$M$502,"APPROVED",Trade_Reports!$Q$3:$Q$502,"&lt;="&amp;Settings!$B$5))</f>
        <v/>
      </c>
      <c r="T262" s="2"/>
      <c r="U262" s="2"/>
      <c r="V262" s="21" t="str">
        <f>IF(OR($A262="",ISERROR(SEARCH("_",$A262))),"",IFERROR(SUMIFS(Trade_Reports!$Z$3:$Z$502,Trade_Reports!$H$3:$H$502,$A262,Trade_Reports!$M$3:$M$502,"APPROVED")/SUMIFS(Trade_Reports!$U$3:$U$502,Trade_Reports!$H$3:$H$502,$A262,Trade_Reports!$M$3:$M$502,"APPROVED"),""))</f>
        <v/>
      </c>
      <c r="W262" s="17" t="str">
        <f t="shared" si="3"/>
        <v/>
      </c>
      <c r="X262" s="2"/>
      <c r="Y262" s="2"/>
      <c r="Z262" s="2"/>
    </row>
    <row r="263" spans="1:26" ht="15.75" customHeight="1" x14ac:dyDescent="0.3">
      <c r="A263" s="15"/>
      <c r="B263" s="15"/>
      <c r="C263" s="16"/>
      <c r="D263" s="16"/>
      <c r="E263" s="16"/>
      <c r="F263" s="17" t="str">
        <f>IF($A263="","",IF($K263&lt;Settings!$B$14,"",IF($P263=0,"",IFERROR(_xludf.MINIFS(Trade_Reports!$I$3:$I$502,Trade_Reports!$H$3:$H$502,$A263,Trade_Reports!$M$3:$M$502,"APPROVED",Trade_Reports!$Q$3:$Q$502,"&lt;="&amp;Settings!$B$4,Trade_Reports!$W$3:$W$502,"&gt;="&amp;0.5*$P263),""))))</f>
        <v/>
      </c>
      <c r="G263" s="17" t="str">
        <f>IF($A263="","",IF($K263=0,"",IFERROR(_xludf.MINIFS(Trade_Reports!$I$3:$I$502,Trade_Reports!$H$3:$H$502,$A263,Trade_Reports!$M$3:$M$502,"APPROVED",Trade_Reports!$Q$3:$Q$502,"&lt;="&amp;Settings!$B$4),"")))</f>
        <v/>
      </c>
      <c r="H263" s="17" t="str">
        <f>IF($A263="","",IF($K263=0,"",IFERROR(_xludf.MAXIFS(Trade_Reports!$I$3:$I$502,Trade_Reports!$H$3:$H$502,$A263,Trade_Reports!$M$3:$M$502,"APPROVED",Trade_Reports!$Q$3:$Q$502,"&lt;="&amp;Settings!$B$4),"")))</f>
        <v/>
      </c>
      <c r="I263" s="17" t="str">
        <f>IF($A263="","",IF($F263="","",IF($Q263="","",IF(ABS($F263-$Q263)/$Q263&lt;=Settings!$B$18,"STABLE",IF($F263&gt;$Q263,"UP","DOWN")))))</f>
        <v/>
      </c>
      <c r="J263" s="18" t="str">
        <f>IF($A263="","",IF($K263=0,"",MIN(100,ROUND($K263/Settings!$B$14*100,0))))</f>
        <v/>
      </c>
      <c r="K263" s="17" t="str">
        <f>IF($A263="","",COUNTIFS(Trade_Reports!$H$3:$H$502,$A263,Trade_Reports!$M$3:$M$502,"APPROVED",Trade_Reports!$Q$3:$Q$502,"&lt;="&amp;Settings!$B$4))</f>
        <v/>
      </c>
      <c r="L263" s="19" t="str">
        <f>IF($A263="","",IF($K263=0,"",IFERROR(_xludf.MAXIFS(Trade_Reports!$O$3:$O$502,Trade_Reports!$H$3:$H$502,$A263,Trade_Reports!$M$3:$M$502,"APPROVED"),"")))</f>
        <v/>
      </c>
      <c r="M263" s="16" t="s">
        <v>46</v>
      </c>
      <c r="N263" s="15"/>
      <c r="O263" s="9" t="str">
        <f t="shared" si="2"/>
        <v/>
      </c>
      <c r="P263" s="2" t="str">
        <f>IF($A263="","",SUMIFS(Trade_Reports!$U$3:$U$502,Trade_Reports!$H$3:$H$502,$A263,Trade_Reports!$M$3:$M$502,"APPROVED",Trade_Reports!$Q$3:$Q$502,"&lt;="&amp;Settings!$B$4))</f>
        <v/>
      </c>
      <c r="Q263" s="2" t="str">
        <f>IF($A263="","",SUMIFS(Trade_Reports!$U$3:$U$502,Trade_Reports!$H$3:$H$502,$A263,Trade_Reports!$M$3:$M$502,"APPROVED",Trade_Reports!$Q$3:$Q$502,"&lt;="&amp;Settings!$B$5))</f>
        <v/>
      </c>
      <c r="R263" s="2" t="str">
        <f>IF($A263="","",IF($Q263=0,"",IFERROR(_xludf.MINIFS(Trade_Reports!$I$3:$I$502,Trade_Reports!$H$3:$H$502,$A263,Trade_Reports!$M$3:$M$502,"APPROVED",Trade_Reports!$Q$3:$Q$502,"&lt;="&amp;Settings!$B$5,Trade_Reports!$X$3:$X$502,"&gt;="&amp;0.5*$Q263),"")))</f>
        <v/>
      </c>
      <c r="S263" s="2" t="str">
        <f>IF($A263="","",COUNTIFS(Trade_Reports!$H$3:$H$502,$A263,Trade_Reports!$M$3:$M$502,"APPROVED",Trade_Reports!$Q$3:$Q$502,"&lt;="&amp;Settings!$B$5))</f>
        <v/>
      </c>
      <c r="T263" s="2"/>
      <c r="U263" s="2"/>
      <c r="V263" s="21" t="str">
        <f>IF(OR($A263="",ISERROR(SEARCH("_",$A263))),"",IFERROR(SUMIFS(Trade_Reports!$Z$3:$Z$502,Trade_Reports!$H$3:$H$502,$A263,Trade_Reports!$M$3:$M$502,"APPROVED")/SUMIFS(Trade_Reports!$U$3:$U$502,Trade_Reports!$H$3:$H$502,$A263,Trade_Reports!$M$3:$M$502,"APPROVED"),""))</f>
        <v/>
      </c>
      <c r="W263" s="17" t="str">
        <f t="shared" si="3"/>
        <v/>
      </c>
      <c r="X263" s="2"/>
      <c r="Y263" s="2"/>
      <c r="Z263" s="2"/>
    </row>
    <row r="264" spans="1:26" ht="15.75" customHeight="1" x14ac:dyDescent="0.3">
      <c r="A264" s="15"/>
      <c r="B264" s="15"/>
      <c r="C264" s="16"/>
      <c r="D264" s="16"/>
      <c r="E264" s="16"/>
      <c r="F264" s="17" t="str">
        <f>IF($A264="","",IF($K264&lt;Settings!$B$14,"",IF($P264=0,"",IFERROR(_xludf.MINIFS(Trade_Reports!$I$3:$I$502,Trade_Reports!$H$3:$H$502,$A264,Trade_Reports!$M$3:$M$502,"APPROVED",Trade_Reports!$Q$3:$Q$502,"&lt;="&amp;Settings!$B$4,Trade_Reports!$W$3:$W$502,"&gt;="&amp;0.5*$P264),""))))</f>
        <v/>
      </c>
      <c r="G264" s="17" t="str">
        <f>IF($A264="","",IF($K264=0,"",IFERROR(_xludf.MINIFS(Trade_Reports!$I$3:$I$502,Trade_Reports!$H$3:$H$502,$A264,Trade_Reports!$M$3:$M$502,"APPROVED",Trade_Reports!$Q$3:$Q$502,"&lt;="&amp;Settings!$B$4),"")))</f>
        <v/>
      </c>
      <c r="H264" s="17" t="str">
        <f>IF($A264="","",IF($K264=0,"",IFERROR(_xludf.MAXIFS(Trade_Reports!$I$3:$I$502,Trade_Reports!$H$3:$H$502,$A264,Trade_Reports!$M$3:$M$502,"APPROVED",Trade_Reports!$Q$3:$Q$502,"&lt;="&amp;Settings!$B$4),"")))</f>
        <v/>
      </c>
      <c r="I264" s="17" t="str">
        <f>IF($A264="","",IF($F264="","",IF($Q264="","",IF(ABS($F264-$Q264)/$Q264&lt;=Settings!$B$18,"STABLE",IF($F264&gt;$Q264,"UP","DOWN")))))</f>
        <v/>
      </c>
      <c r="J264" s="18" t="str">
        <f>IF($A264="","",IF($K264=0,"",MIN(100,ROUND($K264/Settings!$B$14*100,0))))</f>
        <v/>
      </c>
      <c r="K264" s="17" t="str">
        <f>IF($A264="","",COUNTIFS(Trade_Reports!$H$3:$H$502,$A264,Trade_Reports!$M$3:$M$502,"APPROVED",Trade_Reports!$Q$3:$Q$502,"&lt;="&amp;Settings!$B$4))</f>
        <v/>
      </c>
      <c r="L264" s="19" t="str">
        <f>IF($A264="","",IF($K264=0,"",IFERROR(_xludf.MAXIFS(Trade_Reports!$O$3:$O$502,Trade_Reports!$H$3:$H$502,$A264,Trade_Reports!$M$3:$M$502,"APPROVED"),"")))</f>
        <v/>
      </c>
      <c r="M264" s="16" t="s">
        <v>46</v>
      </c>
      <c r="N264" s="15"/>
      <c r="O264" s="9" t="str">
        <f t="shared" si="2"/>
        <v/>
      </c>
      <c r="P264" s="2" t="str">
        <f>IF($A264="","",SUMIFS(Trade_Reports!$U$3:$U$502,Trade_Reports!$H$3:$H$502,$A264,Trade_Reports!$M$3:$M$502,"APPROVED",Trade_Reports!$Q$3:$Q$502,"&lt;="&amp;Settings!$B$4))</f>
        <v/>
      </c>
      <c r="Q264" s="2" t="str">
        <f>IF($A264="","",SUMIFS(Trade_Reports!$U$3:$U$502,Trade_Reports!$H$3:$H$502,$A264,Trade_Reports!$M$3:$M$502,"APPROVED",Trade_Reports!$Q$3:$Q$502,"&lt;="&amp;Settings!$B$5))</f>
        <v/>
      </c>
      <c r="R264" s="2" t="str">
        <f>IF($A264="","",IF($Q264=0,"",IFERROR(_xludf.MINIFS(Trade_Reports!$I$3:$I$502,Trade_Reports!$H$3:$H$502,$A264,Trade_Reports!$M$3:$M$502,"APPROVED",Trade_Reports!$Q$3:$Q$502,"&lt;="&amp;Settings!$B$5,Trade_Reports!$X$3:$X$502,"&gt;="&amp;0.5*$Q264),"")))</f>
        <v/>
      </c>
      <c r="S264" s="2" t="str">
        <f>IF($A264="","",COUNTIFS(Trade_Reports!$H$3:$H$502,$A264,Trade_Reports!$M$3:$M$502,"APPROVED",Trade_Reports!$Q$3:$Q$502,"&lt;="&amp;Settings!$B$5))</f>
        <v/>
      </c>
      <c r="T264" s="2"/>
      <c r="U264" s="2"/>
      <c r="V264" s="21" t="str">
        <f>IF(OR($A264="",ISERROR(SEARCH("_",$A264))),"",IFERROR(SUMIFS(Trade_Reports!$Z$3:$Z$502,Trade_Reports!$H$3:$H$502,$A264,Trade_Reports!$M$3:$M$502,"APPROVED")/SUMIFS(Trade_Reports!$U$3:$U$502,Trade_Reports!$H$3:$H$502,$A264,Trade_Reports!$M$3:$M$502,"APPROVED"),""))</f>
        <v/>
      </c>
      <c r="W264" s="17" t="str">
        <f t="shared" si="3"/>
        <v/>
      </c>
      <c r="X264" s="2"/>
      <c r="Y264" s="2"/>
      <c r="Z264" s="2"/>
    </row>
    <row r="265" spans="1:26" ht="15.75" customHeight="1" x14ac:dyDescent="0.3">
      <c r="A265" s="15"/>
      <c r="B265" s="15"/>
      <c r="C265" s="16"/>
      <c r="D265" s="16"/>
      <c r="E265" s="16"/>
      <c r="F265" s="17" t="str">
        <f>IF($A265="","",IF($K265&lt;Settings!$B$14,"",IF($P265=0,"",IFERROR(_xludf.MINIFS(Trade_Reports!$I$3:$I$502,Trade_Reports!$H$3:$H$502,$A265,Trade_Reports!$M$3:$M$502,"APPROVED",Trade_Reports!$Q$3:$Q$502,"&lt;="&amp;Settings!$B$4,Trade_Reports!$W$3:$W$502,"&gt;="&amp;0.5*$P265),""))))</f>
        <v/>
      </c>
      <c r="G265" s="17" t="str">
        <f>IF($A265="","",IF($K265=0,"",IFERROR(_xludf.MINIFS(Trade_Reports!$I$3:$I$502,Trade_Reports!$H$3:$H$502,$A265,Trade_Reports!$M$3:$M$502,"APPROVED",Trade_Reports!$Q$3:$Q$502,"&lt;="&amp;Settings!$B$4),"")))</f>
        <v/>
      </c>
      <c r="H265" s="17" t="str">
        <f>IF($A265="","",IF($K265=0,"",IFERROR(_xludf.MAXIFS(Trade_Reports!$I$3:$I$502,Trade_Reports!$H$3:$H$502,$A265,Trade_Reports!$M$3:$M$502,"APPROVED",Trade_Reports!$Q$3:$Q$502,"&lt;="&amp;Settings!$B$4),"")))</f>
        <v/>
      </c>
      <c r="I265" s="17" t="str">
        <f>IF($A265="","",IF($F265="","",IF($Q265="","",IF(ABS($F265-$Q265)/$Q265&lt;=Settings!$B$18,"STABLE",IF($F265&gt;$Q265,"UP","DOWN")))))</f>
        <v/>
      </c>
      <c r="J265" s="18" t="str">
        <f>IF($A265="","",IF($K265=0,"",MIN(100,ROUND($K265/Settings!$B$14*100,0))))</f>
        <v/>
      </c>
      <c r="K265" s="17" t="str">
        <f>IF($A265="","",COUNTIFS(Trade_Reports!$H$3:$H$502,$A265,Trade_Reports!$M$3:$M$502,"APPROVED",Trade_Reports!$Q$3:$Q$502,"&lt;="&amp;Settings!$B$4))</f>
        <v/>
      </c>
      <c r="L265" s="19" t="str">
        <f>IF($A265="","",IF($K265=0,"",IFERROR(_xludf.MAXIFS(Trade_Reports!$O$3:$O$502,Trade_Reports!$H$3:$H$502,$A265,Trade_Reports!$M$3:$M$502,"APPROVED"),"")))</f>
        <v/>
      </c>
      <c r="M265" s="16" t="s">
        <v>46</v>
      </c>
      <c r="N265" s="15"/>
      <c r="O265" s="9" t="str">
        <f t="shared" si="2"/>
        <v/>
      </c>
      <c r="P265" s="2" t="str">
        <f>IF($A265="","",SUMIFS(Trade_Reports!$U$3:$U$502,Trade_Reports!$H$3:$H$502,$A265,Trade_Reports!$M$3:$M$502,"APPROVED",Trade_Reports!$Q$3:$Q$502,"&lt;="&amp;Settings!$B$4))</f>
        <v/>
      </c>
      <c r="Q265" s="2" t="str">
        <f>IF($A265="","",SUMIFS(Trade_Reports!$U$3:$U$502,Trade_Reports!$H$3:$H$502,$A265,Trade_Reports!$M$3:$M$502,"APPROVED",Trade_Reports!$Q$3:$Q$502,"&lt;="&amp;Settings!$B$5))</f>
        <v/>
      </c>
      <c r="R265" s="2" t="str">
        <f>IF($A265="","",IF($Q265=0,"",IFERROR(_xludf.MINIFS(Trade_Reports!$I$3:$I$502,Trade_Reports!$H$3:$H$502,$A265,Trade_Reports!$M$3:$M$502,"APPROVED",Trade_Reports!$Q$3:$Q$502,"&lt;="&amp;Settings!$B$5,Trade_Reports!$X$3:$X$502,"&gt;="&amp;0.5*$Q265),"")))</f>
        <v/>
      </c>
      <c r="S265" s="2" t="str">
        <f>IF($A265="","",COUNTIFS(Trade_Reports!$H$3:$H$502,$A265,Trade_Reports!$M$3:$M$502,"APPROVED",Trade_Reports!$Q$3:$Q$502,"&lt;="&amp;Settings!$B$5))</f>
        <v/>
      </c>
      <c r="T265" s="2"/>
      <c r="U265" s="2"/>
      <c r="V265" s="21" t="str">
        <f>IF(OR($A265="",ISERROR(SEARCH("_",$A265))),"",IFERROR(SUMIFS(Trade_Reports!$Z$3:$Z$502,Trade_Reports!$H$3:$H$502,$A265,Trade_Reports!$M$3:$M$502,"APPROVED")/SUMIFS(Trade_Reports!$U$3:$U$502,Trade_Reports!$H$3:$H$502,$A265,Trade_Reports!$M$3:$M$502,"APPROVED"),""))</f>
        <v/>
      </c>
      <c r="W265" s="17" t="str">
        <f t="shared" si="3"/>
        <v/>
      </c>
      <c r="X265" s="2"/>
      <c r="Y265" s="2"/>
      <c r="Z265" s="2"/>
    </row>
    <row r="266" spans="1:26" ht="15.75" customHeight="1" x14ac:dyDescent="0.3">
      <c r="A266" s="15"/>
      <c r="B266" s="15"/>
      <c r="C266" s="16"/>
      <c r="D266" s="16"/>
      <c r="E266" s="16"/>
      <c r="F266" s="17" t="str">
        <f>IF($A266="","",IF($K266&lt;Settings!$B$14,"",IF($P266=0,"",IFERROR(_xludf.MINIFS(Trade_Reports!$I$3:$I$502,Trade_Reports!$H$3:$H$502,$A266,Trade_Reports!$M$3:$M$502,"APPROVED",Trade_Reports!$Q$3:$Q$502,"&lt;="&amp;Settings!$B$4,Trade_Reports!$W$3:$W$502,"&gt;="&amp;0.5*$P266),""))))</f>
        <v/>
      </c>
      <c r="G266" s="17" t="str">
        <f>IF($A266="","",IF($K266=0,"",IFERROR(_xludf.MINIFS(Trade_Reports!$I$3:$I$502,Trade_Reports!$H$3:$H$502,$A266,Trade_Reports!$M$3:$M$502,"APPROVED",Trade_Reports!$Q$3:$Q$502,"&lt;="&amp;Settings!$B$4),"")))</f>
        <v/>
      </c>
      <c r="H266" s="17" t="str">
        <f>IF($A266="","",IF($K266=0,"",IFERROR(_xludf.MAXIFS(Trade_Reports!$I$3:$I$502,Trade_Reports!$H$3:$H$502,$A266,Trade_Reports!$M$3:$M$502,"APPROVED",Trade_Reports!$Q$3:$Q$502,"&lt;="&amp;Settings!$B$4),"")))</f>
        <v/>
      </c>
      <c r="I266" s="17" t="str">
        <f>IF($A266="","",IF($F266="","",IF($Q266="","",IF(ABS($F266-$Q266)/$Q266&lt;=Settings!$B$18,"STABLE",IF($F266&gt;$Q266,"UP","DOWN")))))</f>
        <v/>
      </c>
      <c r="J266" s="18" t="str">
        <f>IF($A266="","",IF($K266=0,"",MIN(100,ROUND($K266/Settings!$B$14*100,0))))</f>
        <v/>
      </c>
      <c r="K266" s="17" t="str">
        <f>IF($A266="","",COUNTIFS(Trade_Reports!$H$3:$H$502,$A266,Trade_Reports!$M$3:$M$502,"APPROVED",Trade_Reports!$Q$3:$Q$502,"&lt;="&amp;Settings!$B$4))</f>
        <v/>
      </c>
      <c r="L266" s="19" t="str">
        <f>IF($A266="","",IF($K266=0,"",IFERROR(_xludf.MAXIFS(Trade_Reports!$O$3:$O$502,Trade_Reports!$H$3:$H$502,$A266,Trade_Reports!$M$3:$M$502,"APPROVED"),"")))</f>
        <v/>
      </c>
      <c r="M266" s="16" t="s">
        <v>46</v>
      </c>
      <c r="N266" s="15"/>
      <c r="O266" s="9" t="str">
        <f t="shared" si="2"/>
        <v/>
      </c>
      <c r="P266" s="2" t="str">
        <f>IF($A266="","",SUMIFS(Trade_Reports!$U$3:$U$502,Trade_Reports!$H$3:$H$502,$A266,Trade_Reports!$M$3:$M$502,"APPROVED",Trade_Reports!$Q$3:$Q$502,"&lt;="&amp;Settings!$B$4))</f>
        <v/>
      </c>
      <c r="Q266" s="2" t="str">
        <f>IF($A266="","",SUMIFS(Trade_Reports!$U$3:$U$502,Trade_Reports!$H$3:$H$502,$A266,Trade_Reports!$M$3:$M$502,"APPROVED",Trade_Reports!$Q$3:$Q$502,"&lt;="&amp;Settings!$B$5))</f>
        <v/>
      </c>
      <c r="R266" s="2" t="str">
        <f>IF($A266="","",IF($Q266=0,"",IFERROR(_xludf.MINIFS(Trade_Reports!$I$3:$I$502,Trade_Reports!$H$3:$H$502,$A266,Trade_Reports!$M$3:$M$502,"APPROVED",Trade_Reports!$Q$3:$Q$502,"&lt;="&amp;Settings!$B$5,Trade_Reports!$X$3:$X$502,"&gt;="&amp;0.5*$Q266),"")))</f>
        <v/>
      </c>
      <c r="S266" s="2" t="str">
        <f>IF($A266="","",COUNTIFS(Trade_Reports!$H$3:$H$502,$A266,Trade_Reports!$M$3:$M$502,"APPROVED",Trade_Reports!$Q$3:$Q$502,"&lt;="&amp;Settings!$B$5))</f>
        <v/>
      </c>
      <c r="T266" s="2"/>
      <c r="U266" s="2"/>
      <c r="V266" s="21" t="str">
        <f>IF(OR($A266="",ISERROR(SEARCH("_",$A266))),"",IFERROR(SUMIFS(Trade_Reports!$Z$3:$Z$502,Trade_Reports!$H$3:$H$502,$A266,Trade_Reports!$M$3:$M$502,"APPROVED")/SUMIFS(Trade_Reports!$U$3:$U$502,Trade_Reports!$H$3:$H$502,$A266,Trade_Reports!$M$3:$M$502,"APPROVED"),""))</f>
        <v/>
      </c>
      <c r="W266" s="17" t="str">
        <f t="shared" si="3"/>
        <v/>
      </c>
      <c r="X266" s="2"/>
      <c r="Y266" s="2"/>
      <c r="Z266" s="2"/>
    </row>
    <row r="267" spans="1:26" ht="15.75" customHeight="1" x14ac:dyDescent="0.3">
      <c r="A267" s="15"/>
      <c r="B267" s="15"/>
      <c r="C267" s="16"/>
      <c r="D267" s="16"/>
      <c r="E267" s="16"/>
      <c r="F267" s="17" t="str">
        <f>IF($A267="","",IF($K267&lt;Settings!$B$14,"",IF($P267=0,"",IFERROR(_xludf.MINIFS(Trade_Reports!$I$3:$I$502,Trade_Reports!$H$3:$H$502,$A267,Trade_Reports!$M$3:$M$502,"APPROVED",Trade_Reports!$Q$3:$Q$502,"&lt;="&amp;Settings!$B$4,Trade_Reports!$W$3:$W$502,"&gt;="&amp;0.5*$P267),""))))</f>
        <v/>
      </c>
      <c r="G267" s="17" t="str">
        <f>IF($A267="","",IF($K267=0,"",IFERROR(_xludf.MINIFS(Trade_Reports!$I$3:$I$502,Trade_Reports!$H$3:$H$502,$A267,Trade_Reports!$M$3:$M$502,"APPROVED",Trade_Reports!$Q$3:$Q$502,"&lt;="&amp;Settings!$B$4),"")))</f>
        <v/>
      </c>
      <c r="H267" s="17" t="str">
        <f>IF($A267="","",IF($K267=0,"",IFERROR(_xludf.MAXIFS(Trade_Reports!$I$3:$I$502,Trade_Reports!$H$3:$H$502,$A267,Trade_Reports!$M$3:$M$502,"APPROVED",Trade_Reports!$Q$3:$Q$502,"&lt;="&amp;Settings!$B$4),"")))</f>
        <v/>
      </c>
      <c r="I267" s="17" t="str">
        <f>IF($A267="","",IF($F267="","",IF($Q267="","",IF(ABS($F267-$Q267)/$Q267&lt;=Settings!$B$18,"STABLE",IF($F267&gt;$Q267,"UP","DOWN")))))</f>
        <v/>
      </c>
      <c r="J267" s="18" t="str">
        <f>IF($A267="","",IF($K267=0,"",MIN(100,ROUND($K267/Settings!$B$14*100,0))))</f>
        <v/>
      </c>
      <c r="K267" s="17" t="str">
        <f>IF($A267="","",COUNTIFS(Trade_Reports!$H$3:$H$502,$A267,Trade_Reports!$M$3:$M$502,"APPROVED",Trade_Reports!$Q$3:$Q$502,"&lt;="&amp;Settings!$B$4))</f>
        <v/>
      </c>
      <c r="L267" s="19" t="str">
        <f>IF($A267="","",IF($K267=0,"",IFERROR(_xludf.MAXIFS(Trade_Reports!$O$3:$O$502,Trade_Reports!$H$3:$H$502,$A267,Trade_Reports!$M$3:$M$502,"APPROVED"),"")))</f>
        <v/>
      </c>
      <c r="M267" s="16" t="s">
        <v>46</v>
      </c>
      <c r="N267" s="15"/>
      <c r="O267" s="9" t="str">
        <f t="shared" si="2"/>
        <v/>
      </c>
      <c r="P267" s="2" t="str">
        <f>IF($A267="","",SUMIFS(Trade_Reports!$U$3:$U$502,Trade_Reports!$H$3:$H$502,$A267,Trade_Reports!$M$3:$M$502,"APPROVED",Trade_Reports!$Q$3:$Q$502,"&lt;="&amp;Settings!$B$4))</f>
        <v/>
      </c>
      <c r="Q267" s="2" t="str">
        <f>IF($A267="","",SUMIFS(Trade_Reports!$U$3:$U$502,Trade_Reports!$H$3:$H$502,$A267,Trade_Reports!$M$3:$M$502,"APPROVED",Trade_Reports!$Q$3:$Q$502,"&lt;="&amp;Settings!$B$5))</f>
        <v/>
      </c>
      <c r="R267" s="2" t="str">
        <f>IF($A267="","",IF($Q267=0,"",IFERROR(_xludf.MINIFS(Trade_Reports!$I$3:$I$502,Trade_Reports!$H$3:$H$502,$A267,Trade_Reports!$M$3:$M$502,"APPROVED",Trade_Reports!$Q$3:$Q$502,"&lt;="&amp;Settings!$B$5,Trade_Reports!$X$3:$X$502,"&gt;="&amp;0.5*$Q267),"")))</f>
        <v/>
      </c>
      <c r="S267" s="2" t="str">
        <f>IF($A267="","",COUNTIFS(Trade_Reports!$H$3:$H$502,$A267,Trade_Reports!$M$3:$M$502,"APPROVED",Trade_Reports!$Q$3:$Q$502,"&lt;="&amp;Settings!$B$5))</f>
        <v/>
      </c>
      <c r="T267" s="2"/>
      <c r="U267" s="2"/>
      <c r="V267" s="21" t="str">
        <f>IF(OR($A267="",ISERROR(SEARCH("_",$A267))),"",IFERROR(SUMIFS(Trade_Reports!$Z$3:$Z$502,Trade_Reports!$H$3:$H$502,$A267,Trade_Reports!$M$3:$M$502,"APPROVED")/SUMIFS(Trade_Reports!$U$3:$U$502,Trade_Reports!$H$3:$H$502,$A267,Trade_Reports!$M$3:$M$502,"APPROVED"),""))</f>
        <v/>
      </c>
      <c r="W267" s="17" t="str">
        <f t="shared" si="3"/>
        <v/>
      </c>
      <c r="X267" s="2"/>
      <c r="Y267" s="2"/>
      <c r="Z267" s="2"/>
    </row>
    <row r="268" spans="1:26" ht="15.75" customHeight="1" x14ac:dyDescent="0.3">
      <c r="A268" s="15"/>
      <c r="B268" s="15"/>
      <c r="C268" s="16"/>
      <c r="D268" s="16"/>
      <c r="E268" s="16"/>
      <c r="F268" s="17" t="str">
        <f>IF($A268="","",IF($K268&lt;Settings!$B$14,"",IF($P268=0,"",IFERROR(_xludf.MINIFS(Trade_Reports!$I$3:$I$502,Trade_Reports!$H$3:$H$502,$A268,Trade_Reports!$M$3:$M$502,"APPROVED",Trade_Reports!$Q$3:$Q$502,"&lt;="&amp;Settings!$B$4,Trade_Reports!$W$3:$W$502,"&gt;="&amp;0.5*$P268),""))))</f>
        <v/>
      </c>
      <c r="G268" s="17" t="str">
        <f>IF($A268="","",IF($K268=0,"",IFERROR(_xludf.MINIFS(Trade_Reports!$I$3:$I$502,Trade_Reports!$H$3:$H$502,$A268,Trade_Reports!$M$3:$M$502,"APPROVED",Trade_Reports!$Q$3:$Q$502,"&lt;="&amp;Settings!$B$4),"")))</f>
        <v/>
      </c>
      <c r="H268" s="17" t="str">
        <f>IF($A268="","",IF($K268=0,"",IFERROR(_xludf.MAXIFS(Trade_Reports!$I$3:$I$502,Trade_Reports!$H$3:$H$502,$A268,Trade_Reports!$M$3:$M$502,"APPROVED",Trade_Reports!$Q$3:$Q$502,"&lt;="&amp;Settings!$B$4),"")))</f>
        <v/>
      </c>
      <c r="I268" s="17" t="str">
        <f>IF($A268="","",IF($F268="","",IF($Q268="","",IF(ABS($F268-$Q268)/$Q268&lt;=Settings!$B$18,"STABLE",IF($F268&gt;$Q268,"UP","DOWN")))))</f>
        <v/>
      </c>
      <c r="J268" s="18" t="str">
        <f>IF($A268="","",IF($K268=0,"",MIN(100,ROUND($K268/Settings!$B$14*100,0))))</f>
        <v/>
      </c>
      <c r="K268" s="17" t="str">
        <f>IF($A268="","",COUNTIFS(Trade_Reports!$H$3:$H$502,$A268,Trade_Reports!$M$3:$M$502,"APPROVED",Trade_Reports!$Q$3:$Q$502,"&lt;="&amp;Settings!$B$4))</f>
        <v/>
      </c>
      <c r="L268" s="19" t="str">
        <f>IF($A268="","",IF($K268=0,"",IFERROR(_xludf.MAXIFS(Trade_Reports!$O$3:$O$502,Trade_Reports!$H$3:$H$502,$A268,Trade_Reports!$M$3:$M$502,"APPROVED"),"")))</f>
        <v/>
      </c>
      <c r="M268" s="16" t="s">
        <v>46</v>
      </c>
      <c r="N268" s="15"/>
      <c r="O268" s="9" t="str">
        <f t="shared" si="2"/>
        <v/>
      </c>
      <c r="P268" s="2" t="str">
        <f>IF($A268="","",SUMIFS(Trade_Reports!$U$3:$U$502,Trade_Reports!$H$3:$H$502,$A268,Trade_Reports!$M$3:$M$502,"APPROVED",Trade_Reports!$Q$3:$Q$502,"&lt;="&amp;Settings!$B$4))</f>
        <v/>
      </c>
      <c r="Q268" s="2" t="str">
        <f>IF($A268="","",SUMIFS(Trade_Reports!$U$3:$U$502,Trade_Reports!$H$3:$H$502,$A268,Trade_Reports!$M$3:$M$502,"APPROVED",Trade_Reports!$Q$3:$Q$502,"&lt;="&amp;Settings!$B$5))</f>
        <v/>
      </c>
      <c r="R268" s="2" t="str">
        <f>IF($A268="","",IF($Q268=0,"",IFERROR(_xludf.MINIFS(Trade_Reports!$I$3:$I$502,Trade_Reports!$H$3:$H$502,$A268,Trade_Reports!$M$3:$M$502,"APPROVED",Trade_Reports!$Q$3:$Q$502,"&lt;="&amp;Settings!$B$5,Trade_Reports!$X$3:$X$502,"&gt;="&amp;0.5*$Q268),"")))</f>
        <v/>
      </c>
      <c r="S268" s="2" t="str">
        <f>IF($A268="","",COUNTIFS(Trade_Reports!$H$3:$H$502,$A268,Trade_Reports!$M$3:$M$502,"APPROVED",Trade_Reports!$Q$3:$Q$502,"&lt;="&amp;Settings!$B$5))</f>
        <v/>
      </c>
      <c r="T268" s="2"/>
      <c r="U268" s="2"/>
      <c r="V268" s="21" t="str">
        <f>IF(OR($A268="",ISERROR(SEARCH("_",$A268))),"",IFERROR(SUMIFS(Trade_Reports!$Z$3:$Z$502,Trade_Reports!$H$3:$H$502,$A268,Trade_Reports!$M$3:$M$502,"APPROVED")/SUMIFS(Trade_Reports!$U$3:$U$502,Trade_Reports!$H$3:$H$502,$A268,Trade_Reports!$M$3:$M$502,"APPROVED"),""))</f>
        <v/>
      </c>
      <c r="W268" s="17" t="str">
        <f t="shared" si="3"/>
        <v/>
      </c>
      <c r="X268" s="2"/>
      <c r="Y268" s="2"/>
      <c r="Z268" s="2"/>
    </row>
    <row r="269" spans="1:26" ht="15.75" customHeight="1" x14ac:dyDescent="0.3">
      <c r="A269" s="15"/>
      <c r="B269" s="15"/>
      <c r="C269" s="16"/>
      <c r="D269" s="16"/>
      <c r="E269" s="16"/>
      <c r="F269" s="17" t="str">
        <f>IF($A269="","",IF($K269&lt;Settings!$B$14,"",IF($P269=0,"",IFERROR(_xludf.MINIFS(Trade_Reports!$I$3:$I$502,Trade_Reports!$H$3:$H$502,$A269,Trade_Reports!$M$3:$M$502,"APPROVED",Trade_Reports!$Q$3:$Q$502,"&lt;="&amp;Settings!$B$4,Trade_Reports!$W$3:$W$502,"&gt;="&amp;0.5*$P269),""))))</f>
        <v/>
      </c>
      <c r="G269" s="17" t="str">
        <f>IF($A269="","",IF($K269=0,"",IFERROR(_xludf.MINIFS(Trade_Reports!$I$3:$I$502,Trade_Reports!$H$3:$H$502,$A269,Trade_Reports!$M$3:$M$502,"APPROVED",Trade_Reports!$Q$3:$Q$502,"&lt;="&amp;Settings!$B$4),"")))</f>
        <v/>
      </c>
      <c r="H269" s="17" t="str">
        <f>IF($A269="","",IF($K269=0,"",IFERROR(_xludf.MAXIFS(Trade_Reports!$I$3:$I$502,Trade_Reports!$H$3:$H$502,$A269,Trade_Reports!$M$3:$M$502,"APPROVED",Trade_Reports!$Q$3:$Q$502,"&lt;="&amp;Settings!$B$4),"")))</f>
        <v/>
      </c>
      <c r="I269" s="17" t="str">
        <f>IF($A269="","",IF($F269="","",IF($Q269="","",IF(ABS($F269-$Q269)/$Q269&lt;=Settings!$B$18,"STABLE",IF($F269&gt;$Q269,"UP","DOWN")))))</f>
        <v/>
      </c>
      <c r="J269" s="18" t="str">
        <f>IF($A269="","",IF($K269=0,"",MIN(100,ROUND($K269/Settings!$B$14*100,0))))</f>
        <v/>
      </c>
      <c r="K269" s="17" t="str">
        <f>IF($A269="","",COUNTIFS(Trade_Reports!$H$3:$H$502,$A269,Trade_Reports!$M$3:$M$502,"APPROVED",Trade_Reports!$Q$3:$Q$502,"&lt;="&amp;Settings!$B$4))</f>
        <v/>
      </c>
      <c r="L269" s="19" t="str">
        <f>IF($A269="","",IF($K269=0,"",IFERROR(_xludf.MAXIFS(Trade_Reports!$O$3:$O$502,Trade_Reports!$H$3:$H$502,$A269,Trade_Reports!$M$3:$M$502,"APPROVED"),"")))</f>
        <v/>
      </c>
      <c r="M269" s="16" t="s">
        <v>46</v>
      </c>
      <c r="N269" s="15"/>
      <c r="O269" s="9" t="str">
        <f t="shared" si="2"/>
        <v/>
      </c>
      <c r="P269" s="2" t="str">
        <f>IF($A269="","",SUMIFS(Trade_Reports!$U$3:$U$502,Trade_Reports!$H$3:$H$502,$A269,Trade_Reports!$M$3:$M$502,"APPROVED",Trade_Reports!$Q$3:$Q$502,"&lt;="&amp;Settings!$B$4))</f>
        <v/>
      </c>
      <c r="Q269" s="2" t="str">
        <f>IF($A269="","",SUMIFS(Trade_Reports!$U$3:$U$502,Trade_Reports!$H$3:$H$502,$A269,Trade_Reports!$M$3:$M$502,"APPROVED",Trade_Reports!$Q$3:$Q$502,"&lt;="&amp;Settings!$B$5))</f>
        <v/>
      </c>
      <c r="R269" s="2" t="str">
        <f>IF($A269="","",IF($Q269=0,"",IFERROR(_xludf.MINIFS(Trade_Reports!$I$3:$I$502,Trade_Reports!$H$3:$H$502,$A269,Trade_Reports!$M$3:$M$502,"APPROVED",Trade_Reports!$Q$3:$Q$502,"&lt;="&amp;Settings!$B$5,Trade_Reports!$X$3:$X$502,"&gt;="&amp;0.5*$Q269),"")))</f>
        <v/>
      </c>
      <c r="S269" s="2" t="str">
        <f>IF($A269="","",COUNTIFS(Trade_Reports!$H$3:$H$502,$A269,Trade_Reports!$M$3:$M$502,"APPROVED",Trade_Reports!$Q$3:$Q$502,"&lt;="&amp;Settings!$B$5))</f>
        <v/>
      </c>
      <c r="T269" s="2"/>
      <c r="U269" s="2"/>
      <c r="V269" s="21" t="str">
        <f>IF(OR($A269="",ISERROR(SEARCH("_",$A269))),"",IFERROR(SUMIFS(Trade_Reports!$Z$3:$Z$502,Trade_Reports!$H$3:$H$502,$A269,Trade_Reports!$M$3:$M$502,"APPROVED")/SUMIFS(Trade_Reports!$U$3:$U$502,Trade_Reports!$H$3:$H$502,$A269,Trade_Reports!$M$3:$M$502,"APPROVED"),""))</f>
        <v/>
      </c>
      <c r="W269" s="17" t="str">
        <f t="shared" si="3"/>
        <v/>
      </c>
      <c r="X269" s="2"/>
      <c r="Y269" s="2"/>
      <c r="Z269" s="2"/>
    </row>
    <row r="270" spans="1:26" ht="15.75" customHeight="1" x14ac:dyDescent="0.3">
      <c r="A270" s="15"/>
      <c r="B270" s="15"/>
      <c r="C270" s="16"/>
      <c r="D270" s="16"/>
      <c r="E270" s="16"/>
      <c r="F270" s="17" t="str">
        <f>IF($A270="","",IF($K270&lt;Settings!$B$14,"",IF($P270=0,"",IFERROR(_xludf.MINIFS(Trade_Reports!$I$3:$I$502,Trade_Reports!$H$3:$H$502,$A270,Trade_Reports!$M$3:$M$502,"APPROVED",Trade_Reports!$Q$3:$Q$502,"&lt;="&amp;Settings!$B$4,Trade_Reports!$W$3:$W$502,"&gt;="&amp;0.5*$P270),""))))</f>
        <v/>
      </c>
      <c r="G270" s="17" t="str">
        <f>IF($A270="","",IF($K270=0,"",IFERROR(_xludf.MINIFS(Trade_Reports!$I$3:$I$502,Trade_Reports!$H$3:$H$502,$A270,Trade_Reports!$M$3:$M$502,"APPROVED",Trade_Reports!$Q$3:$Q$502,"&lt;="&amp;Settings!$B$4),"")))</f>
        <v/>
      </c>
      <c r="H270" s="17" t="str">
        <f>IF($A270="","",IF($K270=0,"",IFERROR(_xludf.MAXIFS(Trade_Reports!$I$3:$I$502,Trade_Reports!$H$3:$H$502,$A270,Trade_Reports!$M$3:$M$502,"APPROVED",Trade_Reports!$Q$3:$Q$502,"&lt;="&amp;Settings!$B$4),"")))</f>
        <v/>
      </c>
      <c r="I270" s="17" t="str">
        <f>IF($A270="","",IF($F270="","",IF($Q270="","",IF(ABS($F270-$Q270)/$Q270&lt;=Settings!$B$18,"STABLE",IF($F270&gt;$Q270,"UP","DOWN")))))</f>
        <v/>
      </c>
      <c r="J270" s="18" t="str">
        <f>IF($A270="","",IF($K270=0,"",MIN(100,ROUND($K270/Settings!$B$14*100,0))))</f>
        <v/>
      </c>
      <c r="K270" s="17" t="str">
        <f>IF($A270="","",COUNTIFS(Trade_Reports!$H$3:$H$502,$A270,Trade_Reports!$M$3:$M$502,"APPROVED",Trade_Reports!$Q$3:$Q$502,"&lt;="&amp;Settings!$B$4))</f>
        <v/>
      </c>
      <c r="L270" s="19" t="str">
        <f>IF($A270="","",IF($K270=0,"",IFERROR(_xludf.MAXIFS(Trade_Reports!$O$3:$O$502,Trade_Reports!$H$3:$H$502,$A270,Trade_Reports!$M$3:$M$502,"APPROVED"),"")))</f>
        <v/>
      </c>
      <c r="M270" s="16" t="s">
        <v>46</v>
      </c>
      <c r="N270" s="15"/>
      <c r="O270" s="9" t="str">
        <f t="shared" si="2"/>
        <v/>
      </c>
      <c r="P270" s="2" t="str">
        <f>IF($A270="","",SUMIFS(Trade_Reports!$U$3:$U$502,Trade_Reports!$H$3:$H$502,$A270,Trade_Reports!$M$3:$M$502,"APPROVED",Trade_Reports!$Q$3:$Q$502,"&lt;="&amp;Settings!$B$4))</f>
        <v/>
      </c>
      <c r="Q270" s="2" t="str">
        <f>IF($A270="","",SUMIFS(Trade_Reports!$U$3:$U$502,Trade_Reports!$H$3:$H$502,$A270,Trade_Reports!$M$3:$M$502,"APPROVED",Trade_Reports!$Q$3:$Q$502,"&lt;="&amp;Settings!$B$5))</f>
        <v/>
      </c>
      <c r="R270" s="2" t="str">
        <f>IF($A270="","",IF($Q270=0,"",IFERROR(_xludf.MINIFS(Trade_Reports!$I$3:$I$502,Trade_Reports!$H$3:$H$502,$A270,Trade_Reports!$M$3:$M$502,"APPROVED",Trade_Reports!$Q$3:$Q$502,"&lt;="&amp;Settings!$B$5,Trade_Reports!$X$3:$X$502,"&gt;="&amp;0.5*$Q270),"")))</f>
        <v/>
      </c>
      <c r="S270" s="2" t="str">
        <f>IF($A270="","",COUNTIFS(Trade_Reports!$H$3:$H$502,$A270,Trade_Reports!$M$3:$M$502,"APPROVED",Trade_Reports!$Q$3:$Q$502,"&lt;="&amp;Settings!$B$5))</f>
        <v/>
      </c>
      <c r="T270" s="2"/>
      <c r="U270" s="2"/>
      <c r="V270" s="21" t="str">
        <f>IF(OR($A270="",ISERROR(SEARCH("_",$A270))),"",IFERROR(SUMIFS(Trade_Reports!$Z$3:$Z$502,Trade_Reports!$H$3:$H$502,$A270,Trade_Reports!$M$3:$M$502,"APPROVED")/SUMIFS(Trade_Reports!$U$3:$U$502,Trade_Reports!$H$3:$H$502,$A270,Trade_Reports!$M$3:$M$502,"APPROVED"),""))</f>
        <v/>
      </c>
      <c r="W270" s="17" t="str">
        <f t="shared" si="3"/>
        <v/>
      </c>
      <c r="X270" s="2"/>
      <c r="Y270" s="2"/>
      <c r="Z270" s="2"/>
    </row>
    <row r="271" spans="1:26" ht="15.75" customHeight="1" x14ac:dyDescent="0.3">
      <c r="A271" s="15"/>
      <c r="B271" s="15"/>
      <c r="C271" s="16"/>
      <c r="D271" s="16"/>
      <c r="E271" s="16"/>
      <c r="F271" s="17" t="str">
        <f>IF($A271="","",IF($K271&lt;Settings!$B$14,"",IF($P271=0,"",IFERROR(_xludf.MINIFS(Trade_Reports!$I$3:$I$502,Trade_Reports!$H$3:$H$502,$A271,Trade_Reports!$M$3:$M$502,"APPROVED",Trade_Reports!$Q$3:$Q$502,"&lt;="&amp;Settings!$B$4,Trade_Reports!$W$3:$W$502,"&gt;="&amp;0.5*$P271),""))))</f>
        <v/>
      </c>
      <c r="G271" s="17" t="str">
        <f>IF($A271="","",IF($K271=0,"",IFERROR(_xludf.MINIFS(Trade_Reports!$I$3:$I$502,Trade_Reports!$H$3:$H$502,$A271,Trade_Reports!$M$3:$M$502,"APPROVED",Trade_Reports!$Q$3:$Q$502,"&lt;="&amp;Settings!$B$4),"")))</f>
        <v/>
      </c>
      <c r="H271" s="17" t="str">
        <f>IF($A271="","",IF($K271=0,"",IFERROR(_xludf.MAXIFS(Trade_Reports!$I$3:$I$502,Trade_Reports!$H$3:$H$502,$A271,Trade_Reports!$M$3:$M$502,"APPROVED",Trade_Reports!$Q$3:$Q$502,"&lt;="&amp;Settings!$B$4),"")))</f>
        <v/>
      </c>
      <c r="I271" s="17" t="str">
        <f>IF($A271="","",IF($F271="","",IF($Q271="","",IF(ABS($F271-$Q271)/$Q271&lt;=Settings!$B$18,"STABLE",IF($F271&gt;$Q271,"UP","DOWN")))))</f>
        <v/>
      </c>
      <c r="J271" s="18" t="str">
        <f>IF($A271="","",IF($K271=0,"",MIN(100,ROUND($K271/Settings!$B$14*100,0))))</f>
        <v/>
      </c>
      <c r="K271" s="17" t="str">
        <f>IF($A271="","",COUNTIFS(Trade_Reports!$H$3:$H$502,$A271,Trade_Reports!$M$3:$M$502,"APPROVED",Trade_Reports!$Q$3:$Q$502,"&lt;="&amp;Settings!$B$4))</f>
        <v/>
      </c>
      <c r="L271" s="19" t="str">
        <f>IF($A271="","",IF($K271=0,"",IFERROR(_xludf.MAXIFS(Trade_Reports!$O$3:$O$502,Trade_Reports!$H$3:$H$502,$A271,Trade_Reports!$M$3:$M$502,"APPROVED"),"")))</f>
        <v/>
      </c>
      <c r="M271" s="16" t="s">
        <v>46</v>
      </c>
      <c r="N271" s="15"/>
      <c r="O271" s="9" t="str">
        <f t="shared" si="2"/>
        <v/>
      </c>
      <c r="P271" s="2" t="str">
        <f>IF($A271="","",SUMIFS(Trade_Reports!$U$3:$U$502,Trade_Reports!$H$3:$H$502,$A271,Trade_Reports!$M$3:$M$502,"APPROVED",Trade_Reports!$Q$3:$Q$502,"&lt;="&amp;Settings!$B$4))</f>
        <v/>
      </c>
      <c r="Q271" s="2" t="str">
        <f>IF($A271="","",SUMIFS(Trade_Reports!$U$3:$U$502,Trade_Reports!$H$3:$H$502,$A271,Trade_Reports!$M$3:$M$502,"APPROVED",Trade_Reports!$Q$3:$Q$502,"&lt;="&amp;Settings!$B$5))</f>
        <v/>
      </c>
      <c r="R271" s="2" t="str">
        <f>IF($A271="","",IF($Q271=0,"",IFERROR(_xludf.MINIFS(Trade_Reports!$I$3:$I$502,Trade_Reports!$H$3:$H$502,$A271,Trade_Reports!$M$3:$M$502,"APPROVED",Trade_Reports!$Q$3:$Q$502,"&lt;="&amp;Settings!$B$5,Trade_Reports!$X$3:$X$502,"&gt;="&amp;0.5*$Q271),"")))</f>
        <v/>
      </c>
      <c r="S271" s="2" t="str">
        <f>IF($A271="","",COUNTIFS(Trade_Reports!$H$3:$H$502,$A271,Trade_Reports!$M$3:$M$502,"APPROVED",Trade_Reports!$Q$3:$Q$502,"&lt;="&amp;Settings!$B$5))</f>
        <v/>
      </c>
      <c r="T271" s="2"/>
      <c r="U271" s="2"/>
      <c r="V271" s="21" t="str">
        <f>IF(OR($A271="",ISERROR(SEARCH("_",$A271))),"",IFERROR(SUMIFS(Trade_Reports!$Z$3:$Z$502,Trade_Reports!$H$3:$H$502,$A271,Trade_Reports!$M$3:$M$502,"APPROVED")/SUMIFS(Trade_Reports!$U$3:$U$502,Trade_Reports!$H$3:$H$502,$A271,Trade_Reports!$M$3:$M$502,"APPROVED"),""))</f>
        <v/>
      </c>
      <c r="W271" s="17" t="str">
        <f t="shared" si="3"/>
        <v/>
      </c>
      <c r="X271" s="2"/>
      <c r="Y271" s="2"/>
      <c r="Z271" s="2"/>
    </row>
    <row r="272" spans="1:26" ht="15.75" customHeight="1" x14ac:dyDescent="0.3">
      <c r="A272" s="15"/>
      <c r="B272" s="15"/>
      <c r="C272" s="16"/>
      <c r="D272" s="16"/>
      <c r="E272" s="16"/>
      <c r="F272" s="17" t="str">
        <f>IF($A272="","",IF($K272&lt;Settings!$B$14,"",IF($P272=0,"",IFERROR(_xludf.MINIFS(Trade_Reports!$I$3:$I$502,Trade_Reports!$H$3:$H$502,$A272,Trade_Reports!$M$3:$M$502,"APPROVED",Trade_Reports!$Q$3:$Q$502,"&lt;="&amp;Settings!$B$4,Trade_Reports!$W$3:$W$502,"&gt;="&amp;0.5*$P272),""))))</f>
        <v/>
      </c>
      <c r="G272" s="17" t="str">
        <f>IF($A272="","",IF($K272=0,"",IFERROR(_xludf.MINIFS(Trade_Reports!$I$3:$I$502,Trade_Reports!$H$3:$H$502,$A272,Trade_Reports!$M$3:$M$502,"APPROVED",Trade_Reports!$Q$3:$Q$502,"&lt;="&amp;Settings!$B$4),"")))</f>
        <v/>
      </c>
      <c r="H272" s="17" t="str">
        <f>IF($A272="","",IF($K272=0,"",IFERROR(_xludf.MAXIFS(Trade_Reports!$I$3:$I$502,Trade_Reports!$H$3:$H$502,$A272,Trade_Reports!$M$3:$M$502,"APPROVED",Trade_Reports!$Q$3:$Q$502,"&lt;="&amp;Settings!$B$4),"")))</f>
        <v/>
      </c>
      <c r="I272" s="17" t="str">
        <f>IF($A272="","",IF($F272="","",IF($Q272="","",IF(ABS($F272-$Q272)/$Q272&lt;=Settings!$B$18,"STABLE",IF($F272&gt;$Q272,"UP","DOWN")))))</f>
        <v/>
      </c>
      <c r="J272" s="18" t="str">
        <f>IF($A272="","",IF($K272=0,"",MIN(100,ROUND($K272/Settings!$B$14*100,0))))</f>
        <v/>
      </c>
      <c r="K272" s="17" t="str">
        <f>IF($A272="","",COUNTIFS(Trade_Reports!$H$3:$H$502,$A272,Trade_Reports!$M$3:$M$502,"APPROVED",Trade_Reports!$Q$3:$Q$502,"&lt;="&amp;Settings!$B$4))</f>
        <v/>
      </c>
      <c r="L272" s="19" t="str">
        <f>IF($A272="","",IF($K272=0,"",IFERROR(_xludf.MAXIFS(Trade_Reports!$O$3:$O$502,Trade_Reports!$H$3:$H$502,$A272,Trade_Reports!$M$3:$M$502,"APPROVED"),"")))</f>
        <v/>
      </c>
      <c r="M272" s="16" t="s">
        <v>46</v>
      </c>
      <c r="N272" s="15"/>
      <c r="O272" s="9" t="str">
        <f t="shared" si="2"/>
        <v/>
      </c>
      <c r="P272" s="2" t="str">
        <f>IF($A272="","",SUMIFS(Trade_Reports!$U$3:$U$502,Trade_Reports!$H$3:$H$502,$A272,Trade_Reports!$M$3:$M$502,"APPROVED",Trade_Reports!$Q$3:$Q$502,"&lt;="&amp;Settings!$B$4))</f>
        <v/>
      </c>
      <c r="Q272" s="2" t="str">
        <f>IF($A272="","",SUMIFS(Trade_Reports!$U$3:$U$502,Trade_Reports!$H$3:$H$502,$A272,Trade_Reports!$M$3:$M$502,"APPROVED",Trade_Reports!$Q$3:$Q$502,"&lt;="&amp;Settings!$B$5))</f>
        <v/>
      </c>
      <c r="R272" s="2" t="str">
        <f>IF($A272="","",IF($Q272=0,"",IFERROR(_xludf.MINIFS(Trade_Reports!$I$3:$I$502,Trade_Reports!$H$3:$H$502,$A272,Trade_Reports!$M$3:$M$502,"APPROVED",Trade_Reports!$Q$3:$Q$502,"&lt;="&amp;Settings!$B$5,Trade_Reports!$X$3:$X$502,"&gt;="&amp;0.5*$Q272),"")))</f>
        <v/>
      </c>
      <c r="S272" s="2" t="str">
        <f>IF($A272="","",COUNTIFS(Trade_Reports!$H$3:$H$502,$A272,Trade_Reports!$M$3:$M$502,"APPROVED",Trade_Reports!$Q$3:$Q$502,"&lt;="&amp;Settings!$B$5))</f>
        <v/>
      </c>
      <c r="T272" s="2"/>
      <c r="U272" s="2"/>
      <c r="V272" s="21" t="str">
        <f>IF(OR($A272="",ISERROR(SEARCH("_",$A272))),"",IFERROR(SUMIFS(Trade_Reports!$Z$3:$Z$502,Trade_Reports!$H$3:$H$502,$A272,Trade_Reports!$M$3:$M$502,"APPROVED")/SUMIFS(Trade_Reports!$U$3:$U$502,Trade_Reports!$H$3:$H$502,$A272,Trade_Reports!$M$3:$M$502,"APPROVED"),""))</f>
        <v/>
      </c>
      <c r="W272" s="17" t="str">
        <f t="shared" si="3"/>
        <v/>
      </c>
      <c r="X272" s="2"/>
      <c r="Y272" s="2"/>
      <c r="Z272" s="2"/>
    </row>
    <row r="273" spans="1:26" ht="15.75" customHeight="1" x14ac:dyDescent="0.3">
      <c r="A273" s="15"/>
      <c r="B273" s="15"/>
      <c r="C273" s="16"/>
      <c r="D273" s="16"/>
      <c r="E273" s="16"/>
      <c r="F273" s="17" t="str">
        <f>IF($A273="","",IF($K273&lt;Settings!$B$14,"",IF($P273=0,"",IFERROR(_xludf.MINIFS(Trade_Reports!$I$3:$I$502,Trade_Reports!$H$3:$H$502,$A273,Trade_Reports!$M$3:$M$502,"APPROVED",Trade_Reports!$Q$3:$Q$502,"&lt;="&amp;Settings!$B$4,Trade_Reports!$W$3:$W$502,"&gt;="&amp;0.5*$P273),""))))</f>
        <v/>
      </c>
      <c r="G273" s="17" t="str">
        <f>IF($A273="","",IF($K273=0,"",IFERROR(_xludf.MINIFS(Trade_Reports!$I$3:$I$502,Trade_Reports!$H$3:$H$502,$A273,Trade_Reports!$M$3:$M$502,"APPROVED",Trade_Reports!$Q$3:$Q$502,"&lt;="&amp;Settings!$B$4),"")))</f>
        <v/>
      </c>
      <c r="H273" s="17" t="str">
        <f>IF($A273="","",IF($K273=0,"",IFERROR(_xludf.MAXIFS(Trade_Reports!$I$3:$I$502,Trade_Reports!$H$3:$H$502,$A273,Trade_Reports!$M$3:$M$502,"APPROVED",Trade_Reports!$Q$3:$Q$502,"&lt;="&amp;Settings!$B$4),"")))</f>
        <v/>
      </c>
      <c r="I273" s="17" t="str">
        <f>IF($A273="","",IF($F273="","",IF($Q273="","",IF(ABS($F273-$Q273)/$Q273&lt;=Settings!$B$18,"STABLE",IF($F273&gt;$Q273,"UP","DOWN")))))</f>
        <v/>
      </c>
      <c r="J273" s="18" t="str">
        <f>IF($A273="","",IF($K273=0,"",MIN(100,ROUND($K273/Settings!$B$14*100,0))))</f>
        <v/>
      </c>
      <c r="K273" s="17" t="str">
        <f>IF($A273="","",COUNTIFS(Trade_Reports!$H$3:$H$502,$A273,Trade_Reports!$M$3:$M$502,"APPROVED",Trade_Reports!$Q$3:$Q$502,"&lt;="&amp;Settings!$B$4))</f>
        <v/>
      </c>
      <c r="L273" s="19" t="str">
        <f>IF($A273="","",IF($K273=0,"",IFERROR(_xludf.MAXIFS(Trade_Reports!$O$3:$O$502,Trade_Reports!$H$3:$H$502,$A273,Trade_Reports!$M$3:$M$502,"APPROVED"),"")))</f>
        <v/>
      </c>
      <c r="M273" s="16" t="s">
        <v>46</v>
      </c>
      <c r="N273" s="15"/>
      <c r="O273" s="9" t="str">
        <f t="shared" si="2"/>
        <v/>
      </c>
      <c r="P273" s="2" t="str">
        <f>IF($A273="","",SUMIFS(Trade_Reports!$U$3:$U$502,Trade_Reports!$H$3:$H$502,$A273,Trade_Reports!$M$3:$M$502,"APPROVED",Trade_Reports!$Q$3:$Q$502,"&lt;="&amp;Settings!$B$4))</f>
        <v/>
      </c>
      <c r="Q273" s="2" t="str">
        <f>IF($A273="","",SUMIFS(Trade_Reports!$U$3:$U$502,Trade_Reports!$H$3:$H$502,$A273,Trade_Reports!$M$3:$M$502,"APPROVED",Trade_Reports!$Q$3:$Q$502,"&lt;="&amp;Settings!$B$5))</f>
        <v/>
      </c>
      <c r="R273" s="2" t="str">
        <f>IF($A273="","",IF($Q273=0,"",IFERROR(_xludf.MINIFS(Trade_Reports!$I$3:$I$502,Trade_Reports!$H$3:$H$502,$A273,Trade_Reports!$M$3:$M$502,"APPROVED",Trade_Reports!$Q$3:$Q$502,"&lt;="&amp;Settings!$B$5,Trade_Reports!$X$3:$X$502,"&gt;="&amp;0.5*$Q273),"")))</f>
        <v/>
      </c>
      <c r="S273" s="2" t="str">
        <f>IF($A273="","",COUNTIFS(Trade_Reports!$H$3:$H$502,$A273,Trade_Reports!$M$3:$M$502,"APPROVED",Trade_Reports!$Q$3:$Q$502,"&lt;="&amp;Settings!$B$5))</f>
        <v/>
      </c>
      <c r="T273" s="2"/>
      <c r="U273" s="2"/>
      <c r="V273" s="21" t="str">
        <f>IF(OR($A273="",ISERROR(SEARCH("_",$A273))),"",IFERROR(SUMIFS(Trade_Reports!$Z$3:$Z$502,Trade_Reports!$H$3:$H$502,$A273,Trade_Reports!$M$3:$M$502,"APPROVED")/SUMIFS(Trade_Reports!$U$3:$U$502,Trade_Reports!$H$3:$H$502,$A273,Trade_Reports!$M$3:$M$502,"APPROVED"),""))</f>
        <v/>
      </c>
      <c r="W273" s="17" t="str">
        <f t="shared" si="3"/>
        <v/>
      </c>
      <c r="X273" s="2"/>
      <c r="Y273" s="2"/>
      <c r="Z273" s="2"/>
    </row>
    <row r="274" spans="1:26" ht="15.75" customHeight="1" x14ac:dyDescent="0.3">
      <c r="A274" s="15"/>
      <c r="B274" s="15"/>
      <c r="C274" s="16"/>
      <c r="D274" s="16"/>
      <c r="E274" s="16"/>
      <c r="F274" s="17" t="str">
        <f>IF($A274="","",IF($K274&lt;Settings!$B$14,"",IF($P274=0,"",IFERROR(_xludf.MINIFS(Trade_Reports!$I$3:$I$502,Trade_Reports!$H$3:$H$502,$A274,Trade_Reports!$M$3:$M$502,"APPROVED",Trade_Reports!$Q$3:$Q$502,"&lt;="&amp;Settings!$B$4,Trade_Reports!$W$3:$W$502,"&gt;="&amp;0.5*$P274),""))))</f>
        <v/>
      </c>
      <c r="G274" s="17" t="str">
        <f>IF($A274="","",IF($K274=0,"",IFERROR(_xludf.MINIFS(Trade_Reports!$I$3:$I$502,Trade_Reports!$H$3:$H$502,$A274,Trade_Reports!$M$3:$M$502,"APPROVED",Trade_Reports!$Q$3:$Q$502,"&lt;="&amp;Settings!$B$4),"")))</f>
        <v/>
      </c>
      <c r="H274" s="17" t="str">
        <f>IF($A274="","",IF($K274=0,"",IFERROR(_xludf.MAXIFS(Trade_Reports!$I$3:$I$502,Trade_Reports!$H$3:$H$502,$A274,Trade_Reports!$M$3:$M$502,"APPROVED",Trade_Reports!$Q$3:$Q$502,"&lt;="&amp;Settings!$B$4),"")))</f>
        <v/>
      </c>
      <c r="I274" s="17" t="str">
        <f>IF($A274="","",IF($F274="","",IF($Q274="","",IF(ABS($F274-$Q274)/$Q274&lt;=Settings!$B$18,"STABLE",IF($F274&gt;$Q274,"UP","DOWN")))))</f>
        <v/>
      </c>
      <c r="J274" s="18" t="str">
        <f>IF($A274="","",IF($K274=0,"",MIN(100,ROUND($K274/Settings!$B$14*100,0))))</f>
        <v/>
      </c>
      <c r="K274" s="17" t="str">
        <f>IF($A274="","",COUNTIFS(Trade_Reports!$H$3:$H$502,$A274,Trade_Reports!$M$3:$M$502,"APPROVED",Trade_Reports!$Q$3:$Q$502,"&lt;="&amp;Settings!$B$4))</f>
        <v/>
      </c>
      <c r="L274" s="19" t="str">
        <f>IF($A274="","",IF($K274=0,"",IFERROR(_xludf.MAXIFS(Trade_Reports!$O$3:$O$502,Trade_Reports!$H$3:$H$502,$A274,Trade_Reports!$M$3:$M$502,"APPROVED"),"")))</f>
        <v/>
      </c>
      <c r="M274" s="16" t="s">
        <v>46</v>
      </c>
      <c r="N274" s="15"/>
      <c r="O274" s="9" t="str">
        <f t="shared" si="2"/>
        <v/>
      </c>
      <c r="P274" s="2" t="str">
        <f>IF($A274="","",SUMIFS(Trade_Reports!$U$3:$U$502,Trade_Reports!$H$3:$H$502,$A274,Trade_Reports!$M$3:$M$502,"APPROVED",Trade_Reports!$Q$3:$Q$502,"&lt;="&amp;Settings!$B$4))</f>
        <v/>
      </c>
      <c r="Q274" s="2" t="str">
        <f>IF($A274="","",SUMIFS(Trade_Reports!$U$3:$U$502,Trade_Reports!$H$3:$H$502,$A274,Trade_Reports!$M$3:$M$502,"APPROVED",Trade_Reports!$Q$3:$Q$502,"&lt;="&amp;Settings!$B$5))</f>
        <v/>
      </c>
      <c r="R274" s="2" t="str">
        <f>IF($A274="","",IF($Q274=0,"",IFERROR(_xludf.MINIFS(Trade_Reports!$I$3:$I$502,Trade_Reports!$H$3:$H$502,$A274,Trade_Reports!$M$3:$M$502,"APPROVED",Trade_Reports!$Q$3:$Q$502,"&lt;="&amp;Settings!$B$5,Trade_Reports!$X$3:$X$502,"&gt;="&amp;0.5*$Q274),"")))</f>
        <v/>
      </c>
      <c r="S274" s="2" t="str">
        <f>IF($A274="","",COUNTIFS(Trade_Reports!$H$3:$H$502,$A274,Trade_Reports!$M$3:$M$502,"APPROVED",Trade_Reports!$Q$3:$Q$502,"&lt;="&amp;Settings!$B$5))</f>
        <v/>
      </c>
      <c r="T274" s="2"/>
      <c r="U274" s="2"/>
      <c r="V274" s="21" t="str">
        <f>IF(OR($A274="",ISERROR(SEARCH("_",$A274))),"",IFERROR(SUMIFS(Trade_Reports!$Z$3:$Z$502,Trade_Reports!$H$3:$H$502,$A274,Trade_Reports!$M$3:$M$502,"APPROVED")/SUMIFS(Trade_Reports!$U$3:$U$502,Trade_Reports!$H$3:$H$502,$A274,Trade_Reports!$M$3:$M$502,"APPROVED"),""))</f>
        <v/>
      </c>
      <c r="W274" s="17" t="str">
        <f t="shared" si="3"/>
        <v/>
      </c>
      <c r="X274" s="2"/>
      <c r="Y274" s="2"/>
      <c r="Z274" s="2"/>
    </row>
    <row r="275" spans="1:26" ht="15.75" customHeight="1" x14ac:dyDescent="0.3">
      <c r="A275" s="15"/>
      <c r="B275" s="15"/>
      <c r="C275" s="16"/>
      <c r="D275" s="16"/>
      <c r="E275" s="16"/>
      <c r="F275" s="17" t="str">
        <f>IF($A275="","",IF($K275&lt;Settings!$B$14,"",IF($P275=0,"",IFERROR(_xludf.MINIFS(Trade_Reports!$I$3:$I$502,Trade_Reports!$H$3:$H$502,$A275,Trade_Reports!$M$3:$M$502,"APPROVED",Trade_Reports!$Q$3:$Q$502,"&lt;="&amp;Settings!$B$4,Trade_Reports!$W$3:$W$502,"&gt;="&amp;0.5*$P275),""))))</f>
        <v/>
      </c>
      <c r="G275" s="17" t="str">
        <f>IF($A275="","",IF($K275=0,"",IFERROR(_xludf.MINIFS(Trade_Reports!$I$3:$I$502,Trade_Reports!$H$3:$H$502,$A275,Trade_Reports!$M$3:$M$502,"APPROVED",Trade_Reports!$Q$3:$Q$502,"&lt;="&amp;Settings!$B$4),"")))</f>
        <v/>
      </c>
      <c r="H275" s="17" t="str">
        <f>IF($A275="","",IF($K275=0,"",IFERROR(_xludf.MAXIFS(Trade_Reports!$I$3:$I$502,Trade_Reports!$H$3:$H$502,$A275,Trade_Reports!$M$3:$M$502,"APPROVED",Trade_Reports!$Q$3:$Q$502,"&lt;="&amp;Settings!$B$4),"")))</f>
        <v/>
      </c>
      <c r="I275" s="17" t="str">
        <f>IF($A275="","",IF($F275="","",IF($Q275="","",IF(ABS($F275-$Q275)/$Q275&lt;=Settings!$B$18,"STABLE",IF($F275&gt;$Q275,"UP","DOWN")))))</f>
        <v/>
      </c>
      <c r="J275" s="18" t="str">
        <f>IF($A275="","",IF($K275=0,"",MIN(100,ROUND($K275/Settings!$B$14*100,0))))</f>
        <v/>
      </c>
      <c r="K275" s="17" t="str">
        <f>IF($A275="","",COUNTIFS(Trade_Reports!$H$3:$H$502,$A275,Trade_Reports!$M$3:$M$502,"APPROVED",Trade_Reports!$Q$3:$Q$502,"&lt;="&amp;Settings!$B$4))</f>
        <v/>
      </c>
      <c r="L275" s="19" t="str">
        <f>IF($A275="","",IF($K275=0,"",IFERROR(_xludf.MAXIFS(Trade_Reports!$O$3:$O$502,Trade_Reports!$H$3:$H$502,$A275,Trade_Reports!$M$3:$M$502,"APPROVED"),"")))</f>
        <v/>
      </c>
      <c r="M275" s="16" t="s">
        <v>46</v>
      </c>
      <c r="N275" s="15"/>
      <c r="O275" s="9" t="str">
        <f t="shared" si="2"/>
        <v/>
      </c>
      <c r="P275" s="2" t="str">
        <f>IF($A275="","",SUMIFS(Trade_Reports!$U$3:$U$502,Trade_Reports!$H$3:$H$502,$A275,Trade_Reports!$M$3:$M$502,"APPROVED",Trade_Reports!$Q$3:$Q$502,"&lt;="&amp;Settings!$B$4))</f>
        <v/>
      </c>
      <c r="Q275" s="2" t="str">
        <f>IF($A275="","",SUMIFS(Trade_Reports!$U$3:$U$502,Trade_Reports!$H$3:$H$502,$A275,Trade_Reports!$M$3:$M$502,"APPROVED",Trade_Reports!$Q$3:$Q$502,"&lt;="&amp;Settings!$B$5))</f>
        <v/>
      </c>
      <c r="R275" s="2" t="str">
        <f>IF($A275="","",IF($Q275=0,"",IFERROR(_xludf.MINIFS(Trade_Reports!$I$3:$I$502,Trade_Reports!$H$3:$H$502,$A275,Trade_Reports!$M$3:$M$502,"APPROVED",Trade_Reports!$Q$3:$Q$502,"&lt;="&amp;Settings!$B$5,Trade_Reports!$X$3:$X$502,"&gt;="&amp;0.5*$Q275),"")))</f>
        <v/>
      </c>
      <c r="S275" s="2" t="str">
        <f>IF($A275="","",COUNTIFS(Trade_Reports!$H$3:$H$502,$A275,Trade_Reports!$M$3:$M$502,"APPROVED",Trade_Reports!$Q$3:$Q$502,"&lt;="&amp;Settings!$B$5))</f>
        <v/>
      </c>
      <c r="T275" s="2"/>
      <c r="U275" s="2"/>
      <c r="V275" s="21" t="str">
        <f>IF(OR($A275="",ISERROR(SEARCH("_",$A275))),"",IFERROR(SUMIFS(Trade_Reports!$Z$3:$Z$502,Trade_Reports!$H$3:$H$502,$A275,Trade_Reports!$M$3:$M$502,"APPROVED")/SUMIFS(Trade_Reports!$U$3:$U$502,Trade_Reports!$H$3:$H$502,$A275,Trade_Reports!$M$3:$M$502,"APPROVED"),""))</f>
        <v/>
      </c>
      <c r="W275" s="17" t="str">
        <f t="shared" si="3"/>
        <v/>
      </c>
      <c r="X275" s="2"/>
      <c r="Y275" s="2"/>
      <c r="Z275" s="2"/>
    </row>
    <row r="276" spans="1:26" ht="15.75" customHeight="1" x14ac:dyDescent="0.3">
      <c r="A276" s="15"/>
      <c r="B276" s="15"/>
      <c r="C276" s="16"/>
      <c r="D276" s="16"/>
      <c r="E276" s="16"/>
      <c r="F276" s="17" t="str">
        <f>IF($A276="","",IF($K276&lt;Settings!$B$14,"",IF($P276=0,"",IFERROR(_xludf.MINIFS(Trade_Reports!$I$3:$I$502,Trade_Reports!$H$3:$H$502,$A276,Trade_Reports!$M$3:$M$502,"APPROVED",Trade_Reports!$Q$3:$Q$502,"&lt;="&amp;Settings!$B$4,Trade_Reports!$W$3:$W$502,"&gt;="&amp;0.5*$P276),""))))</f>
        <v/>
      </c>
      <c r="G276" s="17" t="str">
        <f>IF($A276="","",IF($K276=0,"",IFERROR(_xludf.MINIFS(Trade_Reports!$I$3:$I$502,Trade_Reports!$H$3:$H$502,$A276,Trade_Reports!$M$3:$M$502,"APPROVED",Trade_Reports!$Q$3:$Q$502,"&lt;="&amp;Settings!$B$4),"")))</f>
        <v/>
      </c>
      <c r="H276" s="17" t="str">
        <f>IF($A276="","",IF($K276=0,"",IFERROR(_xludf.MAXIFS(Trade_Reports!$I$3:$I$502,Trade_Reports!$H$3:$H$502,$A276,Trade_Reports!$M$3:$M$502,"APPROVED",Trade_Reports!$Q$3:$Q$502,"&lt;="&amp;Settings!$B$4),"")))</f>
        <v/>
      </c>
      <c r="I276" s="17" t="str">
        <f>IF($A276="","",IF($F276="","",IF($Q276="","",IF(ABS($F276-$Q276)/$Q276&lt;=Settings!$B$18,"STABLE",IF($F276&gt;$Q276,"UP","DOWN")))))</f>
        <v/>
      </c>
      <c r="J276" s="18" t="str">
        <f>IF($A276="","",IF($K276=0,"",MIN(100,ROUND($K276/Settings!$B$14*100,0))))</f>
        <v/>
      </c>
      <c r="K276" s="17" t="str">
        <f>IF($A276="","",COUNTIFS(Trade_Reports!$H$3:$H$502,$A276,Trade_Reports!$M$3:$M$502,"APPROVED",Trade_Reports!$Q$3:$Q$502,"&lt;="&amp;Settings!$B$4))</f>
        <v/>
      </c>
      <c r="L276" s="19" t="str">
        <f>IF($A276="","",IF($K276=0,"",IFERROR(_xludf.MAXIFS(Trade_Reports!$O$3:$O$502,Trade_Reports!$H$3:$H$502,$A276,Trade_Reports!$M$3:$M$502,"APPROVED"),"")))</f>
        <v/>
      </c>
      <c r="M276" s="16" t="s">
        <v>46</v>
      </c>
      <c r="N276" s="15"/>
      <c r="O276" s="9" t="str">
        <f t="shared" si="2"/>
        <v/>
      </c>
      <c r="P276" s="2" t="str">
        <f>IF($A276="","",SUMIFS(Trade_Reports!$U$3:$U$502,Trade_Reports!$H$3:$H$502,$A276,Trade_Reports!$M$3:$M$502,"APPROVED",Trade_Reports!$Q$3:$Q$502,"&lt;="&amp;Settings!$B$4))</f>
        <v/>
      </c>
      <c r="Q276" s="2" t="str">
        <f>IF($A276="","",SUMIFS(Trade_Reports!$U$3:$U$502,Trade_Reports!$H$3:$H$502,$A276,Trade_Reports!$M$3:$M$502,"APPROVED",Trade_Reports!$Q$3:$Q$502,"&lt;="&amp;Settings!$B$5))</f>
        <v/>
      </c>
      <c r="R276" s="2" t="str">
        <f>IF($A276="","",IF($Q276=0,"",IFERROR(_xludf.MINIFS(Trade_Reports!$I$3:$I$502,Trade_Reports!$H$3:$H$502,$A276,Trade_Reports!$M$3:$M$502,"APPROVED",Trade_Reports!$Q$3:$Q$502,"&lt;="&amp;Settings!$B$5,Trade_Reports!$X$3:$X$502,"&gt;="&amp;0.5*$Q276),"")))</f>
        <v/>
      </c>
      <c r="S276" s="2" t="str">
        <f>IF($A276="","",COUNTIFS(Trade_Reports!$H$3:$H$502,$A276,Trade_Reports!$M$3:$M$502,"APPROVED",Trade_Reports!$Q$3:$Q$502,"&lt;="&amp;Settings!$B$5))</f>
        <v/>
      </c>
      <c r="T276" s="2"/>
      <c r="U276" s="2"/>
      <c r="V276" s="21" t="str">
        <f>IF(OR($A276="",ISERROR(SEARCH("_",$A276))),"",IFERROR(SUMIFS(Trade_Reports!$Z$3:$Z$502,Trade_Reports!$H$3:$H$502,$A276,Trade_Reports!$M$3:$M$502,"APPROVED")/SUMIFS(Trade_Reports!$U$3:$U$502,Trade_Reports!$H$3:$H$502,$A276,Trade_Reports!$M$3:$M$502,"APPROVED"),""))</f>
        <v/>
      </c>
      <c r="W276" s="17" t="str">
        <f t="shared" si="3"/>
        <v/>
      </c>
      <c r="X276" s="2"/>
      <c r="Y276" s="2"/>
      <c r="Z276" s="2"/>
    </row>
    <row r="277" spans="1:26" ht="15.75" customHeight="1" x14ac:dyDescent="0.3">
      <c r="A277" s="15"/>
      <c r="B277" s="15"/>
      <c r="C277" s="16"/>
      <c r="D277" s="16"/>
      <c r="E277" s="16"/>
      <c r="F277" s="17" t="str">
        <f>IF($A277="","",IF($K277&lt;Settings!$B$14,"",IF($P277=0,"",IFERROR(_xludf.MINIFS(Trade_Reports!$I$3:$I$502,Trade_Reports!$H$3:$H$502,$A277,Trade_Reports!$M$3:$M$502,"APPROVED",Trade_Reports!$Q$3:$Q$502,"&lt;="&amp;Settings!$B$4,Trade_Reports!$W$3:$W$502,"&gt;="&amp;0.5*$P277),""))))</f>
        <v/>
      </c>
      <c r="G277" s="17" t="str">
        <f>IF($A277="","",IF($K277=0,"",IFERROR(_xludf.MINIFS(Trade_Reports!$I$3:$I$502,Trade_Reports!$H$3:$H$502,$A277,Trade_Reports!$M$3:$M$502,"APPROVED",Trade_Reports!$Q$3:$Q$502,"&lt;="&amp;Settings!$B$4),"")))</f>
        <v/>
      </c>
      <c r="H277" s="17" t="str">
        <f>IF($A277="","",IF($K277=0,"",IFERROR(_xludf.MAXIFS(Trade_Reports!$I$3:$I$502,Trade_Reports!$H$3:$H$502,$A277,Trade_Reports!$M$3:$M$502,"APPROVED",Trade_Reports!$Q$3:$Q$502,"&lt;="&amp;Settings!$B$4),"")))</f>
        <v/>
      </c>
      <c r="I277" s="17" t="str">
        <f>IF($A277="","",IF($F277="","",IF($Q277="","",IF(ABS($F277-$Q277)/$Q277&lt;=Settings!$B$18,"STABLE",IF($F277&gt;$Q277,"UP","DOWN")))))</f>
        <v/>
      </c>
      <c r="J277" s="18" t="str">
        <f>IF($A277="","",IF($K277=0,"",MIN(100,ROUND($K277/Settings!$B$14*100,0))))</f>
        <v/>
      </c>
      <c r="K277" s="17" t="str">
        <f>IF($A277="","",COUNTIFS(Trade_Reports!$H$3:$H$502,$A277,Trade_Reports!$M$3:$M$502,"APPROVED",Trade_Reports!$Q$3:$Q$502,"&lt;="&amp;Settings!$B$4))</f>
        <v/>
      </c>
      <c r="L277" s="19" t="str">
        <f>IF($A277="","",IF($K277=0,"",IFERROR(_xludf.MAXIFS(Trade_Reports!$O$3:$O$502,Trade_Reports!$H$3:$H$502,$A277,Trade_Reports!$M$3:$M$502,"APPROVED"),"")))</f>
        <v/>
      </c>
      <c r="M277" s="16" t="s">
        <v>46</v>
      </c>
      <c r="N277" s="15"/>
      <c r="O277" s="9" t="str">
        <f t="shared" si="2"/>
        <v/>
      </c>
      <c r="P277" s="2" t="str">
        <f>IF($A277="","",SUMIFS(Trade_Reports!$U$3:$U$502,Trade_Reports!$H$3:$H$502,$A277,Trade_Reports!$M$3:$M$502,"APPROVED",Trade_Reports!$Q$3:$Q$502,"&lt;="&amp;Settings!$B$4))</f>
        <v/>
      </c>
      <c r="Q277" s="2" t="str">
        <f>IF($A277="","",SUMIFS(Trade_Reports!$U$3:$U$502,Trade_Reports!$H$3:$H$502,$A277,Trade_Reports!$M$3:$M$502,"APPROVED",Trade_Reports!$Q$3:$Q$502,"&lt;="&amp;Settings!$B$5))</f>
        <v/>
      </c>
      <c r="R277" s="2" t="str">
        <f>IF($A277="","",IF($Q277=0,"",IFERROR(_xludf.MINIFS(Trade_Reports!$I$3:$I$502,Trade_Reports!$H$3:$H$502,$A277,Trade_Reports!$M$3:$M$502,"APPROVED",Trade_Reports!$Q$3:$Q$502,"&lt;="&amp;Settings!$B$5,Trade_Reports!$X$3:$X$502,"&gt;="&amp;0.5*$Q277),"")))</f>
        <v/>
      </c>
      <c r="S277" s="2" t="str">
        <f>IF($A277="","",COUNTIFS(Trade_Reports!$H$3:$H$502,$A277,Trade_Reports!$M$3:$M$502,"APPROVED",Trade_Reports!$Q$3:$Q$502,"&lt;="&amp;Settings!$B$5))</f>
        <v/>
      </c>
      <c r="T277" s="2"/>
      <c r="U277" s="2"/>
      <c r="V277" s="21" t="str">
        <f>IF(OR($A277="",ISERROR(SEARCH("_",$A277))),"",IFERROR(SUMIFS(Trade_Reports!$Z$3:$Z$502,Trade_Reports!$H$3:$H$502,$A277,Trade_Reports!$M$3:$M$502,"APPROVED")/SUMIFS(Trade_Reports!$U$3:$U$502,Trade_Reports!$H$3:$H$502,$A277,Trade_Reports!$M$3:$M$502,"APPROVED"),""))</f>
        <v/>
      </c>
      <c r="W277" s="17" t="str">
        <f t="shared" si="3"/>
        <v/>
      </c>
      <c r="X277" s="2"/>
      <c r="Y277" s="2"/>
      <c r="Z277" s="2"/>
    </row>
    <row r="278" spans="1:26" ht="15.75" customHeight="1" x14ac:dyDescent="0.3">
      <c r="A278" s="15"/>
      <c r="B278" s="15"/>
      <c r="C278" s="16"/>
      <c r="D278" s="16"/>
      <c r="E278" s="16"/>
      <c r="F278" s="17" t="str">
        <f>IF($A278="","",IF($K278&lt;Settings!$B$14,"",IF($P278=0,"",IFERROR(_xludf.MINIFS(Trade_Reports!$I$3:$I$502,Trade_Reports!$H$3:$H$502,$A278,Trade_Reports!$M$3:$M$502,"APPROVED",Trade_Reports!$Q$3:$Q$502,"&lt;="&amp;Settings!$B$4,Trade_Reports!$W$3:$W$502,"&gt;="&amp;0.5*$P278),""))))</f>
        <v/>
      </c>
      <c r="G278" s="17" t="str">
        <f>IF($A278="","",IF($K278=0,"",IFERROR(_xludf.MINIFS(Trade_Reports!$I$3:$I$502,Trade_Reports!$H$3:$H$502,$A278,Trade_Reports!$M$3:$M$502,"APPROVED",Trade_Reports!$Q$3:$Q$502,"&lt;="&amp;Settings!$B$4),"")))</f>
        <v/>
      </c>
      <c r="H278" s="17" t="str">
        <f>IF($A278="","",IF($K278=0,"",IFERROR(_xludf.MAXIFS(Trade_Reports!$I$3:$I$502,Trade_Reports!$H$3:$H$502,$A278,Trade_Reports!$M$3:$M$502,"APPROVED",Trade_Reports!$Q$3:$Q$502,"&lt;="&amp;Settings!$B$4),"")))</f>
        <v/>
      </c>
      <c r="I278" s="17" t="str">
        <f>IF($A278="","",IF($F278="","",IF($Q278="","",IF(ABS($F278-$Q278)/$Q278&lt;=Settings!$B$18,"STABLE",IF($F278&gt;$Q278,"UP","DOWN")))))</f>
        <v/>
      </c>
      <c r="J278" s="18" t="str">
        <f>IF($A278="","",IF($K278=0,"",MIN(100,ROUND($K278/Settings!$B$14*100,0))))</f>
        <v/>
      </c>
      <c r="K278" s="17" t="str">
        <f>IF($A278="","",COUNTIFS(Trade_Reports!$H$3:$H$502,$A278,Trade_Reports!$M$3:$M$502,"APPROVED",Trade_Reports!$Q$3:$Q$502,"&lt;="&amp;Settings!$B$4))</f>
        <v/>
      </c>
      <c r="L278" s="19" t="str">
        <f>IF($A278="","",IF($K278=0,"",IFERROR(_xludf.MAXIFS(Trade_Reports!$O$3:$O$502,Trade_Reports!$H$3:$H$502,$A278,Trade_Reports!$M$3:$M$502,"APPROVED"),"")))</f>
        <v/>
      </c>
      <c r="M278" s="16" t="s">
        <v>46</v>
      </c>
      <c r="N278" s="15"/>
      <c r="O278" s="9" t="str">
        <f t="shared" si="2"/>
        <v/>
      </c>
      <c r="P278" s="2" t="str">
        <f>IF($A278="","",SUMIFS(Trade_Reports!$U$3:$U$502,Trade_Reports!$H$3:$H$502,$A278,Trade_Reports!$M$3:$M$502,"APPROVED",Trade_Reports!$Q$3:$Q$502,"&lt;="&amp;Settings!$B$4))</f>
        <v/>
      </c>
      <c r="Q278" s="2" t="str">
        <f>IF($A278="","",SUMIFS(Trade_Reports!$U$3:$U$502,Trade_Reports!$H$3:$H$502,$A278,Trade_Reports!$M$3:$M$502,"APPROVED",Trade_Reports!$Q$3:$Q$502,"&lt;="&amp;Settings!$B$5))</f>
        <v/>
      </c>
      <c r="R278" s="2" t="str">
        <f>IF($A278="","",IF($Q278=0,"",IFERROR(_xludf.MINIFS(Trade_Reports!$I$3:$I$502,Trade_Reports!$H$3:$H$502,$A278,Trade_Reports!$M$3:$M$502,"APPROVED",Trade_Reports!$Q$3:$Q$502,"&lt;="&amp;Settings!$B$5,Trade_Reports!$X$3:$X$502,"&gt;="&amp;0.5*$Q278),"")))</f>
        <v/>
      </c>
      <c r="S278" s="2" t="str">
        <f>IF($A278="","",COUNTIFS(Trade_Reports!$H$3:$H$502,$A278,Trade_Reports!$M$3:$M$502,"APPROVED",Trade_Reports!$Q$3:$Q$502,"&lt;="&amp;Settings!$B$5))</f>
        <v/>
      </c>
      <c r="T278" s="2"/>
      <c r="U278" s="2"/>
      <c r="V278" s="21" t="str">
        <f>IF(OR($A278="",ISERROR(SEARCH("_",$A278))),"",IFERROR(SUMIFS(Trade_Reports!$Z$3:$Z$502,Trade_Reports!$H$3:$H$502,$A278,Trade_Reports!$M$3:$M$502,"APPROVED")/SUMIFS(Trade_Reports!$U$3:$U$502,Trade_Reports!$H$3:$H$502,$A278,Trade_Reports!$M$3:$M$502,"APPROVED"),""))</f>
        <v/>
      </c>
      <c r="W278" s="17" t="str">
        <f t="shared" si="3"/>
        <v/>
      </c>
      <c r="X278" s="2"/>
      <c r="Y278" s="2"/>
      <c r="Z278" s="2"/>
    </row>
    <row r="279" spans="1:26" ht="15.75" customHeight="1" x14ac:dyDescent="0.3">
      <c r="A279" s="15"/>
      <c r="B279" s="15"/>
      <c r="C279" s="16"/>
      <c r="D279" s="16"/>
      <c r="E279" s="16"/>
      <c r="F279" s="17" t="str">
        <f>IF($A279="","",IF($K279&lt;Settings!$B$14,"",IF($P279=0,"",IFERROR(_xludf.MINIFS(Trade_Reports!$I$3:$I$502,Trade_Reports!$H$3:$H$502,$A279,Trade_Reports!$M$3:$M$502,"APPROVED",Trade_Reports!$Q$3:$Q$502,"&lt;="&amp;Settings!$B$4,Trade_Reports!$W$3:$W$502,"&gt;="&amp;0.5*$P279),""))))</f>
        <v/>
      </c>
      <c r="G279" s="17" t="str">
        <f>IF($A279="","",IF($K279=0,"",IFERROR(_xludf.MINIFS(Trade_Reports!$I$3:$I$502,Trade_Reports!$H$3:$H$502,$A279,Trade_Reports!$M$3:$M$502,"APPROVED",Trade_Reports!$Q$3:$Q$502,"&lt;="&amp;Settings!$B$4),"")))</f>
        <v/>
      </c>
      <c r="H279" s="17" t="str">
        <f>IF($A279="","",IF($K279=0,"",IFERROR(_xludf.MAXIFS(Trade_Reports!$I$3:$I$502,Trade_Reports!$H$3:$H$502,$A279,Trade_Reports!$M$3:$M$502,"APPROVED",Trade_Reports!$Q$3:$Q$502,"&lt;="&amp;Settings!$B$4),"")))</f>
        <v/>
      </c>
      <c r="I279" s="17" t="str">
        <f>IF($A279="","",IF($F279="","",IF($Q279="","",IF(ABS($F279-$Q279)/$Q279&lt;=Settings!$B$18,"STABLE",IF($F279&gt;$Q279,"UP","DOWN")))))</f>
        <v/>
      </c>
      <c r="J279" s="18" t="str">
        <f>IF($A279="","",IF($K279=0,"",MIN(100,ROUND($K279/Settings!$B$14*100,0))))</f>
        <v/>
      </c>
      <c r="K279" s="17" t="str">
        <f>IF($A279="","",COUNTIFS(Trade_Reports!$H$3:$H$502,$A279,Trade_Reports!$M$3:$M$502,"APPROVED",Trade_Reports!$Q$3:$Q$502,"&lt;="&amp;Settings!$B$4))</f>
        <v/>
      </c>
      <c r="L279" s="19" t="str">
        <f>IF($A279="","",IF($K279=0,"",IFERROR(_xludf.MAXIFS(Trade_Reports!$O$3:$O$502,Trade_Reports!$H$3:$H$502,$A279,Trade_Reports!$M$3:$M$502,"APPROVED"),"")))</f>
        <v/>
      </c>
      <c r="M279" s="16" t="s">
        <v>46</v>
      </c>
      <c r="N279" s="15"/>
      <c r="O279" s="9" t="str">
        <f t="shared" si="2"/>
        <v/>
      </c>
      <c r="P279" s="2" t="str">
        <f>IF($A279="","",SUMIFS(Trade_Reports!$U$3:$U$502,Trade_Reports!$H$3:$H$502,$A279,Trade_Reports!$M$3:$M$502,"APPROVED",Trade_Reports!$Q$3:$Q$502,"&lt;="&amp;Settings!$B$4))</f>
        <v/>
      </c>
      <c r="Q279" s="2" t="str">
        <f>IF($A279="","",SUMIFS(Trade_Reports!$U$3:$U$502,Trade_Reports!$H$3:$H$502,$A279,Trade_Reports!$M$3:$M$502,"APPROVED",Trade_Reports!$Q$3:$Q$502,"&lt;="&amp;Settings!$B$5))</f>
        <v/>
      </c>
      <c r="R279" s="2" t="str">
        <f>IF($A279="","",IF($Q279=0,"",IFERROR(_xludf.MINIFS(Trade_Reports!$I$3:$I$502,Trade_Reports!$H$3:$H$502,$A279,Trade_Reports!$M$3:$M$502,"APPROVED",Trade_Reports!$Q$3:$Q$502,"&lt;="&amp;Settings!$B$5,Trade_Reports!$X$3:$X$502,"&gt;="&amp;0.5*$Q279),"")))</f>
        <v/>
      </c>
      <c r="S279" s="2" t="str">
        <f>IF($A279="","",COUNTIFS(Trade_Reports!$H$3:$H$502,$A279,Trade_Reports!$M$3:$M$502,"APPROVED",Trade_Reports!$Q$3:$Q$502,"&lt;="&amp;Settings!$B$5))</f>
        <v/>
      </c>
      <c r="T279" s="2"/>
      <c r="U279" s="2"/>
      <c r="V279" s="21" t="str">
        <f>IF(OR($A279="",ISERROR(SEARCH("_",$A279))),"",IFERROR(SUMIFS(Trade_Reports!$Z$3:$Z$502,Trade_Reports!$H$3:$H$502,$A279,Trade_Reports!$M$3:$M$502,"APPROVED")/SUMIFS(Trade_Reports!$U$3:$U$502,Trade_Reports!$H$3:$H$502,$A279,Trade_Reports!$M$3:$M$502,"APPROVED"),""))</f>
        <v/>
      </c>
      <c r="W279" s="17" t="str">
        <f t="shared" si="3"/>
        <v/>
      </c>
      <c r="X279" s="2"/>
      <c r="Y279" s="2"/>
      <c r="Z279" s="2"/>
    </row>
    <row r="280" spans="1:26" ht="15.75" customHeight="1" x14ac:dyDescent="0.3">
      <c r="A280" s="15"/>
      <c r="B280" s="15"/>
      <c r="C280" s="16"/>
      <c r="D280" s="16"/>
      <c r="E280" s="16"/>
      <c r="F280" s="17" t="str">
        <f>IF($A280="","",IF($K280&lt;Settings!$B$14,"",IF($P280=0,"",IFERROR(_xludf.MINIFS(Trade_Reports!$I$3:$I$502,Trade_Reports!$H$3:$H$502,$A280,Trade_Reports!$M$3:$M$502,"APPROVED",Trade_Reports!$Q$3:$Q$502,"&lt;="&amp;Settings!$B$4,Trade_Reports!$W$3:$W$502,"&gt;="&amp;0.5*$P280),""))))</f>
        <v/>
      </c>
      <c r="G280" s="17" t="str">
        <f>IF($A280="","",IF($K280=0,"",IFERROR(_xludf.MINIFS(Trade_Reports!$I$3:$I$502,Trade_Reports!$H$3:$H$502,$A280,Trade_Reports!$M$3:$M$502,"APPROVED",Trade_Reports!$Q$3:$Q$502,"&lt;="&amp;Settings!$B$4),"")))</f>
        <v/>
      </c>
      <c r="H280" s="17" t="str">
        <f>IF($A280="","",IF($K280=0,"",IFERROR(_xludf.MAXIFS(Trade_Reports!$I$3:$I$502,Trade_Reports!$H$3:$H$502,$A280,Trade_Reports!$M$3:$M$502,"APPROVED",Trade_Reports!$Q$3:$Q$502,"&lt;="&amp;Settings!$B$4),"")))</f>
        <v/>
      </c>
      <c r="I280" s="17" t="str">
        <f>IF($A280="","",IF($F280="","",IF($Q280="","",IF(ABS($F280-$Q280)/$Q280&lt;=Settings!$B$18,"STABLE",IF($F280&gt;$Q280,"UP","DOWN")))))</f>
        <v/>
      </c>
      <c r="J280" s="18" t="str">
        <f>IF($A280="","",IF($K280=0,"",MIN(100,ROUND($K280/Settings!$B$14*100,0))))</f>
        <v/>
      </c>
      <c r="K280" s="17" t="str">
        <f>IF($A280="","",COUNTIFS(Trade_Reports!$H$3:$H$502,$A280,Trade_Reports!$M$3:$M$502,"APPROVED",Trade_Reports!$Q$3:$Q$502,"&lt;="&amp;Settings!$B$4))</f>
        <v/>
      </c>
      <c r="L280" s="19" t="str">
        <f>IF($A280="","",IF($K280=0,"",IFERROR(_xludf.MAXIFS(Trade_Reports!$O$3:$O$502,Trade_Reports!$H$3:$H$502,$A280,Trade_Reports!$M$3:$M$502,"APPROVED"),"")))</f>
        <v/>
      </c>
      <c r="M280" s="16" t="s">
        <v>46</v>
      </c>
      <c r="N280" s="15"/>
      <c r="O280" s="9" t="str">
        <f t="shared" si="2"/>
        <v/>
      </c>
      <c r="P280" s="2" t="str">
        <f>IF($A280="","",SUMIFS(Trade_Reports!$U$3:$U$502,Trade_Reports!$H$3:$H$502,$A280,Trade_Reports!$M$3:$M$502,"APPROVED",Trade_Reports!$Q$3:$Q$502,"&lt;="&amp;Settings!$B$4))</f>
        <v/>
      </c>
      <c r="Q280" s="2" t="str">
        <f>IF($A280="","",SUMIFS(Trade_Reports!$U$3:$U$502,Trade_Reports!$H$3:$H$502,$A280,Trade_Reports!$M$3:$M$502,"APPROVED",Trade_Reports!$Q$3:$Q$502,"&lt;="&amp;Settings!$B$5))</f>
        <v/>
      </c>
      <c r="R280" s="2" t="str">
        <f>IF($A280="","",IF($Q280=0,"",IFERROR(_xludf.MINIFS(Trade_Reports!$I$3:$I$502,Trade_Reports!$H$3:$H$502,$A280,Trade_Reports!$M$3:$M$502,"APPROVED",Trade_Reports!$Q$3:$Q$502,"&lt;="&amp;Settings!$B$5,Trade_Reports!$X$3:$X$502,"&gt;="&amp;0.5*$Q280),"")))</f>
        <v/>
      </c>
      <c r="S280" s="2" t="str">
        <f>IF($A280="","",COUNTIFS(Trade_Reports!$H$3:$H$502,$A280,Trade_Reports!$M$3:$M$502,"APPROVED",Trade_Reports!$Q$3:$Q$502,"&lt;="&amp;Settings!$B$5))</f>
        <v/>
      </c>
      <c r="T280" s="2"/>
      <c r="U280" s="2"/>
      <c r="V280" s="21" t="str">
        <f>IF(OR($A280="",ISERROR(SEARCH("_",$A280))),"",IFERROR(SUMIFS(Trade_Reports!$Z$3:$Z$502,Trade_Reports!$H$3:$H$502,$A280,Trade_Reports!$M$3:$M$502,"APPROVED")/SUMIFS(Trade_Reports!$U$3:$U$502,Trade_Reports!$H$3:$H$502,$A280,Trade_Reports!$M$3:$M$502,"APPROVED"),""))</f>
        <v/>
      </c>
      <c r="W280" s="17" t="str">
        <f t="shared" si="3"/>
        <v/>
      </c>
      <c r="X280" s="2"/>
      <c r="Y280" s="2"/>
      <c r="Z280" s="2"/>
    </row>
    <row r="281" spans="1:26" ht="15.75" customHeight="1" x14ac:dyDescent="0.3">
      <c r="A281" s="15"/>
      <c r="B281" s="15"/>
      <c r="C281" s="16"/>
      <c r="D281" s="16"/>
      <c r="E281" s="16"/>
      <c r="F281" s="17" t="str">
        <f>IF($A281="","",IF($K281&lt;Settings!$B$14,"",IF($P281=0,"",IFERROR(_xludf.MINIFS(Trade_Reports!$I$3:$I$502,Trade_Reports!$H$3:$H$502,$A281,Trade_Reports!$M$3:$M$502,"APPROVED",Trade_Reports!$Q$3:$Q$502,"&lt;="&amp;Settings!$B$4,Trade_Reports!$W$3:$W$502,"&gt;="&amp;0.5*$P281),""))))</f>
        <v/>
      </c>
      <c r="G281" s="17" t="str">
        <f>IF($A281="","",IF($K281=0,"",IFERROR(_xludf.MINIFS(Trade_Reports!$I$3:$I$502,Trade_Reports!$H$3:$H$502,$A281,Trade_Reports!$M$3:$M$502,"APPROVED",Trade_Reports!$Q$3:$Q$502,"&lt;="&amp;Settings!$B$4),"")))</f>
        <v/>
      </c>
      <c r="H281" s="17" t="str">
        <f>IF($A281="","",IF($K281=0,"",IFERROR(_xludf.MAXIFS(Trade_Reports!$I$3:$I$502,Trade_Reports!$H$3:$H$502,$A281,Trade_Reports!$M$3:$M$502,"APPROVED",Trade_Reports!$Q$3:$Q$502,"&lt;="&amp;Settings!$B$4),"")))</f>
        <v/>
      </c>
      <c r="I281" s="17" t="str">
        <f>IF($A281="","",IF($F281="","",IF($Q281="","",IF(ABS($F281-$Q281)/$Q281&lt;=Settings!$B$18,"STABLE",IF($F281&gt;$Q281,"UP","DOWN")))))</f>
        <v/>
      </c>
      <c r="J281" s="18" t="str">
        <f>IF($A281="","",IF($K281=0,"",MIN(100,ROUND($K281/Settings!$B$14*100,0))))</f>
        <v/>
      </c>
      <c r="K281" s="17" t="str">
        <f>IF($A281="","",COUNTIFS(Trade_Reports!$H$3:$H$502,$A281,Trade_Reports!$M$3:$M$502,"APPROVED",Trade_Reports!$Q$3:$Q$502,"&lt;="&amp;Settings!$B$4))</f>
        <v/>
      </c>
      <c r="L281" s="19" t="str">
        <f>IF($A281="","",IF($K281=0,"",IFERROR(_xludf.MAXIFS(Trade_Reports!$O$3:$O$502,Trade_Reports!$H$3:$H$502,$A281,Trade_Reports!$M$3:$M$502,"APPROVED"),"")))</f>
        <v/>
      </c>
      <c r="M281" s="16" t="s">
        <v>46</v>
      </c>
      <c r="N281" s="15"/>
      <c r="O281" s="9" t="str">
        <f t="shared" si="2"/>
        <v/>
      </c>
      <c r="P281" s="2" t="str">
        <f>IF($A281="","",SUMIFS(Trade_Reports!$U$3:$U$502,Trade_Reports!$H$3:$H$502,$A281,Trade_Reports!$M$3:$M$502,"APPROVED",Trade_Reports!$Q$3:$Q$502,"&lt;="&amp;Settings!$B$4))</f>
        <v/>
      </c>
      <c r="Q281" s="2" t="str">
        <f>IF($A281="","",SUMIFS(Trade_Reports!$U$3:$U$502,Trade_Reports!$H$3:$H$502,$A281,Trade_Reports!$M$3:$M$502,"APPROVED",Trade_Reports!$Q$3:$Q$502,"&lt;="&amp;Settings!$B$5))</f>
        <v/>
      </c>
      <c r="R281" s="2" t="str">
        <f>IF($A281="","",IF($Q281=0,"",IFERROR(_xludf.MINIFS(Trade_Reports!$I$3:$I$502,Trade_Reports!$H$3:$H$502,$A281,Trade_Reports!$M$3:$M$502,"APPROVED",Trade_Reports!$Q$3:$Q$502,"&lt;="&amp;Settings!$B$5,Trade_Reports!$X$3:$X$502,"&gt;="&amp;0.5*$Q281),"")))</f>
        <v/>
      </c>
      <c r="S281" s="2" t="str">
        <f>IF($A281="","",COUNTIFS(Trade_Reports!$H$3:$H$502,$A281,Trade_Reports!$M$3:$M$502,"APPROVED",Trade_Reports!$Q$3:$Q$502,"&lt;="&amp;Settings!$B$5))</f>
        <v/>
      </c>
      <c r="T281" s="2"/>
      <c r="U281" s="2"/>
      <c r="V281" s="21" t="str">
        <f>IF(OR($A281="",ISERROR(SEARCH("_",$A281))),"",IFERROR(SUMIFS(Trade_Reports!$Z$3:$Z$502,Trade_Reports!$H$3:$H$502,$A281,Trade_Reports!$M$3:$M$502,"APPROVED")/SUMIFS(Trade_Reports!$U$3:$U$502,Trade_Reports!$H$3:$H$502,$A281,Trade_Reports!$M$3:$M$502,"APPROVED"),""))</f>
        <v/>
      </c>
      <c r="W281" s="17" t="str">
        <f t="shared" si="3"/>
        <v/>
      </c>
      <c r="X281" s="2"/>
      <c r="Y281" s="2"/>
      <c r="Z281" s="2"/>
    </row>
    <row r="282" spans="1:26" ht="15.75" customHeight="1" x14ac:dyDescent="0.3">
      <c r="A282" s="15"/>
      <c r="B282" s="15"/>
      <c r="C282" s="16"/>
      <c r="D282" s="16"/>
      <c r="E282" s="16"/>
      <c r="F282" s="17" t="str">
        <f>IF($A282="","",IF($K282&lt;Settings!$B$14,"",IF($P282=0,"",IFERROR(_xludf.MINIFS(Trade_Reports!$I$3:$I$502,Trade_Reports!$H$3:$H$502,$A282,Trade_Reports!$M$3:$M$502,"APPROVED",Trade_Reports!$Q$3:$Q$502,"&lt;="&amp;Settings!$B$4,Trade_Reports!$W$3:$W$502,"&gt;="&amp;0.5*$P282),""))))</f>
        <v/>
      </c>
      <c r="G282" s="17" t="str">
        <f>IF($A282="","",IF($K282=0,"",IFERROR(_xludf.MINIFS(Trade_Reports!$I$3:$I$502,Trade_Reports!$H$3:$H$502,$A282,Trade_Reports!$M$3:$M$502,"APPROVED",Trade_Reports!$Q$3:$Q$502,"&lt;="&amp;Settings!$B$4),"")))</f>
        <v/>
      </c>
      <c r="H282" s="17" t="str">
        <f>IF($A282="","",IF($K282=0,"",IFERROR(_xludf.MAXIFS(Trade_Reports!$I$3:$I$502,Trade_Reports!$H$3:$H$502,$A282,Trade_Reports!$M$3:$M$502,"APPROVED",Trade_Reports!$Q$3:$Q$502,"&lt;="&amp;Settings!$B$4),"")))</f>
        <v/>
      </c>
      <c r="I282" s="17" t="str">
        <f>IF($A282="","",IF($F282="","",IF($Q282="","",IF(ABS($F282-$Q282)/$Q282&lt;=Settings!$B$18,"STABLE",IF($F282&gt;$Q282,"UP","DOWN")))))</f>
        <v/>
      </c>
      <c r="J282" s="18" t="str">
        <f>IF($A282="","",IF($K282=0,"",MIN(100,ROUND($K282/Settings!$B$14*100,0))))</f>
        <v/>
      </c>
      <c r="K282" s="17" t="str">
        <f>IF($A282="","",COUNTIFS(Trade_Reports!$H$3:$H$502,$A282,Trade_Reports!$M$3:$M$502,"APPROVED",Trade_Reports!$Q$3:$Q$502,"&lt;="&amp;Settings!$B$4))</f>
        <v/>
      </c>
      <c r="L282" s="19" t="str">
        <f>IF($A282="","",IF($K282=0,"",IFERROR(_xludf.MAXIFS(Trade_Reports!$O$3:$O$502,Trade_Reports!$H$3:$H$502,$A282,Trade_Reports!$M$3:$M$502,"APPROVED"),"")))</f>
        <v/>
      </c>
      <c r="M282" s="16" t="s">
        <v>46</v>
      </c>
      <c r="N282" s="15"/>
      <c r="O282" s="9" t="str">
        <f t="shared" si="2"/>
        <v/>
      </c>
      <c r="P282" s="2" t="str">
        <f>IF($A282="","",SUMIFS(Trade_Reports!$U$3:$U$502,Trade_Reports!$H$3:$H$502,$A282,Trade_Reports!$M$3:$M$502,"APPROVED",Trade_Reports!$Q$3:$Q$502,"&lt;="&amp;Settings!$B$4))</f>
        <v/>
      </c>
      <c r="Q282" s="2" t="str">
        <f>IF($A282="","",SUMIFS(Trade_Reports!$U$3:$U$502,Trade_Reports!$H$3:$H$502,$A282,Trade_Reports!$M$3:$M$502,"APPROVED",Trade_Reports!$Q$3:$Q$502,"&lt;="&amp;Settings!$B$5))</f>
        <v/>
      </c>
      <c r="R282" s="2" t="str">
        <f>IF($A282="","",IF($Q282=0,"",IFERROR(_xludf.MINIFS(Trade_Reports!$I$3:$I$502,Trade_Reports!$H$3:$H$502,$A282,Trade_Reports!$M$3:$M$502,"APPROVED",Trade_Reports!$Q$3:$Q$502,"&lt;="&amp;Settings!$B$5,Trade_Reports!$X$3:$X$502,"&gt;="&amp;0.5*$Q282),"")))</f>
        <v/>
      </c>
      <c r="S282" s="2" t="str">
        <f>IF($A282="","",COUNTIFS(Trade_Reports!$H$3:$H$502,$A282,Trade_Reports!$M$3:$M$502,"APPROVED",Trade_Reports!$Q$3:$Q$502,"&lt;="&amp;Settings!$B$5))</f>
        <v/>
      </c>
      <c r="T282" s="2"/>
      <c r="U282" s="2"/>
      <c r="V282" s="21" t="str">
        <f>IF(OR($A282="",ISERROR(SEARCH("_",$A282))),"",IFERROR(SUMIFS(Trade_Reports!$Z$3:$Z$502,Trade_Reports!$H$3:$H$502,$A282,Trade_Reports!$M$3:$M$502,"APPROVED")/SUMIFS(Trade_Reports!$U$3:$U$502,Trade_Reports!$H$3:$H$502,$A282,Trade_Reports!$M$3:$M$502,"APPROVED"),""))</f>
        <v/>
      </c>
      <c r="W282" s="17" t="str">
        <f t="shared" si="3"/>
        <v/>
      </c>
      <c r="X282" s="2"/>
      <c r="Y282" s="2"/>
      <c r="Z282" s="2"/>
    </row>
    <row r="283" spans="1:26" ht="15.75" customHeight="1" x14ac:dyDescent="0.3">
      <c r="A283" s="15"/>
      <c r="B283" s="15"/>
      <c r="C283" s="16"/>
      <c r="D283" s="16"/>
      <c r="E283" s="16"/>
      <c r="F283" s="17" t="str">
        <f>IF($A283="","",IF($K283&lt;Settings!$B$14,"",IF($P283=0,"",IFERROR(_xludf.MINIFS(Trade_Reports!$I$3:$I$502,Trade_Reports!$H$3:$H$502,$A283,Trade_Reports!$M$3:$M$502,"APPROVED",Trade_Reports!$Q$3:$Q$502,"&lt;="&amp;Settings!$B$4,Trade_Reports!$W$3:$W$502,"&gt;="&amp;0.5*$P283),""))))</f>
        <v/>
      </c>
      <c r="G283" s="17" t="str">
        <f>IF($A283="","",IF($K283=0,"",IFERROR(_xludf.MINIFS(Trade_Reports!$I$3:$I$502,Trade_Reports!$H$3:$H$502,$A283,Trade_Reports!$M$3:$M$502,"APPROVED",Trade_Reports!$Q$3:$Q$502,"&lt;="&amp;Settings!$B$4),"")))</f>
        <v/>
      </c>
      <c r="H283" s="17" t="str">
        <f>IF($A283="","",IF($K283=0,"",IFERROR(_xludf.MAXIFS(Trade_Reports!$I$3:$I$502,Trade_Reports!$H$3:$H$502,$A283,Trade_Reports!$M$3:$M$502,"APPROVED",Trade_Reports!$Q$3:$Q$502,"&lt;="&amp;Settings!$B$4),"")))</f>
        <v/>
      </c>
      <c r="I283" s="17" t="str">
        <f>IF($A283="","",IF($F283="","",IF($Q283="","",IF(ABS($F283-$Q283)/$Q283&lt;=Settings!$B$18,"STABLE",IF($F283&gt;$Q283,"UP","DOWN")))))</f>
        <v/>
      </c>
      <c r="J283" s="18" t="str">
        <f>IF($A283="","",IF($K283=0,"",MIN(100,ROUND($K283/Settings!$B$14*100,0))))</f>
        <v/>
      </c>
      <c r="K283" s="17" t="str">
        <f>IF($A283="","",COUNTIFS(Trade_Reports!$H$3:$H$502,$A283,Trade_Reports!$M$3:$M$502,"APPROVED",Trade_Reports!$Q$3:$Q$502,"&lt;="&amp;Settings!$B$4))</f>
        <v/>
      </c>
      <c r="L283" s="19" t="str">
        <f>IF($A283="","",IF($K283=0,"",IFERROR(_xludf.MAXIFS(Trade_Reports!$O$3:$O$502,Trade_Reports!$H$3:$H$502,$A283,Trade_Reports!$M$3:$M$502,"APPROVED"),"")))</f>
        <v/>
      </c>
      <c r="M283" s="16" t="s">
        <v>46</v>
      </c>
      <c r="N283" s="15"/>
      <c r="O283" s="9" t="str">
        <f t="shared" si="2"/>
        <v/>
      </c>
      <c r="P283" s="2" t="str">
        <f>IF($A283="","",SUMIFS(Trade_Reports!$U$3:$U$502,Trade_Reports!$H$3:$H$502,$A283,Trade_Reports!$M$3:$M$502,"APPROVED",Trade_Reports!$Q$3:$Q$502,"&lt;="&amp;Settings!$B$4))</f>
        <v/>
      </c>
      <c r="Q283" s="2" t="str">
        <f>IF($A283="","",SUMIFS(Trade_Reports!$U$3:$U$502,Trade_Reports!$H$3:$H$502,$A283,Trade_Reports!$M$3:$M$502,"APPROVED",Trade_Reports!$Q$3:$Q$502,"&lt;="&amp;Settings!$B$5))</f>
        <v/>
      </c>
      <c r="R283" s="2" t="str">
        <f>IF($A283="","",IF($Q283=0,"",IFERROR(_xludf.MINIFS(Trade_Reports!$I$3:$I$502,Trade_Reports!$H$3:$H$502,$A283,Trade_Reports!$M$3:$M$502,"APPROVED",Trade_Reports!$Q$3:$Q$502,"&lt;="&amp;Settings!$B$5,Trade_Reports!$X$3:$X$502,"&gt;="&amp;0.5*$Q283),"")))</f>
        <v/>
      </c>
      <c r="S283" s="2" t="str">
        <f>IF($A283="","",COUNTIFS(Trade_Reports!$H$3:$H$502,$A283,Trade_Reports!$M$3:$M$502,"APPROVED",Trade_Reports!$Q$3:$Q$502,"&lt;="&amp;Settings!$B$5))</f>
        <v/>
      </c>
      <c r="T283" s="2"/>
      <c r="U283" s="2"/>
      <c r="V283" s="21" t="str">
        <f>IF(OR($A283="",ISERROR(SEARCH("_",$A283))),"",IFERROR(SUMIFS(Trade_Reports!$Z$3:$Z$502,Trade_Reports!$H$3:$H$502,$A283,Trade_Reports!$M$3:$M$502,"APPROVED")/SUMIFS(Trade_Reports!$U$3:$U$502,Trade_Reports!$H$3:$H$502,$A283,Trade_Reports!$M$3:$M$502,"APPROVED"),""))</f>
        <v/>
      </c>
      <c r="W283" s="17" t="str">
        <f t="shared" si="3"/>
        <v/>
      </c>
      <c r="X283" s="2"/>
      <c r="Y283" s="2"/>
      <c r="Z283" s="2"/>
    </row>
    <row r="284" spans="1:26" ht="15.75" customHeight="1" x14ac:dyDescent="0.3">
      <c r="A284" s="15"/>
      <c r="B284" s="15"/>
      <c r="C284" s="16"/>
      <c r="D284" s="16"/>
      <c r="E284" s="16"/>
      <c r="F284" s="17" t="str">
        <f>IF($A284="","",IF($K284&lt;Settings!$B$14,"",IF($P284=0,"",IFERROR(_xludf.MINIFS(Trade_Reports!$I$3:$I$502,Trade_Reports!$H$3:$H$502,$A284,Trade_Reports!$M$3:$M$502,"APPROVED",Trade_Reports!$Q$3:$Q$502,"&lt;="&amp;Settings!$B$4,Trade_Reports!$W$3:$W$502,"&gt;="&amp;0.5*$P284),""))))</f>
        <v/>
      </c>
      <c r="G284" s="17" t="str">
        <f>IF($A284="","",IF($K284=0,"",IFERROR(_xludf.MINIFS(Trade_Reports!$I$3:$I$502,Trade_Reports!$H$3:$H$502,$A284,Trade_Reports!$M$3:$M$502,"APPROVED",Trade_Reports!$Q$3:$Q$502,"&lt;="&amp;Settings!$B$4),"")))</f>
        <v/>
      </c>
      <c r="H284" s="17" t="str">
        <f>IF($A284="","",IF($K284=0,"",IFERROR(_xludf.MAXIFS(Trade_Reports!$I$3:$I$502,Trade_Reports!$H$3:$H$502,$A284,Trade_Reports!$M$3:$M$502,"APPROVED",Trade_Reports!$Q$3:$Q$502,"&lt;="&amp;Settings!$B$4),"")))</f>
        <v/>
      </c>
      <c r="I284" s="17" t="str">
        <f>IF($A284="","",IF($F284="","",IF($Q284="","",IF(ABS($F284-$Q284)/$Q284&lt;=Settings!$B$18,"STABLE",IF($F284&gt;$Q284,"UP","DOWN")))))</f>
        <v/>
      </c>
      <c r="J284" s="18" t="str">
        <f>IF($A284="","",IF($K284=0,"",MIN(100,ROUND($K284/Settings!$B$14*100,0))))</f>
        <v/>
      </c>
      <c r="K284" s="17" t="str">
        <f>IF($A284="","",COUNTIFS(Trade_Reports!$H$3:$H$502,$A284,Trade_Reports!$M$3:$M$502,"APPROVED",Trade_Reports!$Q$3:$Q$502,"&lt;="&amp;Settings!$B$4))</f>
        <v/>
      </c>
      <c r="L284" s="19" t="str">
        <f>IF($A284="","",IF($K284=0,"",IFERROR(_xludf.MAXIFS(Trade_Reports!$O$3:$O$502,Trade_Reports!$H$3:$H$502,$A284,Trade_Reports!$M$3:$M$502,"APPROVED"),"")))</f>
        <v/>
      </c>
      <c r="M284" s="16" t="s">
        <v>46</v>
      </c>
      <c r="N284" s="15"/>
      <c r="O284" s="9" t="str">
        <f t="shared" si="2"/>
        <v/>
      </c>
      <c r="P284" s="2" t="str">
        <f>IF($A284="","",SUMIFS(Trade_Reports!$U$3:$U$502,Trade_Reports!$H$3:$H$502,$A284,Trade_Reports!$M$3:$M$502,"APPROVED",Trade_Reports!$Q$3:$Q$502,"&lt;="&amp;Settings!$B$4))</f>
        <v/>
      </c>
      <c r="Q284" s="2" t="str">
        <f>IF($A284="","",SUMIFS(Trade_Reports!$U$3:$U$502,Trade_Reports!$H$3:$H$502,$A284,Trade_Reports!$M$3:$M$502,"APPROVED",Trade_Reports!$Q$3:$Q$502,"&lt;="&amp;Settings!$B$5))</f>
        <v/>
      </c>
      <c r="R284" s="2" t="str">
        <f>IF($A284="","",IF($Q284=0,"",IFERROR(_xludf.MINIFS(Trade_Reports!$I$3:$I$502,Trade_Reports!$H$3:$H$502,$A284,Trade_Reports!$M$3:$M$502,"APPROVED",Trade_Reports!$Q$3:$Q$502,"&lt;="&amp;Settings!$B$5,Trade_Reports!$X$3:$X$502,"&gt;="&amp;0.5*$Q284),"")))</f>
        <v/>
      </c>
      <c r="S284" s="2" t="str">
        <f>IF($A284="","",COUNTIFS(Trade_Reports!$H$3:$H$502,$A284,Trade_Reports!$M$3:$M$502,"APPROVED",Trade_Reports!$Q$3:$Q$502,"&lt;="&amp;Settings!$B$5))</f>
        <v/>
      </c>
      <c r="T284" s="2"/>
      <c r="U284" s="2"/>
      <c r="V284" s="21" t="str">
        <f>IF(OR($A284="",ISERROR(SEARCH("_",$A284))),"",IFERROR(SUMIFS(Trade_Reports!$Z$3:$Z$502,Trade_Reports!$H$3:$H$502,$A284,Trade_Reports!$M$3:$M$502,"APPROVED")/SUMIFS(Trade_Reports!$U$3:$U$502,Trade_Reports!$H$3:$H$502,$A284,Trade_Reports!$M$3:$M$502,"APPROVED"),""))</f>
        <v/>
      </c>
      <c r="W284" s="17" t="str">
        <f t="shared" si="3"/>
        <v/>
      </c>
      <c r="X284" s="2"/>
      <c r="Y284" s="2"/>
      <c r="Z284" s="2"/>
    </row>
    <row r="285" spans="1:26" ht="15.75" customHeight="1" x14ac:dyDescent="0.3">
      <c r="A285" s="15"/>
      <c r="B285" s="15"/>
      <c r="C285" s="16"/>
      <c r="D285" s="16"/>
      <c r="E285" s="16"/>
      <c r="F285" s="17" t="str">
        <f>IF($A285="","",IF($K285&lt;Settings!$B$14,"",IF($P285=0,"",IFERROR(_xludf.MINIFS(Trade_Reports!$I$3:$I$502,Trade_Reports!$H$3:$H$502,$A285,Trade_Reports!$M$3:$M$502,"APPROVED",Trade_Reports!$Q$3:$Q$502,"&lt;="&amp;Settings!$B$4,Trade_Reports!$W$3:$W$502,"&gt;="&amp;0.5*$P285),""))))</f>
        <v/>
      </c>
      <c r="G285" s="17" t="str">
        <f>IF($A285="","",IF($K285=0,"",IFERROR(_xludf.MINIFS(Trade_Reports!$I$3:$I$502,Trade_Reports!$H$3:$H$502,$A285,Trade_Reports!$M$3:$M$502,"APPROVED",Trade_Reports!$Q$3:$Q$502,"&lt;="&amp;Settings!$B$4),"")))</f>
        <v/>
      </c>
      <c r="H285" s="17" t="str">
        <f>IF($A285="","",IF($K285=0,"",IFERROR(_xludf.MAXIFS(Trade_Reports!$I$3:$I$502,Trade_Reports!$H$3:$H$502,$A285,Trade_Reports!$M$3:$M$502,"APPROVED",Trade_Reports!$Q$3:$Q$502,"&lt;="&amp;Settings!$B$4),"")))</f>
        <v/>
      </c>
      <c r="I285" s="17" t="str">
        <f>IF($A285="","",IF($F285="","",IF($Q285="","",IF(ABS($F285-$Q285)/$Q285&lt;=Settings!$B$18,"STABLE",IF($F285&gt;$Q285,"UP","DOWN")))))</f>
        <v/>
      </c>
      <c r="J285" s="18" t="str">
        <f>IF($A285="","",IF($K285=0,"",MIN(100,ROUND($K285/Settings!$B$14*100,0))))</f>
        <v/>
      </c>
      <c r="K285" s="17" t="str">
        <f>IF($A285="","",COUNTIFS(Trade_Reports!$H$3:$H$502,$A285,Trade_Reports!$M$3:$M$502,"APPROVED",Trade_Reports!$Q$3:$Q$502,"&lt;="&amp;Settings!$B$4))</f>
        <v/>
      </c>
      <c r="L285" s="19" t="str">
        <f>IF($A285="","",IF($K285=0,"",IFERROR(_xludf.MAXIFS(Trade_Reports!$O$3:$O$502,Trade_Reports!$H$3:$H$502,$A285,Trade_Reports!$M$3:$M$502,"APPROVED"),"")))</f>
        <v/>
      </c>
      <c r="M285" s="16" t="s">
        <v>46</v>
      </c>
      <c r="N285" s="15"/>
      <c r="O285" s="9" t="str">
        <f t="shared" si="2"/>
        <v/>
      </c>
      <c r="P285" s="2" t="str">
        <f>IF($A285="","",SUMIFS(Trade_Reports!$U$3:$U$502,Trade_Reports!$H$3:$H$502,$A285,Trade_Reports!$M$3:$M$502,"APPROVED",Trade_Reports!$Q$3:$Q$502,"&lt;="&amp;Settings!$B$4))</f>
        <v/>
      </c>
      <c r="Q285" s="2" t="str">
        <f>IF($A285="","",SUMIFS(Trade_Reports!$U$3:$U$502,Trade_Reports!$H$3:$H$502,$A285,Trade_Reports!$M$3:$M$502,"APPROVED",Trade_Reports!$Q$3:$Q$502,"&lt;="&amp;Settings!$B$5))</f>
        <v/>
      </c>
      <c r="R285" s="2" t="str">
        <f>IF($A285="","",IF($Q285=0,"",IFERROR(_xludf.MINIFS(Trade_Reports!$I$3:$I$502,Trade_Reports!$H$3:$H$502,$A285,Trade_Reports!$M$3:$M$502,"APPROVED",Trade_Reports!$Q$3:$Q$502,"&lt;="&amp;Settings!$B$5,Trade_Reports!$X$3:$X$502,"&gt;="&amp;0.5*$Q285),"")))</f>
        <v/>
      </c>
      <c r="S285" s="2" t="str">
        <f>IF($A285="","",COUNTIFS(Trade_Reports!$H$3:$H$502,$A285,Trade_Reports!$M$3:$M$502,"APPROVED",Trade_Reports!$Q$3:$Q$502,"&lt;="&amp;Settings!$B$5))</f>
        <v/>
      </c>
      <c r="T285" s="2"/>
      <c r="U285" s="2"/>
      <c r="V285" s="21" t="str">
        <f>IF(OR($A285="",ISERROR(SEARCH("_",$A285))),"",IFERROR(SUMIFS(Trade_Reports!$Z$3:$Z$502,Trade_Reports!$H$3:$H$502,$A285,Trade_Reports!$M$3:$M$502,"APPROVED")/SUMIFS(Trade_Reports!$U$3:$U$502,Trade_Reports!$H$3:$H$502,$A285,Trade_Reports!$M$3:$M$502,"APPROVED"),""))</f>
        <v/>
      </c>
      <c r="W285" s="17" t="str">
        <f t="shared" si="3"/>
        <v/>
      </c>
      <c r="X285" s="2"/>
      <c r="Y285" s="2"/>
      <c r="Z285" s="2"/>
    </row>
    <row r="286" spans="1:26" ht="15.75" customHeight="1" x14ac:dyDescent="0.3">
      <c r="A286" s="15"/>
      <c r="B286" s="15"/>
      <c r="C286" s="16"/>
      <c r="D286" s="16"/>
      <c r="E286" s="16"/>
      <c r="F286" s="17" t="str">
        <f>IF($A286="","",IF($K286&lt;Settings!$B$14,"",IF($P286=0,"",IFERROR(_xludf.MINIFS(Trade_Reports!$I$3:$I$502,Trade_Reports!$H$3:$H$502,$A286,Trade_Reports!$M$3:$M$502,"APPROVED",Trade_Reports!$Q$3:$Q$502,"&lt;="&amp;Settings!$B$4,Trade_Reports!$W$3:$W$502,"&gt;="&amp;0.5*$P286),""))))</f>
        <v/>
      </c>
      <c r="G286" s="17" t="str">
        <f>IF($A286="","",IF($K286=0,"",IFERROR(_xludf.MINIFS(Trade_Reports!$I$3:$I$502,Trade_Reports!$H$3:$H$502,$A286,Trade_Reports!$M$3:$M$502,"APPROVED",Trade_Reports!$Q$3:$Q$502,"&lt;="&amp;Settings!$B$4),"")))</f>
        <v/>
      </c>
      <c r="H286" s="17" t="str">
        <f>IF($A286="","",IF($K286=0,"",IFERROR(_xludf.MAXIFS(Trade_Reports!$I$3:$I$502,Trade_Reports!$H$3:$H$502,$A286,Trade_Reports!$M$3:$M$502,"APPROVED",Trade_Reports!$Q$3:$Q$502,"&lt;="&amp;Settings!$B$4),"")))</f>
        <v/>
      </c>
      <c r="I286" s="17" t="str">
        <f>IF($A286="","",IF($F286="","",IF($Q286="","",IF(ABS($F286-$Q286)/$Q286&lt;=Settings!$B$18,"STABLE",IF($F286&gt;$Q286,"UP","DOWN")))))</f>
        <v/>
      </c>
      <c r="J286" s="18" t="str">
        <f>IF($A286="","",IF($K286=0,"",MIN(100,ROUND($K286/Settings!$B$14*100,0))))</f>
        <v/>
      </c>
      <c r="K286" s="17" t="str">
        <f>IF($A286="","",COUNTIFS(Trade_Reports!$H$3:$H$502,$A286,Trade_Reports!$M$3:$M$502,"APPROVED",Trade_Reports!$Q$3:$Q$502,"&lt;="&amp;Settings!$B$4))</f>
        <v/>
      </c>
      <c r="L286" s="19" t="str">
        <f>IF($A286="","",IF($K286=0,"",IFERROR(_xludf.MAXIFS(Trade_Reports!$O$3:$O$502,Trade_Reports!$H$3:$H$502,$A286,Trade_Reports!$M$3:$M$502,"APPROVED"),"")))</f>
        <v/>
      </c>
      <c r="M286" s="16" t="s">
        <v>46</v>
      </c>
      <c r="N286" s="15"/>
      <c r="O286" s="9" t="str">
        <f t="shared" si="2"/>
        <v/>
      </c>
      <c r="P286" s="2" t="str">
        <f>IF($A286="","",SUMIFS(Trade_Reports!$U$3:$U$502,Trade_Reports!$H$3:$H$502,$A286,Trade_Reports!$M$3:$M$502,"APPROVED",Trade_Reports!$Q$3:$Q$502,"&lt;="&amp;Settings!$B$4))</f>
        <v/>
      </c>
      <c r="Q286" s="2" t="str">
        <f>IF($A286="","",SUMIFS(Trade_Reports!$U$3:$U$502,Trade_Reports!$H$3:$H$502,$A286,Trade_Reports!$M$3:$M$502,"APPROVED",Trade_Reports!$Q$3:$Q$502,"&lt;="&amp;Settings!$B$5))</f>
        <v/>
      </c>
      <c r="R286" s="2" t="str">
        <f>IF($A286="","",IF($Q286=0,"",IFERROR(_xludf.MINIFS(Trade_Reports!$I$3:$I$502,Trade_Reports!$H$3:$H$502,$A286,Trade_Reports!$M$3:$M$502,"APPROVED",Trade_Reports!$Q$3:$Q$502,"&lt;="&amp;Settings!$B$5,Trade_Reports!$X$3:$X$502,"&gt;="&amp;0.5*$Q286),"")))</f>
        <v/>
      </c>
      <c r="S286" s="2" t="str">
        <f>IF($A286="","",COUNTIFS(Trade_Reports!$H$3:$H$502,$A286,Trade_Reports!$M$3:$M$502,"APPROVED",Trade_Reports!$Q$3:$Q$502,"&lt;="&amp;Settings!$B$5))</f>
        <v/>
      </c>
      <c r="T286" s="2"/>
      <c r="U286" s="2"/>
      <c r="V286" s="21" t="str">
        <f>IF(OR($A286="",ISERROR(SEARCH("_",$A286))),"",IFERROR(SUMIFS(Trade_Reports!$Z$3:$Z$502,Trade_Reports!$H$3:$H$502,$A286,Trade_Reports!$M$3:$M$502,"APPROVED")/SUMIFS(Trade_Reports!$U$3:$U$502,Trade_Reports!$H$3:$H$502,$A286,Trade_Reports!$M$3:$M$502,"APPROVED"),""))</f>
        <v/>
      </c>
      <c r="W286" s="17" t="str">
        <f t="shared" si="3"/>
        <v/>
      </c>
      <c r="X286" s="2"/>
      <c r="Y286" s="2"/>
      <c r="Z286" s="2"/>
    </row>
    <row r="287" spans="1:26" ht="15.75" customHeight="1" x14ac:dyDescent="0.3">
      <c r="A287" s="15"/>
      <c r="B287" s="15"/>
      <c r="C287" s="16"/>
      <c r="D287" s="16"/>
      <c r="E287" s="16"/>
      <c r="F287" s="17" t="str">
        <f>IF($A287="","",IF($K287&lt;Settings!$B$14,"",IF($P287=0,"",IFERROR(_xludf.MINIFS(Trade_Reports!$I$3:$I$502,Trade_Reports!$H$3:$H$502,$A287,Trade_Reports!$M$3:$M$502,"APPROVED",Trade_Reports!$Q$3:$Q$502,"&lt;="&amp;Settings!$B$4,Trade_Reports!$W$3:$W$502,"&gt;="&amp;0.5*$P287),""))))</f>
        <v/>
      </c>
      <c r="G287" s="17" t="str">
        <f>IF($A287="","",IF($K287=0,"",IFERROR(_xludf.MINIFS(Trade_Reports!$I$3:$I$502,Trade_Reports!$H$3:$H$502,$A287,Trade_Reports!$M$3:$M$502,"APPROVED",Trade_Reports!$Q$3:$Q$502,"&lt;="&amp;Settings!$B$4),"")))</f>
        <v/>
      </c>
      <c r="H287" s="17" t="str">
        <f>IF($A287="","",IF($K287=0,"",IFERROR(_xludf.MAXIFS(Trade_Reports!$I$3:$I$502,Trade_Reports!$H$3:$H$502,$A287,Trade_Reports!$M$3:$M$502,"APPROVED",Trade_Reports!$Q$3:$Q$502,"&lt;="&amp;Settings!$B$4),"")))</f>
        <v/>
      </c>
      <c r="I287" s="17" t="str">
        <f>IF($A287="","",IF($F287="","",IF($Q287="","",IF(ABS($F287-$Q287)/$Q287&lt;=Settings!$B$18,"STABLE",IF($F287&gt;$Q287,"UP","DOWN")))))</f>
        <v/>
      </c>
      <c r="J287" s="18" t="str">
        <f>IF($A287="","",IF($K287=0,"",MIN(100,ROUND($K287/Settings!$B$14*100,0))))</f>
        <v/>
      </c>
      <c r="K287" s="17" t="str">
        <f>IF($A287="","",COUNTIFS(Trade_Reports!$H$3:$H$502,$A287,Trade_Reports!$M$3:$M$502,"APPROVED",Trade_Reports!$Q$3:$Q$502,"&lt;="&amp;Settings!$B$4))</f>
        <v/>
      </c>
      <c r="L287" s="19" t="str">
        <f>IF($A287="","",IF($K287=0,"",IFERROR(_xludf.MAXIFS(Trade_Reports!$O$3:$O$502,Trade_Reports!$H$3:$H$502,$A287,Trade_Reports!$M$3:$M$502,"APPROVED"),"")))</f>
        <v/>
      </c>
      <c r="M287" s="16" t="s">
        <v>46</v>
      </c>
      <c r="N287" s="15"/>
      <c r="O287" s="9" t="str">
        <f t="shared" si="2"/>
        <v/>
      </c>
      <c r="P287" s="2" t="str">
        <f>IF($A287="","",SUMIFS(Trade_Reports!$U$3:$U$502,Trade_Reports!$H$3:$H$502,$A287,Trade_Reports!$M$3:$M$502,"APPROVED",Trade_Reports!$Q$3:$Q$502,"&lt;="&amp;Settings!$B$4))</f>
        <v/>
      </c>
      <c r="Q287" s="2" t="str">
        <f>IF($A287="","",SUMIFS(Trade_Reports!$U$3:$U$502,Trade_Reports!$H$3:$H$502,$A287,Trade_Reports!$M$3:$M$502,"APPROVED",Trade_Reports!$Q$3:$Q$502,"&lt;="&amp;Settings!$B$5))</f>
        <v/>
      </c>
      <c r="R287" s="2" t="str">
        <f>IF($A287="","",IF($Q287=0,"",IFERROR(_xludf.MINIFS(Trade_Reports!$I$3:$I$502,Trade_Reports!$H$3:$H$502,$A287,Trade_Reports!$M$3:$M$502,"APPROVED",Trade_Reports!$Q$3:$Q$502,"&lt;="&amp;Settings!$B$5,Trade_Reports!$X$3:$X$502,"&gt;="&amp;0.5*$Q287),"")))</f>
        <v/>
      </c>
      <c r="S287" s="2" t="str">
        <f>IF($A287="","",COUNTIFS(Trade_Reports!$H$3:$H$502,$A287,Trade_Reports!$M$3:$M$502,"APPROVED",Trade_Reports!$Q$3:$Q$502,"&lt;="&amp;Settings!$B$5))</f>
        <v/>
      </c>
      <c r="T287" s="2"/>
      <c r="U287" s="2"/>
      <c r="V287" s="21" t="str">
        <f>IF(OR($A287="",ISERROR(SEARCH("_",$A287))),"",IFERROR(SUMIFS(Trade_Reports!$Z$3:$Z$502,Trade_Reports!$H$3:$H$502,$A287,Trade_Reports!$M$3:$M$502,"APPROVED")/SUMIFS(Trade_Reports!$U$3:$U$502,Trade_Reports!$H$3:$H$502,$A287,Trade_Reports!$M$3:$M$502,"APPROVED"),""))</f>
        <v/>
      </c>
      <c r="W287" s="17" t="str">
        <f t="shared" si="3"/>
        <v/>
      </c>
      <c r="X287" s="2"/>
      <c r="Y287" s="2"/>
      <c r="Z287" s="2"/>
    </row>
    <row r="288" spans="1:26" ht="15.75" customHeight="1" x14ac:dyDescent="0.3">
      <c r="A288" s="15"/>
      <c r="B288" s="15"/>
      <c r="C288" s="16"/>
      <c r="D288" s="16"/>
      <c r="E288" s="16"/>
      <c r="F288" s="17" t="str">
        <f>IF($A288="","",IF($K288&lt;Settings!$B$14,"",IF($P288=0,"",IFERROR(_xludf.MINIFS(Trade_Reports!$I$3:$I$502,Trade_Reports!$H$3:$H$502,$A288,Trade_Reports!$M$3:$M$502,"APPROVED",Trade_Reports!$Q$3:$Q$502,"&lt;="&amp;Settings!$B$4,Trade_Reports!$W$3:$W$502,"&gt;="&amp;0.5*$P288),""))))</f>
        <v/>
      </c>
      <c r="G288" s="17" t="str">
        <f>IF($A288="","",IF($K288=0,"",IFERROR(_xludf.MINIFS(Trade_Reports!$I$3:$I$502,Trade_Reports!$H$3:$H$502,$A288,Trade_Reports!$M$3:$M$502,"APPROVED",Trade_Reports!$Q$3:$Q$502,"&lt;="&amp;Settings!$B$4),"")))</f>
        <v/>
      </c>
      <c r="H288" s="17" t="str">
        <f>IF($A288="","",IF($K288=0,"",IFERROR(_xludf.MAXIFS(Trade_Reports!$I$3:$I$502,Trade_Reports!$H$3:$H$502,$A288,Trade_Reports!$M$3:$M$502,"APPROVED",Trade_Reports!$Q$3:$Q$502,"&lt;="&amp;Settings!$B$4),"")))</f>
        <v/>
      </c>
      <c r="I288" s="17" t="str">
        <f>IF($A288="","",IF($F288="","",IF($Q288="","",IF(ABS($F288-$Q288)/$Q288&lt;=Settings!$B$18,"STABLE",IF($F288&gt;$Q288,"UP","DOWN")))))</f>
        <v/>
      </c>
      <c r="J288" s="18" t="str">
        <f>IF($A288="","",IF($K288=0,"",MIN(100,ROUND($K288/Settings!$B$14*100,0))))</f>
        <v/>
      </c>
      <c r="K288" s="17" t="str">
        <f>IF($A288="","",COUNTIFS(Trade_Reports!$H$3:$H$502,$A288,Trade_Reports!$M$3:$M$502,"APPROVED",Trade_Reports!$Q$3:$Q$502,"&lt;="&amp;Settings!$B$4))</f>
        <v/>
      </c>
      <c r="L288" s="19" t="str">
        <f>IF($A288="","",IF($K288=0,"",IFERROR(_xludf.MAXIFS(Trade_Reports!$O$3:$O$502,Trade_Reports!$H$3:$H$502,$A288,Trade_Reports!$M$3:$M$502,"APPROVED"),"")))</f>
        <v/>
      </c>
      <c r="M288" s="16" t="s">
        <v>46</v>
      </c>
      <c r="N288" s="15"/>
      <c r="O288" s="9" t="str">
        <f t="shared" si="2"/>
        <v/>
      </c>
      <c r="P288" s="2" t="str">
        <f>IF($A288="","",SUMIFS(Trade_Reports!$U$3:$U$502,Trade_Reports!$H$3:$H$502,$A288,Trade_Reports!$M$3:$M$502,"APPROVED",Trade_Reports!$Q$3:$Q$502,"&lt;="&amp;Settings!$B$4))</f>
        <v/>
      </c>
      <c r="Q288" s="2" t="str">
        <f>IF($A288="","",SUMIFS(Trade_Reports!$U$3:$U$502,Trade_Reports!$H$3:$H$502,$A288,Trade_Reports!$M$3:$M$502,"APPROVED",Trade_Reports!$Q$3:$Q$502,"&lt;="&amp;Settings!$B$5))</f>
        <v/>
      </c>
      <c r="R288" s="2" t="str">
        <f>IF($A288="","",IF($Q288=0,"",IFERROR(_xludf.MINIFS(Trade_Reports!$I$3:$I$502,Trade_Reports!$H$3:$H$502,$A288,Trade_Reports!$M$3:$M$502,"APPROVED",Trade_Reports!$Q$3:$Q$502,"&lt;="&amp;Settings!$B$5,Trade_Reports!$X$3:$X$502,"&gt;="&amp;0.5*$Q288),"")))</f>
        <v/>
      </c>
      <c r="S288" s="2" t="str">
        <f>IF($A288="","",COUNTIFS(Trade_Reports!$H$3:$H$502,$A288,Trade_Reports!$M$3:$M$502,"APPROVED",Trade_Reports!$Q$3:$Q$502,"&lt;="&amp;Settings!$B$5))</f>
        <v/>
      </c>
      <c r="T288" s="2"/>
      <c r="U288" s="2"/>
      <c r="V288" s="21" t="str">
        <f>IF(OR($A288="",ISERROR(SEARCH("_",$A288))),"",IFERROR(SUMIFS(Trade_Reports!$Z$3:$Z$502,Trade_Reports!$H$3:$H$502,$A288,Trade_Reports!$M$3:$M$502,"APPROVED")/SUMIFS(Trade_Reports!$U$3:$U$502,Trade_Reports!$H$3:$H$502,$A288,Trade_Reports!$M$3:$M$502,"APPROVED"),""))</f>
        <v/>
      </c>
      <c r="W288" s="17" t="str">
        <f t="shared" si="3"/>
        <v/>
      </c>
      <c r="X288" s="2"/>
      <c r="Y288" s="2"/>
      <c r="Z288" s="2"/>
    </row>
    <row r="289" spans="1:26" ht="15.75" customHeight="1" x14ac:dyDescent="0.3">
      <c r="A289" s="15"/>
      <c r="B289" s="15"/>
      <c r="C289" s="16"/>
      <c r="D289" s="16"/>
      <c r="E289" s="16"/>
      <c r="F289" s="17" t="str">
        <f>IF($A289="","",IF($K289&lt;Settings!$B$14,"",IF($P289=0,"",IFERROR(_xludf.MINIFS(Trade_Reports!$I$3:$I$502,Trade_Reports!$H$3:$H$502,$A289,Trade_Reports!$M$3:$M$502,"APPROVED",Trade_Reports!$Q$3:$Q$502,"&lt;="&amp;Settings!$B$4,Trade_Reports!$W$3:$W$502,"&gt;="&amp;0.5*$P289),""))))</f>
        <v/>
      </c>
      <c r="G289" s="17" t="str">
        <f>IF($A289="","",IF($K289=0,"",IFERROR(_xludf.MINIFS(Trade_Reports!$I$3:$I$502,Trade_Reports!$H$3:$H$502,$A289,Trade_Reports!$M$3:$M$502,"APPROVED",Trade_Reports!$Q$3:$Q$502,"&lt;="&amp;Settings!$B$4),"")))</f>
        <v/>
      </c>
      <c r="H289" s="17" t="str">
        <f>IF($A289="","",IF($K289=0,"",IFERROR(_xludf.MAXIFS(Trade_Reports!$I$3:$I$502,Trade_Reports!$H$3:$H$502,$A289,Trade_Reports!$M$3:$M$502,"APPROVED",Trade_Reports!$Q$3:$Q$502,"&lt;="&amp;Settings!$B$4),"")))</f>
        <v/>
      </c>
      <c r="I289" s="17" t="str">
        <f>IF($A289="","",IF($F289="","",IF($Q289="","",IF(ABS($F289-$Q289)/$Q289&lt;=Settings!$B$18,"STABLE",IF($F289&gt;$Q289,"UP","DOWN")))))</f>
        <v/>
      </c>
      <c r="J289" s="18" t="str">
        <f>IF($A289="","",IF($K289=0,"",MIN(100,ROUND($K289/Settings!$B$14*100,0))))</f>
        <v/>
      </c>
      <c r="K289" s="17" t="str">
        <f>IF($A289="","",COUNTIFS(Trade_Reports!$H$3:$H$502,$A289,Trade_Reports!$M$3:$M$502,"APPROVED",Trade_Reports!$Q$3:$Q$502,"&lt;="&amp;Settings!$B$4))</f>
        <v/>
      </c>
      <c r="L289" s="19" t="str">
        <f>IF($A289="","",IF($K289=0,"",IFERROR(_xludf.MAXIFS(Trade_Reports!$O$3:$O$502,Trade_Reports!$H$3:$H$502,$A289,Trade_Reports!$M$3:$M$502,"APPROVED"),"")))</f>
        <v/>
      </c>
      <c r="M289" s="16" t="s">
        <v>46</v>
      </c>
      <c r="N289" s="15"/>
      <c r="O289" s="9" t="str">
        <f t="shared" si="2"/>
        <v/>
      </c>
      <c r="P289" s="2" t="str">
        <f>IF($A289="","",SUMIFS(Trade_Reports!$U$3:$U$502,Trade_Reports!$H$3:$H$502,$A289,Trade_Reports!$M$3:$M$502,"APPROVED",Trade_Reports!$Q$3:$Q$502,"&lt;="&amp;Settings!$B$4))</f>
        <v/>
      </c>
      <c r="Q289" s="2" t="str">
        <f>IF($A289="","",SUMIFS(Trade_Reports!$U$3:$U$502,Trade_Reports!$H$3:$H$502,$A289,Trade_Reports!$M$3:$M$502,"APPROVED",Trade_Reports!$Q$3:$Q$502,"&lt;="&amp;Settings!$B$5))</f>
        <v/>
      </c>
      <c r="R289" s="2" t="str">
        <f>IF($A289="","",IF($Q289=0,"",IFERROR(_xludf.MINIFS(Trade_Reports!$I$3:$I$502,Trade_Reports!$H$3:$H$502,$A289,Trade_Reports!$M$3:$M$502,"APPROVED",Trade_Reports!$Q$3:$Q$502,"&lt;="&amp;Settings!$B$5,Trade_Reports!$X$3:$X$502,"&gt;="&amp;0.5*$Q289),"")))</f>
        <v/>
      </c>
      <c r="S289" s="2" t="str">
        <f>IF($A289="","",COUNTIFS(Trade_Reports!$H$3:$H$502,$A289,Trade_Reports!$M$3:$M$502,"APPROVED",Trade_Reports!$Q$3:$Q$502,"&lt;="&amp;Settings!$B$5))</f>
        <v/>
      </c>
      <c r="T289" s="2"/>
      <c r="U289" s="2"/>
      <c r="V289" s="21" t="str">
        <f>IF(OR($A289="",ISERROR(SEARCH("_",$A289))),"",IFERROR(SUMIFS(Trade_Reports!$Z$3:$Z$502,Trade_Reports!$H$3:$H$502,$A289,Trade_Reports!$M$3:$M$502,"APPROVED")/SUMIFS(Trade_Reports!$U$3:$U$502,Trade_Reports!$H$3:$H$502,$A289,Trade_Reports!$M$3:$M$502,"APPROVED"),""))</f>
        <v/>
      </c>
      <c r="W289" s="17" t="str">
        <f t="shared" si="3"/>
        <v/>
      </c>
      <c r="X289" s="2"/>
      <c r="Y289" s="2"/>
      <c r="Z289" s="2"/>
    </row>
    <row r="290" spans="1:26" ht="15.75" customHeight="1" x14ac:dyDescent="0.3">
      <c r="A290" s="15"/>
      <c r="B290" s="15"/>
      <c r="C290" s="16"/>
      <c r="D290" s="16"/>
      <c r="E290" s="16"/>
      <c r="F290" s="17" t="str">
        <f>IF($A290="","",IF($K290&lt;Settings!$B$14,"",IF($P290=0,"",IFERROR(_xludf.MINIFS(Trade_Reports!$I$3:$I$502,Trade_Reports!$H$3:$H$502,$A290,Trade_Reports!$M$3:$M$502,"APPROVED",Trade_Reports!$Q$3:$Q$502,"&lt;="&amp;Settings!$B$4,Trade_Reports!$W$3:$W$502,"&gt;="&amp;0.5*$P290),""))))</f>
        <v/>
      </c>
      <c r="G290" s="17" t="str">
        <f>IF($A290="","",IF($K290=0,"",IFERROR(_xludf.MINIFS(Trade_Reports!$I$3:$I$502,Trade_Reports!$H$3:$H$502,$A290,Trade_Reports!$M$3:$M$502,"APPROVED",Trade_Reports!$Q$3:$Q$502,"&lt;="&amp;Settings!$B$4),"")))</f>
        <v/>
      </c>
      <c r="H290" s="17" t="str">
        <f>IF($A290="","",IF($K290=0,"",IFERROR(_xludf.MAXIFS(Trade_Reports!$I$3:$I$502,Trade_Reports!$H$3:$H$502,$A290,Trade_Reports!$M$3:$M$502,"APPROVED",Trade_Reports!$Q$3:$Q$502,"&lt;="&amp;Settings!$B$4),"")))</f>
        <v/>
      </c>
      <c r="I290" s="17" t="str">
        <f>IF($A290="","",IF($F290="","",IF($Q290="","",IF(ABS($F290-$Q290)/$Q290&lt;=Settings!$B$18,"STABLE",IF($F290&gt;$Q290,"UP","DOWN")))))</f>
        <v/>
      </c>
      <c r="J290" s="18" t="str">
        <f>IF($A290="","",IF($K290=0,"",MIN(100,ROUND($K290/Settings!$B$14*100,0))))</f>
        <v/>
      </c>
      <c r="K290" s="17" t="str">
        <f>IF($A290="","",COUNTIFS(Trade_Reports!$H$3:$H$502,$A290,Trade_Reports!$M$3:$M$502,"APPROVED",Trade_Reports!$Q$3:$Q$502,"&lt;="&amp;Settings!$B$4))</f>
        <v/>
      </c>
      <c r="L290" s="19" t="str">
        <f>IF($A290="","",IF($K290=0,"",IFERROR(_xludf.MAXIFS(Trade_Reports!$O$3:$O$502,Trade_Reports!$H$3:$H$502,$A290,Trade_Reports!$M$3:$M$502,"APPROVED"),"")))</f>
        <v/>
      </c>
      <c r="M290" s="16" t="s">
        <v>46</v>
      </c>
      <c r="N290" s="15"/>
      <c r="O290" s="9" t="str">
        <f t="shared" si="2"/>
        <v/>
      </c>
      <c r="P290" s="2" t="str">
        <f>IF($A290="","",SUMIFS(Trade_Reports!$U$3:$U$502,Trade_Reports!$H$3:$H$502,$A290,Trade_Reports!$M$3:$M$502,"APPROVED",Trade_Reports!$Q$3:$Q$502,"&lt;="&amp;Settings!$B$4))</f>
        <v/>
      </c>
      <c r="Q290" s="2" t="str">
        <f>IF($A290="","",SUMIFS(Trade_Reports!$U$3:$U$502,Trade_Reports!$H$3:$H$502,$A290,Trade_Reports!$M$3:$M$502,"APPROVED",Trade_Reports!$Q$3:$Q$502,"&lt;="&amp;Settings!$B$5))</f>
        <v/>
      </c>
      <c r="R290" s="2" t="str">
        <f>IF($A290="","",IF($Q290=0,"",IFERROR(_xludf.MINIFS(Trade_Reports!$I$3:$I$502,Trade_Reports!$H$3:$H$502,$A290,Trade_Reports!$M$3:$M$502,"APPROVED",Trade_Reports!$Q$3:$Q$502,"&lt;="&amp;Settings!$B$5,Trade_Reports!$X$3:$X$502,"&gt;="&amp;0.5*$Q290),"")))</f>
        <v/>
      </c>
      <c r="S290" s="2" t="str">
        <f>IF($A290="","",COUNTIFS(Trade_Reports!$H$3:$H$502,$A290,Trade_Reports!$M$3:$M$502,"APPROVED",Trade_Reports!$Q$3:$Q$502,"&lt;="&amp;Settings!$B$5))</f>
        <v/>
      </c>
      <c r="T290" s="2"/>
      <c r="U290" s="2"/>
      <c r="V290" s="21" t="str">
        <f>IF(OR($A290="",ISERROR(SEARCH("_",$A290))),"",IFERROR(SUMIFS(Trade_Reports!$Z$3:$Z$502,Trade_Reports!$H$3:$H$502,$A290,Trade_Reports!$M$3:$M$502,"APPROVED")/SUMIFS(Trade_Reports!$U$3:$U$502,Trade_Reports!$H$3:$H$502,$A290,Trade_Reports!$M$3:$M$502,"APPROVED"),""))</f>
        <v/>
      </c>
      <c r="W290" s="17" t="str">
        <f t="shared" si="3"/>
        <v/>
      </c>
      <c r="X290" s="2"/>
      <c r="Y290" s="2"/>
      <c r="Z290" s="2"/>
    </row>
    <row r="291" spans="1:26" ht="15.75" customHeight="1" x14ac:dyDescent="0.3">
      <c r="A291" s="15"/>
      <c r="B291" s="15"/>
      <c r="C291" s="16"/>
      <c r="D291" s="16"/>
      <c r="E291" s="16"/>
      <c r="F291" s="17" t="str">
        <f>IF($A291="","",IF($K291&lt;Settings!$B$14,"",IF($P291=0,"",IFERROR(_xludf.MINIFS(Trade_Reports!$I$3:$I$502,Trade_Reports!$H$3:$H$502,$A291,Trade_Reports!$M$3:$M$502,"APPROVED",Trade_Reports!$Q$3:$Q$502,"&lt;="&amp;Settings!$B$4,Trade_Reports!$W$3:$W$502,"&gt;="&amp;0.5*$P291),""))))</f>
        <v/>
      </c>
      <c r="G291" s="17" t="str">
        <f>IF($A291="","",IF($K291=0,"",IFERROR(_xludf.MINIFS(Trade_Reports!$I$3:$I$502,Trade_Reports!$H$3:$H$502,$A291,Trade_Reports!$M$3:$M$502,"APPROVED",Trade_Reports!$Q$3:$Q$502,"&lt;="&amp;Settings!$B$4),"")))</f>
        <v/>
      </c>
      <c r="H291" s="17" t="str">
        <f>IF($A291="","",IF($K291=0,"",IFERROR(_xludf.MAXIFS(Trade_Reports!$I$3:$I$502,Trade_Reports!$H$3:$H$502,$A291,Trade_Reports!$M$3:$M$502,"APPROVED",Trade_Reports!$Q$3:$Q$502,"&lt;="&amp;Settings!$B$4),"")))</f>
        <v/>
      </c>
      <c r="I291" s="17" t="str">
        <f>IF($A291="","",IF($F291="","",IF($Q291="","",IF(ABS($F291-$Q291)/$Q291&lt;=Settings!$B$18,"STABLE",IF($F291&gt;$Q291,"UP","DOWN")))))</f>
        <v/>
      </c>
      <c r="J291" s="18" t="str">
        <f>IF($A291="","",IF($K291=0,"",MIN(100,ROUND($K291/Settings!$B$14*100,0))))</f>
        <v/>
      </c>
      <c r="K291" s="17" t="str">
        <f>IF($A291="","",COUNTIFS(Trade_Reports!$H$3:$H$502,$A291,Trade_Reports!$M$3:$M$502,"APPROVED",Trade_Reports!$Q$3:$Q$502,"&lt;="&amp;Settings!$B$4))</f>
        <v/>
      </c>
      <c r="L291" s="19" t="str">
        <f>IF($A291="","",IF($K291=0,"",IFERROR(_xludf.MAXIFS(Trade_Reports!$O$3:$O$502,Trade_Reports!$H$3:$H$502,$A291,Trade_Reports!$M$3:$M$502,"APPROVED"),"")))</f>
        <v/>
      </c>
      <c r="M291" s="16" t="s">
        <v>46</v>
      </c>
      <c r="N291" s="15"/>
      <c r="O291" s="9" t="str">
        <f t="shared" si="2"/>
        <v/>
      </c>
      <c r="P291" s="2" t="str">
        <f>IF($A291="","",SUMIFS(Trade_Reports!$U$3:$U$502,Trade_Reports!$H$3:$H$502,$A291,Trade_Reports!$M$3:$M$502,"APPROVED",Trade_Reports!$Q$3:$Q$502,"&lt;="&amp;Settings!$B$4))</f>
        <v/>
      </c>
      <c r="Q291" s="2" t="str">
        <f>IF($A291="","",SUMIFS(Trade_Reports!$U$3:$U$502,Trade_Reports!$H$3:$H$502,$A291,Trade_Reports!$M$3:$M$502,"APPROVED",Trade_Reports!$Q$3:$Q$502,"&lt;="&amp;Settings!$B$5))</f>
        <v/>
      </c>
      <c r="R291" s="2" t="str">
        <f>IF($A291="","",IF($Q291=0,"",IFERROR(_xludf.MINIFS(Trade_Reports!$I$3:$I$502,Trade_Reports!$H$3:$H$502,$A291,Trade_Reports!$M$3:$M$502,"APPROVED",Trade_Reports!$Q$3:$Q$502,"&lt;="&amp;Settings!$B$5,Trade_Reports!$X$3:$X$502,"&gt;="&amp;0.5*$Q291),"")))</f>
        <v/>
      </c>
      <c r="S291" s="2" t="str">
        <f>IF($A291="","",COUNTIFS(Trade_Reports!$H$3:$H$502,$A291,Trade_Reports!$M$3:$M$502,"APPROVED",Trade_Reports!$Q$3:$Q$502,"&lt;="&amp;Settings!$B$5))</f>
        <v/>
      </c>
      <c r="T291" s="2"/>
      <c r="U291" s="2"/>
      <c r="V291" s="21" t="str">
        <f>IF(OR($A291="",ISERROR(SEARCH("_",$A291))),"",IFERROR(SUMIFS(Trade_Reports!$Z$3:$Z$502,Trade_Reports!$H$3:$H$502,$A291,Trade_Reports!$M$3:$M$502,"APPROVED")/SUMIFS(Trade_Reports!$U$3:$U$502,Trade_Reports!$H$3:$H$502,$A291,Trade_Reports!$M$3:$M$502,"APPROVED"),""))</f>
        <v/>
      </c>
      <c r="W291" s="17" t="str">
        <f t="shared" si="3"/>
        <v/>
      </c>
      <c r="X291" s="2"/>
      <c r="Y291" s="2"/>
      <c r="Z291" s="2"/>
    </row>
    <row r="292" spans="1:26" ht="15.75" customHeight="1" x14ac:dyDescent="0.3">
      <c r="A292" s="15"/>
      <c r="B292" s="15"/>
      <c r="C292" s="16"/>
      <c r="D292" s="16"/>
      <c r="E292" s="16"/>
      <c r="F292" s="17" t="str">
        <f>IF($A292="","",IF($K292&lt;Settings!$B$14,"",IF($P292=0,"",IFERROR(_xludf.MINIFS(Trade_Reports!$I$3:$I$502,Trade_Reports!$H$3:$H$502,$A292,Trade_Reports!$M$3:$M$502,"APPROVED",Trade_Reports!$Q$3:$Q$502,"&lt;="&amp;Settings!$B$4,Trade_Reports!$W$3:$W$502,"&gt;="&amp;0.5*$P292),""))))</f>
        <v/>
      </c>
      <c r="G292" s="17" t="str">
        <f>IF($A292="","",IF($K292=0,"",IFERROR(_xludf.MINIFS(Trade_Reports!$I$3:$I$502,Trade_Reports!$H$3:$H$502,$A292,Trade_Reports!$M$3:$M$502,"APPROVED",Trade_Reports!$Q$3:$Q$502,"&lt;="&amp;Settings!$B$4),"")))</f>
        <v/>
      </c>
      <c r="H292" s="17" t="str">
        <f>IF($A292="","",IF($K292=0,"",IFERROR(_xludf.MAXIFS(Trade_Reports!$I$3:$I$502,Trade_Reports!$H$3:$H$502,$A292,Trade_Reports!$M$3:$M$502,"APPROVED",Trade_Reports!$Q$3:$Q$502,"&lt;="&amp;Settings!$B$4),"")))</f>
        <v/>
      </c>
      <c r="I292" s="17" t="str">
        <f>IF($A292="","",IF($F292="","",IF($Q292="","",IF(ABS($F292-$Q292)/$Q292&lt;=Settings!$B$18,"STABLE",IF($F292&gt;$Q292,"UP","DOWN")))))</f>
        <v/>
      </c>
      <c r="J292" s="18" t="str">
        <f>IF($A292="","",IF($K292=0,"",MIN(100,ROUND($K292/Settings!$B$14*100,0))))</f>
        <v/>
      </c>
      <c r="K292" s="17" t="str">
        <f>IF($A292="","",COUNTIFS(Trade_Reports!$H$3:$H$502,$A292,Trade_Reports!$M$3:$M$502,"APPROVED",Trade_Reports!$Q$3:$Q$502,"&lt;="&amp;Settings!$B$4))</f>
        <v/>
      </c>
      <c r="L292" s="19" t="str">
        <f>IF($A292="","",IF($K292=0,"",IFERROR(_xludf.MAXIFS(Trade_Reports!$O$3:$O$502,Trade_Reports!$H$3:$H$502,$A292,Trade_Reports!$M$3:$M$502,"APPROVED"),"")))</f>
        <v/>
      </c>
      <c r="M292" s="16" t="s">
        <v>46</v>
      </c>
      <c r="N292" s="15"/>
      <c r="O292" s="9" t="str">
        <f t="shared" si="2"/>
        <v/>
      </c>
      <c r="P292" s="2" t="str">
        <f>IF($A292="","",SUMIFS(Trade_Reports!$U$3:$U$502,Trade_Reports!$H$3:$H$502,$A292,Trade_Reports!$M$3:$M$502,"APPROVED",Trade_Reports!$Q$3:$Q$502,"&lt;="&amp;Settings!$B$4))</f>
        <v/>
      </c>
      <c r="Q292" s="2" t="str">
        <f>IF($A292="","",SUMIFS(Trade_Reports!$U$3:$U$502,Trade_Reports!$H$3:$H$502,$A292,Trade_Reports!$M$3:$M$502,"APPROVED",Trade_Reports!$Q$3:$Q$502,"&lt;="&amp;Settings!$B$5))</f>
        <v/>
      </c>
      <c r="R292" s="2" t="str">
        <f>IF($A292="","",IF($Q292=0,"",IFERROR(_xludf.MINIFS(Trade_Reports!$I$3:$I$502,Trade_Reports!$H$3:$H$502,$A292,Trade_Reports!$M$3:$M$502,"APPROVED",Trade_Reports!$Q$3:$Q$502,"&lt;="&amp;Settings!$B$5,Trade_Reports!$X$3:$X$502,"&gt;="&amp;0.5*$Q292),"")))</f>
        <v/>
      </c>
      <c r="S292" s="2" t="str">
        <f>IF($A292="","",COUNTIFS(Trade_Reports!$H$3:$H$502,$A292,Trade_Reports!$M$3:$M$502,"APPROVED",Trade_Reports!$Q$3:$Q$502,"&lt;="&amp;Settings!$B$5))</f>
        <v/>
      </c>
      <c r="T292" s="2"/>
      <c r="U292" s="2"/>
      <c r="V292" s="21" t="str">
        <f>IF(OR($A292="",ISERROR(SEARCH("_",$A292))),"",IFERROR(SUMIFS(Trade_Reports!$Z$3:$Z$502,Trade_Reports!$H$3:$H$502,$A292,Trade_Reports!$M$3:$M$502,"APPROVED")/SUMIFS(Trade_Reports!$U$3:$U$502,Trade_Reports!$H$3:$H$502,$A292,Trade_Reports!$M$3:$M$502,"APPROVED"),""))</f>
        <v/>
      </c>
      <c r="W292" s="17" t="str">
        <f t="shared" si="3"/>
        <v/>
      </c>
      <c r="X292" s="2"/>
      <c r="Y292" s="2"/>
      <c r="Z292" s="2"/>
    </row>
    <row r="293" spans="1:26" ht="15.75" customHeight="1" x14ac:dyDescent="0.3">
      <c r="A293" s="15"/>
      <c r="B293" s="15"/>
      <c r="C293" s="16"/>
      <c r="D293" s="16"/>
      <c r="E293" s="16"/>
      <c r="F293" s="17" t="str">
        <f>IF($A293="","",IF($K293&lt;Settings!$B$14,"",IF($P293=0,"",IFERROR(_xludf.MINIFS(Trade_Reports!$I$3:$I$502,Trade_Reports!$H$3:$H$502,$A293,Trade_Reports!$M$3:$M$502,"APPROVED",Trade_Reports!$Q$3:$Q$502,"&lt;="&amp;Settings!$B$4,Trade_Reports!$W$3:$W$502,"&gt;="&amp;0.5*$P293),""))))</f>
        <v/>
      </c>
      <c r="G293" s="17" t="str">
        <f>IF($A293="","",IF($K293=0,"",IFERROR(_xludf.MINIFS(Trade_Reports!$I$3:$I$502,Trade_Reports!$H$3:$H$502,$A293,Trade_Reports!$M$3:$M$502,"APPROVED",Trade_Reports!$Q$3:$Q$502,"&lt;="&amp;Settings!$B$4),"")))</f>
        <v/>
      </c>
      <c r="H293" s="17" t="str">
        <f>IF($A293="","",IF($K293=0,"",IFERROR(_xludf.MAXIFS(Trade_Reports!$I$3:$I$502,Trade_Reports!$H$3:$H$502,$A293,Trade_Reports!$M$3:$M$502,"APPROVED",Trade_Reports!$Q$3:$Q$502,"&lt;="&amp;Settings!$B$4),"")))</f>
        <v/>
      </c>
      <c r="I293" s="17" t="str">
        <f>IF($A293="","",IF($F293="","",IF($Q293="","",IF(ABS($F293-$Q293)/$Q293&lt;=Settings!$B$18,"STABLE",IF($F293&gt;$Q293,"UP","DOWN")))))</f>
        <v/>
      </c>
      <c r="J293" s="18" t="str">
        <f>IF($A293="","",IF($K293=0,"",MIN(100,ROUND($K293/Settings!$B$14*100,0))))</f>
        <v/>
      </c>
      <c r="K293" s="17" t="str">
        <f>IF($A293="","",COUNTIFS(Trade_Reports!$H$3:$H$502,$A293,Trade_Reports!$M$3:$M$502,"APPROVED",Trade_Reports!$Q$3:$Q$502,"&lt;="&amp;Settings!$B$4))</f>
        <v/>
      </c>
      <c r="L293" s="19" t="str">
        <f>IF($A293="","",IF($K293=0,"",IFERROR(_xludf.MAXIFS(Trade_Reports!$O$3:$O$502,Trade_Reports!$H$3:$H$502,$A293,Trade_Reports!$M$3:$M$502,"APPROVED"),"")))</f>
        <v/>
      </c>
      <c r="M293" s="16" t="s">
        <v>46</v>
      </c>
      <c r="N293" s="15"/>
      <c r="O293" s="9" t="str">
        <f t="shared" si="2"/>
        <v/>
      </c>
      <c r="P293" s="2" t="str">
        <f>IF($A293="","",SUMIFS(Trade_Reports!$U$3:$U$502,Trade_Reports!$H$3:$H$502,$A293,Trade_Reports!$M$3:$M$502,"APPROVED",Trade_Reports!$Q$3:$Q$502,"&lt;="&amp;Settings!$B$4))</f>
        <v/>
      </c>
      <c r="Q293" s="2" t="str">
        <f>IF($A293="","",SUMIFS(Trade_Reports!$U$3:$U$502,Trade_Reports!$H$3:$H$502,$A293,Trade_Reports!$M$3:$M$502,"APPROVED",Trade_Reports!$Q$3:$Q$502,"&lt;="&amp;Settings!$B$5))</f>
        <v/>
      </c>
      <c r="R293" s="2" t="str">
        <f>IF($A293="","",IF($Q293=0,"",IFERROR(_xludf.MINIFS(Trade_Reports!$I$3:$I$502,Trade_Reports!$H$3:$H$502,$A293,Trade_Reports!$M$3:$M$502,"APPROVED",Trade_Reports!$Q$3:$Q$502,"&lt;="&amp;Settings!$B$5,Trade_Reports!$X$3:$X$502,"&gt;="&amp;0.5*$Q293),"")))</f>
        <v/>
      </c>
      <c r="S293" s="2" t="str">
        <f>IF($A293="","",COUNTIFS(Trade_Reports!$H$3:$H$502,$A293,Trade_Reports!$M$3:$M$502,"APPROVED",Trade_Reports!$Q$3:$Q$502,"&lt;="&amp;Settings!$B$5))</f>
        <v/>
      </c>
      <c r="T293" s="2"/>
      <c r="U293" s="2"/>
      <c r="V293" s="21" t="str">
        <f>IF(OR($A293="",ISERROR(SEARCH("_",$A293))),"",IFERROR(SUMIFS(Trade_Reports!$Z$3:$Z$502,Trade_Reports!$H$3:$H$502,$A293,Trade_Reports!$M$3:$M$502,"APPROVED")/SUMIFS(Trade_Reports!$U$3:$U$502,Trade_Reports!$H$3:$H$502,$A293,Trade_Reports!$M$3:$M$502,"APPROVED"),""))</f>
        <v/>
      </c>
      <c r="W293" s="17" t="str">
        <f t="shared" si="3"/>
        <v/>
      </c>
      <c r="X293" s="2"/>
      <c r="Y293" s="2"/>
      <c r="Z293" s="2"/>
    </row>
    <row r="294" spans="1:26" ht="15.75" customHeight="1" x14ac:dyDescent="0.3">
      <c r="A294" s="15"/>
      <c r="B294" s="15"/>
      <c r="C294" s="16"/>
      <c r="D294" s="16"/>
      <c r="E294" s="16"/>
      <c r="F294" s="17" t="str">
        <f>IF($A294="","",IF($K294&lt;Settings!$B$14,"",IF($P294=0,"",IFERROR(_xludf.MINIFS(Trade_Reports!$I$3:$I$502,Trade_Reports!$H$3:$H$502,$A294,Trade_Reports!$M$3:$M$502,"APPROVED",Trade_Reports!$Q$3:$Q$502,"&lt;="&amp;Settings!$B$4,Trade_Reports!$W$3:$W$502,"&gt;="&amp;0.5*$P294),""))))</f>
        <v/>
      </c>
      <c r="G294" s="17" t="str">
        <f>IF($A294="","",IF($K294=0,"",IFERROR(_xludf.MINIFS(Trade_Reports!$I$3:$I$502,Trade_Reports!$H$3:$H$502,$A294,Trade_Reports!$M$3:$M$502,"APPROVED",Trade_Reports!$Q$3:$Q$502,"&lt;="&amp;Settings!$B$4),"")))</f>
        <v/>
      </c>
      <c r="H294" s="17" t="str">
        <f>IF($A294="","",IF($K294=0,"",IFERROR(_xludf.MAXIFS(Trade_Reports!$I$3:$I$502,Trade_Reports!$H$3:$H$502,$A294,Trade_Reports!$M$3:$M$502,"APPROVED",Trade_Reports!$Q$3:$Q$502,"&lt;="&amp;Settings!$B$4),"")))</f>
        <v/>
      </c>
      <c r="I294" s="17" t="str">
        <f>IF($A294="","",IF($F294="","",IF($Q294="","",IF(ABS($F294-$Q294)/$Q294&lt;=Settings!$B$18,"STABLE",IF($F294&gt;$Q294,"UP","DOWN")))))</f>
        <v/>
      </c>
      <c r="J294" s="18" t="str">
        <f>IF($A294="","",IF($K294=0,"",MIN(100,ROUND($K294/Settings!$B$14*100,0))))</f>
        <v/>
      </c>
      <c r="K294" s="17" t="str">
        <f>IF($A294="","",COUNTIFS(Trade_Reports!$H$3:$H$502,$A294,Trade_Reports!$M$3:$M$502,"APPROVED",Trade_Reports!$Q$3:$Q$502,"&lt;="&amp;Settings!$B$4))</f>
        <v/>
      </c>
      <c r="L294" s="19" t="str">
        <f>IF($A294="","",IF($K294=0,"",IFERROR(_xludf.MAXIFS(Trade_Reports!$O$3:$O$502,Trade_Reports!$H$3:$H$502,$A294,Trade_Reports!$M$3:$M$502,"APPROVED"),"")))</f>
        <v/>
      </c>
      <c r="M294" s="16" t="s">
        <v>46</v>
      </c>
      <c r="N294" s="15"/>
      <c r="O294" s="9" t="str">
        <f t="shared" si="2"/>
        <v/>
      </c>
      <c r="P294" s="2" t="str">
        <f>IF($A294="","",SUMIFS(Trade_Reports!$U$3:$U$502,Trade_Reports!$H$3:$H$502,$A294,Trade_Reports!$M$3:$M$502,"APPROVED",Trade_Reports!$Q$3:$Q$502,"&lt;="&amp;Settings!$B$4))</f>
        <v/>
      </c>
      <c r="Q294" s="2" t="str">
        <f>IF($A294="","",SUMIFS(Trade_Reports!$U$3:$U$502,Trade_Reports!$H$3:$H$502,$A294,Trade_Reports!$M$3:$M$502,"APPROVED",Trade_Reports!$Q$3:$Q$502,"&lt;="&amp;Settings!$B$5))</f>
        <v/>
      </c>
      <c r="R294" s="2" t="str">
        <f>IF($A294="","",IF($Q294=0,"",IFERROR(_xludf.MINIFS(Trade_Reports!$I$3:$I$502,Trade_Reports!$H$3:$H$502,$A294,Trade_Reports!$M$3:$M$502,"APPROVED",Trade_Reports!$Q$3:$Q$502,"&lt;="&amp;Settings!$B$5,Trade_Reports!$X$3:$X$502,"&gt;="&amp;0.5*$Q294),"")))</f>
        <v/>
      </c>
      <c r="S294" s="2" t="str">
        <f>IF($A294="","",COUNTIFS(Trade_Reports!$H$3:$H$502,$A294,Trade_Reports!$M$3:$M$502,"APPROVED",Trade_Reports!$Q$3:$Q$502,"&lt;="&amp;Settings!$B$5))</f>
        <v/>
      </c>
      <c r="T294" s="2"/>
      <c r="U294" s="2"/>
      <c r="V294" s="21" t="str">
        <f>IF(OR($A294="",ISERROR(SEARCH("_",$A294))),"",IFERROR(SUMIFS(Trade_Reports!$Z$3:$Z$502,Trade_Reports!$H$3:$H$502,$A294,Trade_Reports!$M$3:$M$502,"APPROVED")/SUMIFS(Trade_Reports!$U$3:$U$502,Trade_Reports!$H$3:$H$502,$A294,Trade_Reports!$M$3:$M$502,"APPROVED"),""))</f>
        <v/>
      </c>
      <c r="W294" s="17" t="str">
        <f t="shared" si="3"/>
        <v/>
      </c>
      <c r="X294" s="2"/>
      <c r="Y294" s="2"/>
      <c r="Z294" s="2"/>
    </row>
    <row r="295" spans="1:26" ht="15.75" customHeight="1" x14ac:dyDescent="0.3">
      <c r="A295" s="15"/>
      <c r="B295" s="15"/>
      <c r="C295" s="16"/>
      <c r="D295" s="16"/>
      <c r="E295" s="16"/>
      <c r="F295" s="17" t="str">
        <f>IF($A295="","",IF($K295&lt;Settings!$B$14,"",IF($P295=0,"",IFERROR(_xludf.MINIFS(Trade_Reports!$I$3:$I$502,Trade_Reports!$H$3:$H$502,$A295,Trade_Reports!$M$3:$M$502,"APPROVED",Trade_Reports!$Q$3:$Q$502,"&lt;="&amp;Settings!$B$4,Trade_Reports!$W$3:$W$502,"&gt;="&amp;0.5*$P295),""))))</f>
        <v/>
      </c>
      <c r="G295" s="17" t="str">
        <f>IF($A295="","",IF($K295=0,"",IFERROR(_xludf.MINIFS(Trade_Reports!$I$3:$I$502,Trade_Reports!$H$3:$H$502,$A295,Trade_Reports!$M$3:$M$502,"APPROVED",Trade_Reports!$Q$3:$Q$502,"&lt;="&amp;Settings!$B$4),"")))</f>
        <v/>
      </c>
      <c r="H295" s="17" t="str">
        <f>IF($A295="","",IF($K295=0,"",IFERROR(_xludf.MAXIFS(Trade_Reports!$I$3:$I$502,Trade_Reports!$H$3:$H$502,$A295,Trade_Reports!$M$3:$M$502,"APPROVED",Trade_Reports!$Q$3:$Q$502,"&lt;="&amp;Settings!$B$4),"")))</f>
        <v/>
      </c>
      <c r="I295" s="17" t="str">
        <f>IF($A295="","",IF($F295="","",IF($Q295="","",IF(ABS($F295-$Q295)/$Q295&lt;=Settings!$B$18,"STABLE",IF($F295&gt;$Q295,"UP","DOWN")))))</f>
        <v/>
      </c>
      <c r="J295" s="18" t="str">
        <f>IF($A295="","",IF($K295=0,"",MIN(100,ROUND($K295/Settings!$B$14*100,0))))</f>
        <v/>
      </c>
      <c r="K295" s="17" t="str">
        <f>IF($A295="","",COUNTIFS(Trade_Reports!$H$3:$H$502,$A295,Trade_Reports!$M$3:$M$502,"APPROVED",Trade_Reports!$Q$3:$Q$502,"&lt;="&amp;Settings!$B$4))</f>
        <v/>
      </c>
      <c r="L295" s="19" t="str">
        <f>IF($A295="","",IF($K295=0,"",IFERROR(_xludf.MAXIFS(Trade_Reports!$O$3:$O$502,Trade_Reports!$H$3:$H$502,$A295,Trade_Reports!$M$3:$M$502,"APPROVED"),"")))</f>
        <v/>
      </c>
      <c r="M295" s="16" t="s">
        <v>46</v>
      </c>
      <c r="N295" s="15"/>
      <c r="O295" s="9" t="str">
        <f t="shared" si="2"/>
        <v/>
      </c>
      <c r="P295" s="2" t="str">
        <f>IF($A295="","",SUMIFS(Trade_Reports!$U$3:$U$502,Trade_Reports!$H$3:$H$502,$A295,Trade_Reports!$M$3:$M$502,"APPROVED",Trade_Reports!$Q$3:$Q$502,"&lt;="&amp;Settings!$B$4))</f>
        <v/>
      </c>
      <c r="Q295" s="2" t="str">
        <f>IF($A295="","",SUMIFS(Trade_Reports!$U$3:$U$502,Trade_Reports!$H$3:$H$502,$A295,Trade_Reports!$M$3:$M$502,"APPROVED",Trade_Reports!$Q$3:$Q$502,"&lt;="&amp;Settings!$B$5))</f>
        <v/>
      </c>
      <c r="R295" s="2" t="str">
        <f>IF($A295="","",IF($Q295=0,"",IFERROR(_xludf.MINIFS(Trade_Reports!$I$3:$I$502,Trade_Reports!$H$3:$H$502,$A295,Trade_Reports!$M$3:$M$502,"APPROVED",Trade_Reports!$Q$3:$Q$502,"&lt;="&amp;Settings!$B$5,Trade_Reports!$X$3:$X$502,"&gt;="&amp;0.5*$Q295),"")))</f>
        <v/>
      </c>
      <c r="S295" s="2" t="str">
        <f>IF($A295="","",COUNTIFS(Trade_Reports!$H$3:$H$502,$A295,Trade_Reports!$M$3:$M$502,"APPROVED",Trade_Reports!$Q$3:$Q$502,"&lt;="&amp;Settings!$B$5))</f>
        <v/>
      </c>
      <c r="T295" s="2"/>
      <c r="U295" s="2"/>
      <c r="V295" s="21" t="str">
        <f>IF(OR($A295="",ISERROR(SEARCH("_",$A295))),"",IFERROR(SUMIFS(Trade_Reports!$Z$3:$Z$502,Trade_Reports!$H$3:$H$502,$A295,Trade_Reports!$M$3:$M$502,"APPROVED")/SUMIFS(Trade_Reports!$U$3:$U$502,Trade_Reports!$H$3:$H$502,$A295,Trade_Reports!$M$3:$M$502,"APPROVED"),""))</f>
        <v/>
      </c>
      <c r="W295" s="17" t="str">
        <f t="shared" si="3"/>
        <v/>
      </c>
      <c r="X295" s="2"/>
      <c r="Y295" s="2"/>
      <c r="Z295" s="2"/>
    </row>
    <row r="296" spans="1:26" ht="15.75" customHeight="1" x14ac:dyDescent="0.3">
      <c r="A296" s="15"/>
      <c r="B296" s="15"/>
      <c r="C296" s="16"/>
      <c r="D296" s="16"/>
      <c r="E296" s="16"/>
      <c r="F296" s="17" t="str">
        <f>IF($A296="","",IF($K296&lt;Settings!$B$14,"",IF($P296=0,"",IFERROR(_xludf.MINIFS(Trade_Reports!$I$3:$I$502,Trade_Reports!$H$3:$H$502,$A296,Trade_Reports!$M$3:$M$502,"APPROVED",Trade_Reports!$Q$3:$Q$502,"&lt;="&amp;Settings!$B$4,Trade_Reports!$W$3:$W$502,"&gt;="&amp;0.5*$P296),""))))</f>
        <v/>
      </c>
      <c r="G296" s="17" t="str">
        <f>IF($A296="","",IF($K296=0,"",IFERROR(_xludf.MINIFS(Trade_Reports!$I$3:$I$502,Trade_Reports!$H$3:$H$502,$A296,Trade_Reports!$M$3:$M$502,"APPROVED",Trade_Reports!$Q$3:$Q$502,"&lt;="&amp;Settings!$B$4),"")))</f>
        <v/>
      </c>
      <c r="H296" s="17" t="str">
        <f>IF($A296="","",IF($K296=0,"",IFERROR(_xludf.MAXIFS(Trade_Reports!$I$3:$I$502,Trade_Reports!$H$3:$H$502,$A296,Trade_Reports!$M$3:$M$502,"APPROVED",Trade_Reports!$Q$3:$Q$502,"&lt;="&amp;Settings!$B$4),"")))</f>
        <v/>
      </c>
      <c r="I296" s="17" t="str">
        <f>IF($A296="","",IF($F296="","",IF($Q296="","",IF(ABS($F296-$Q296)/$Q296&lt;=Settings!$B$18,"STABLE",IF($F296&gt;$Q296,"UP","DOWN")))))</f>
        <v/>
      </c>
      <c r="J296" s="18" t="str">
        <f>IF($A296="","",IF($K296=0,"",MIN(100,ROUND($K296/Settings!$B$14*100,0))))</f>
        <v/>
      </c>
      <c r="K296" s="17" t="str">
        <f>IF($A296="","",COUNTIFS(Trade_Reports!$H$3:$H$502,$A296,Trade_Reports!$M$3:$M$502,"APPROVED",Trade_Reports!$Q$3:$Q$502,"&lt;="&amp;Settings!$B$4))</f>
        <v/>
      </c>
      <c r="L296" s="19" t="str">
        <f>IF($A296="","",IF($K296=0,"",IFERROR(_xludf.MAXIFS(Trade_Reports!$O$3:$O$502,Trade_Reports!$H$3:$H$502,$A296,Trade_Reports!$M$3:$M$502,"APPROVED"),"")))</f>
        <v/>
      </c>
      <c r="M296" s="16" t="s">
        <v>46</v>
      </c>
      <c r="N296" s="15"/>
      <c r="O296" s="9" t="str">
        <f t="shared" si="2"/>
        <v/>
      </c>
      <c r="P296" s="2" t="str">
        <f>IF($A296="","",SUMIFS(Trade_Reports!$U$3:$U$502,Trade_Reports!$H$3:$H$502,$A296,Trade_Reports!$M$3:$M$502,"APPROVED",Trade_Reports!$Q$3:$Q$502,"&lt;="&amp;Settings!$B$4))</f>
        <v/>
      </c>
      <c r="Q296" s="2" t="str">
        <f>IF($A296="","",SUMIFS(Trade_Reports!$U$3:$U$502,Trade_Reports!$H$3:$H$502,$A296,Trade_Reports!$M$3:$M$502,"APPROVED",Trade_Reports!$Q$3:$Q$502,"&lt;="&amp;Settings!$B$5))</f>
        <v/>
      </c>
      <c r="R296" s="2" t="str">
        <f>IF($A296="","",IF($Q296=0,"",IFERROR(_xludf.MINIFS(Trade_Reports!$I$3:$I$502,Trade_Reports!$H$3:$H$502,$A296,Trade_Reports!$M$3:$M$502,"APPROVED",Trade_Reports!$Q$3:$Q$502,"&lt;="&amp;Settings!$B$5,Trade_Reports!$X$3:$X$502,"&gt;="&amp;0.5*$Q296),"")))</f>
        <v/>
      </c>
      <c r="S296" s="2" t="str">
        <f>IF($A296="","",COUNTIFS(Trade_Reports!$H$3:$H$502,$A296,Trade_Reports!$M$3:$M$502,"APPROVED",Trade_Reports!$Q$3:$Q$502,"&lt;="&amp;Settings!$B$5))</f>
        <v/>
      </c>
      <c r="T296" s="2"/>
      <c r="U296" s="2"/>
      <c r="V296" s="21" t="str">
        <f>IF(OR($A296="",ISERROR(SEARCH("_",$A296))),"",IFERROR(SUMIFS(Trade_Reports!$Z$3:$Z$502,Trade_Reports!$H$3:$H$502,$A296,Trade_Reports!$M$3:$M$502,"APPROVED")/SUMIFS(Trade_Reports!$U$3:$U$502,Trade_Reports!$H$3:$H$502,$A296,Trade_Reports!$M$3:$M$502,"APPROVED"),""))</f>
        <v/>
      </c>
      <c r="W296" s="17" t="str">
        <f t="shared" si="3"/>
        <v/>
      </c>
      <c r="X296" s="2"/>
      <c r="Y296" s="2"/>
      <c r="Z296" s="2"/>
    </row>
    <row r="297" spans="1:26" ht="15.75" customHeight="1" x14ac:dyDescent="0.3">
      <c r="A297" s="15"/>
      <c r="B297" s="15"/>
      <c r="C297" s="16"/>
      <c r="D297" s="16"/>
      <c r="E297" s="16"/>
      <c r="F297" s="17" t="str">
        <f>IF($A297="","",IF($K297&lt;Settings!$B$14,"",IF($P297=0,"",IFERROR(_xludf.MINIFS(Trade_Reports!$I$3:$I$502,Trade_Reports!$H$3:$H$502,$A297,Trade_Reports!$M$3:$M$502,"APPROVED",Trade_Reports!$Q$3:$Q$502,"&lt;="&amp;Settings!$B$4,Trade_Reports!$W$3:$W$502,"&gt;="&amp;0.5*$P297),""))))</f>
        <v/>
      </c>
      <c r="G297" s="17" t="str">
        <f>IF($A297="","",IF($K297=0,"",IFERROR(_xludf.MINIFS(Trade_Reports!$I$3:$I$502,Trade_Reports!$H$3:$H$502,$A297,Trade_Reports!$M$3:$M$502,"APPROVED",Trade_Reports!$Q$3:$Q$502,"&lt;="&amp;Settings!$B$4),"")))</f>
        <v/>
      </c>
      <c r="H297" s="17" t="str">
        <f>IF($A297="","",IF($K297=0,"",IFERROR(_xludf.MAXIFS(Trade_Reports!$I$3:$I$502,Trade_Reports!$H$3:$H$502,$A297,Trade_Reports!$M$3:$M$502,"APPROVED",Trade_Reports!$Q$3:$Q$502,"&lt;="&amp;Settings!$B$4),"")))</f>
        <v/>
      </c>
      <c r="I297" s="17" t="str">
        <f>IF($A297="","",IF($F297="","",IF($Q297="","",IF(ABS($F297-$Q297)/$Q297&lt;=Settings!$B$18,"STABLE",IF($F297&gt;$Q297,"UP","DOWN")))))</f>
        <v/>
      </c>
      <c r="J297" s="18" t="str">
        <f>IF($A297="","",IF($K297=0,"",MIN(100,ROUND($K297/Settings!$B$14*100,0))))</f>
        <v/>
      </c>
      <c r="K297" s="17" t="str">
        <f>IF($A297="","",COUNTIFS(Trade_Reports!$H$3:$H$502,$A297,Trade_Reports!$M$3:$M$502,"APPROVED",Trade_Reports!$Q$3:$Q$502,"&lt;="&amp;Settings!$B$4))</f>
        <v/>
      </c>
      <c r="L297" s="19" t="str">
        <f>IF($A297="","",IF($K297=0,"",IFERROR(_xludf.MAXIFS(Trade_Reports!$O$3:$O$502,Trade_Reports!$H$3:$H$502,$A297,Trade_Reports!$M$3:$M$502,"APPROVED"),"")))</f>
        <v/>
      </c>
      <c r="M297" s="16" t="s">
        <v>46</v>
      </c>
      <c r="N297" s="15"/>
      <c r="O297" s="9" t="str">
        <f t="shared" si="2"/>
        <v/>
      </c>
      <c r="P297" s="2" t="str">
        <f>IF($A297="","",SUMIFS(Trade_Reports!$U$3:$U$502,Trade_Reports!$H$3:$H$502,$A297,Trade_Reports!$M$3:$M$502,"APPROVED",Trade_Reports!$Q$3:$Q$502,"&lt;="&amp;Settings!$B$4))</f>
        <v/>
      </c>
      <c r="Q297" s="2" t="str">
        <f>IF($A297="","",SUMIFS(Trade_Reports!$U$3:$U$502,Trade_Reports!$H$3:$H$502,$A297,Trade_Reports!$M$3:$M$502,"APPROVED",Trade_Reports!$Q$3:$Q$502,"&lt;="&amp;Settings!$B$5))</f>
        <v/>
      </c>
      <c r="R297" s="2" t="str">
        <f>IF($A297="","",IF($Q297=0,"",IFERROR(_xludf.MINIFS(Trade_Reports!$I$3:$I$502,Trade_Reports!$H$3:$H$502,$A297,Trade_Reports!$M$3:$M$502,"APPROVED",Trade_Reports!$Q$3:$Q$502,"&lt;="&amp;Settings!$B$5,Trade_Reports!$X$3:$X$502,"&gt;="&amp;0.5*$Q297),"")))</f>
        <v/>
      </c>
      <c r="S297" s="2" t="str">
        <f>IF($A297="","",COUNTIFS(Trade_Reports!$H$3:$H$502,$A297,Trade_Reports!$M$3:$M$502,"APPROVED",Trade_Reports!$Q$3:$Q$502,"&lt;="&amp;Settings!$B$5))</f>
        <v/>
      </c>
      <c r="T297" s="2"/>
      <c r="U297" s="2"/>
      <c r="V297" s="21" t="str">
        <f>IF(OR($A297="",ISERROR(SEARCH("_",$A297))),"",IFERROR(SUMIFS(Trade_Reports!$Z$3:$Z$502,Trade_Reports!$H$3:$H$502,$A297,Trade_Reports!$M$3:$M$502,"APPROVED")/SUMIFS(Trade_Reports!$U$3:$U$502,Trade_Reports!$H$3:$H$502,$A297,Trade_Reports!$M$3:$M$502,"APPROVED"),""))</f>
        <v/>
      </c>
      <c r="W297" s="17" t="str">
        <f t="shared" si="3"/>
        <v/>
      </c>
      <c r="X297" s="2"/>
      <c r="Y297" s="2"/>
      <c r="Z297" s="2"/>
    </row>
    <row r="298" spans="1:26" ht="15.75" customHeight="1" x14ac:dyDescent="0.3">
      <c r="A298" s="15"/>
      <c r="B298" s="15"/>
      <c r="C298" s="16"/>
      <c r="D298" s="16"/>
      <c r="E298" s="16"/>
      <c r="F298" s="17" t="str">
        <f>IF($A298="","",IF($K298&lt;Settings!$B$14,"",IF($P298=0,"",IFERROR(_xludf.MINIFS(Trade_Reports!$I$3:$I$502,Trade_Reports!$H$3:$H$502,$A298,Trade_Reports!$M$3:$M$502,"APPROVED",Trade_Reports!$Q$3:$Q$502,"&lt;="&amp;Settings!$B$4,Trade_Reports!$W$3:$W$502,"&gt;="&amp;0.5*$P298),""))))</f>
        <v/>
      </c>
      <c r="G298" s="17" t="str">
        <f>IF($A298="","",IF($K298=0,"",IFERROR(_xludf.MINIFS(Trade_Reports!$I$3:$I$502,Trade_Reports!$H$3:$H$502,$A298,Trade_Reports!$M$3:$M$502,"APPROVED",Trade_Reports!$Q$3:$Q$502,"&lt;="&amp;Settings!$B$4),"")))</f>
        <v/>
      </c>
      <c r="H298" s="17" t="str">
        <f>IF($A298="","",IF($K298=0,"",IFERROR(_xludf.MAXIFS(Trade_Reports!$I$3:$I$502,Trade_Reports!$H$3:$H$502,$A298,Trade_Reports!$M$3:$M$502,"APPROVED",Trade_Reports!$Q$3:$Q$502,"&lt;="&amp;Settings!$B$4),"")))</f>
        <v/>
      </c>
      <c r="I298" s="17" t="str">
        <f>IF($A298="","",IF($F298="","",IF($Q298="","",IF(ABS($F298-$Q298)/$Q298&lt;=Settings!$B$18,"STABLE",IF($F298&gt;$Q298,"UP","DOWN")))))</f>
        <v/>
      </c>
      <c r="J298" s="18" t="str">
        <f>IF($A298="","",IF($K298=0,"",MIN(100,ROUND($K298/Settings!$B$14*100,0))))</f>
        <v/>
      </c>
      <c r="K298" s="17" t="str">
        <f>IF($A298="","",COUNTIFS(Trade_Reports!$H$3:$H$502,$A298,Trade_Reports!$M$3:$M$502,"APPROVED",Trade_Reports!$Q$3:$Q$502,"&lt;="&amp;Settings!$B$4))</f>
        <v/>
      </c>
      <c r="L298" s="19" t="str">
        <f>IF($A298="","",IF($K298=0,"",IFERROR(_xludf.MAXIFS(Trade_Reports!$O$3:$O$502,Trade_Reports!$H$3:$H$502,$A298,Trade_Reports!$M$3:$M$502,"APPROVED"),"")))</f>
        <v/>
      </c>
      <c r="M298" s="16" t="s">
        <v>46</v>
      </c>
      <c r="N298" s="15"/>
      <c r="O298" s="9" t="str">
        <f t="shared" si="2"/>
        <v/>
      </c>
      <c r="P298" s="2" t="str">
        <f>IF($A298="","",SUMIFS(Trade_Reports!$U$3:$U$502,Trade_Reports!$H$3:$H$502,$A298,Trade_Reports!$M$3:$M$502,"APPROVED",Trade_Reports!$Q$3:$Q$502,"&lt;="&amp;Settings!$B$4))</f>
        <v/>
      </c>
      <c r="Q298" s="2" t="str">
        <f>IF($A298="","",SUMIFS(Trade_Reports!$U$3:$U$502,Trade_Reports!$H$3:$H$502,$A298,Trade_Reports!$M$3:$M$502,"APPROVED",Trade_Reports!$Q$3:$Q$502,"&lt;="&amp;Settings!$B$5))</f>
        <v/>
      </c>
      <c r="R298" s="2" t="str">
        <f>IF($A298="","",IF($Q298=0,"",IFERROR(_xludf.MINIFS(Trade_Reports!$I$3:$I$502,Trade_Reports!$H$3:$H$502,$A298,Trade_Reports!$M$3:$M$502,"APPROVED",Trade_Reports!$Q$3:$Q$502,"&lt;="&amp;Settings!$B$5,Trade_Reports!$X$3:$X$502,"&gt;="&amp;0.5*$Q298),"")))</f>
        <v/>
      </c>
      <c r="S298" s="2" t="str">
        <f>IF($A298="","",COUNTIFS(Trade_Reports!$H$3:$H$502,$A298,Trade_Reports!$M$3:$M$502,"APPROVED",Trade_Reports!$Q$3:$Q$502,"&lt;="&amp;Settings!$B$5))</f>
        <v/>
      </c>
      <c r="T298" s="2"/>
      <c r="U298" s="2"/>
      <c r="V298" s="21" t="str">
        <f>IF(OR($A298="",ISERROR(SEARCH("_",$A298))),"",IFERROR(SUMIFS(Trade_Reports!$Z$3:$Z$502,Trade_Reports!$H$3:$H$502,$A298,Trade_Reports!$M$3:$M$502,"APPROVED")/SUMIFS(Trade_Reports!$U$3:$U$502,Trade_Reports!$H$3:$H$502,$A298,Trade_Reports!$M$3:$M$502,"APPROVED"),""))</f>
        <v/>
      </c>
      <c r="W298" s="17" t="str">
        <f t="shared" si="3"/>
        <v/>
      </c>
      <c r="X298" s="2"/>
      <c r="Y298" s="2"/>
      <c r="Z298" s="2"/>
    </row>
    <row r="299" spans="1:26" ht="15.75" customHeight="1" x14ac:dyDescent="0.3">
      <c r="A299" s="15"/>
      <c r="B299" s="15"/>
      <c r="C299" s="16"/>
      <c r="D299" s="16"/>
      <c r="E299" s="16"/>
      <c r="F299" s="17" t="str">
        <f>IF($A299="","",IF($K299&lt;Settings!$B$14,"",IF($P299=0,"",IFERROR(_xludf.MINIFS(Trade_Reports!$I$3:$I$502,Trade_Reports!$H$3:$H$502,$A299,Trade_Reports!$M$3:$M$502,"APPROVED",Trade_Reports!$Q$3:$Q$502,"&lt;="&amp;Settings!$B$4,Trade_Reports!$W$3:$W$502,"&gt;="&amp;0.5*$P299),""))))</f>
        <v/>
      </c>
      <c r="G299" s="17" t="str">
        <f>IF($A299="","",IF($K299=0,"",IFERROR(_xludf.MINIFS(Trade_Reports!$I$3:$I$502,Trade_Reports!$H$3:$H$502,$A299,Trade_Reports!$M$3:$M$502,"APPROVED",Trade_Reports!$Q$3:$Q$502,"&lt;="&amp;Settings!$B$4),"")))</f>
        <v/>
      </c>
      <c r="H299" s="17" t="str">
        <f>IF($A299="","",IF($K299=0,"",IFERROR(_xludf.MAXIFS(Trade_Reports!$I$3:$I$502,Trade_Reports!$H$3:$H$502,$A299,Trade_Reports!$M$3:$M$502,"APPROVED",Trade_Reports!$Q$3:$Q$502,"&lt;="&amp;Settings!$B$4),"")))</f>
        <v/>
      </c>
      <c r="I299" s="17" t="str">
        <f>IF($A299="","",IF($F299="","",IF($Q299="","",IF(ABS($F299-$Q299)/$Q299&lt;=Settings!$B$18,"STABLE",IF($F299&gt;$Q299,"UP","DOWN")))))</f>
        <v/>
      </c>
      <c r="J299" s="18" t="str">
        <f>IF($A299="","",IF($K299=0,"",MIN(100,ROUND($K299/Settings!$B$14*100,0))))</f>
        <v/>
      </c>
      <c r="K299" s="17" t="str">
        <f>IF($A299="","",COUNTIFS(Trade_Reports!$H$3:$H$502,$A299,Trade_Reports!$M$3:$M$502,"APPROVED",Trade_Reports!$Q$3:$Q$502,"&lt;="&amp;Settings!$B$4))</f>
        <v/>
      </c>
      <c r="L299" s="19" t="str">
        <f>IF($A299="","",IF($K299=0,"",IFERROR(_xludf.MAXIFS(Trade_Reports!$O$3:$O$502,Trade_Reports!$H$3:$H$502,$A299,Trade_Reports!$M$3:$M$502,"APPROVED"),"")))</f>
        <v/>
      </c>
      <c r="M299" s="16" t="s">
        <v>46</v>
      </c>
      <c r="N299" s="15"/>
      <c r="O299" s="9" t="str">
        <f t="shared" si="2"/>
        <v/>
      </c>
      <c r="P299" s="2" t="str">
        <f>IF($A299="","",SUMIFS(Trade_Reports!$U$3:$U$502,Trade_Reports!$H$3:$H$502,$A299,Trade_Reports!$M$3:$M$502,"APPROVED",Trade_Reports!$Q$3:$Q$502,"&lt;="&amp;Settings!$B$4))</f>
        <v/>
      </c>
      <c r="Q299" s="2" t="str">
        <f>IF($A299="","",SUMIFS(Trade_Reports!$U$3:$U$502,Trade_Reports!$H$3:$H$502,$A299,Trade_Reports!$M$3:$M$502,"APPROVED",Trade_Reports!$Q$3:$Q$502,"&lt;="&amp;Settings!$B$5))</f>
        <v/>
      </c>
      <c r="R299" s="2" t="str">
        <f>IF($A299="","",IF($Q299=0,"",IFERROR(_xludf.MINIFS(Trade_Reports!$I$3:$I$502,Trade_Reports!$H$3:$H$502,$A299,Trade_Reports!$M$3:$M$502,"APPROVED",Trade_Reports!$Q$3:$Q$502,"&lt;="&amp;Settings!$B$5,Trade_Reports!$X$3:$X$502,"&gt;="&amp;0.5*$Q299),"")))</f>
        <v/>
      </c>
      <c r="S299" s="2" t="str">
        <f>IF($A299="","",COUNTIFS(Trade_Reports!$H$3:$H$502,$A299,Trade_Reports!$M$3:$M$502,"APPROVED",Trade_Reports!$Q$3:$Q$502,"&lt;="&amp;Settings!$B$5))</f>
        <v/>
      </c>
      <c r="T299" s="2"/>
      <c r="U299" s="2"/>
      <c r="V299" s="21" t="str">
        <f>IF(OR($A299="",ISERROR(SEARCH("_",$A299))),"",IFERROR(SUMIFS(Trade_Reports!$Z$3:$Z$502,Trade_Reports!$H$3:$H$502,$A299,Trade_Reports!$M$3:$M$502,"APPROVED")/SUMIFS(Trade_Reports!$U$3:$U$502,Trade_Reports!$H$3:$H$502,$A299,Trade_Reports!$M$3:$M$502,"APPROVED"),""))</f>
        <v/>
      </c>
      <c r="W299" s="17" t="str">
        <f t="shared" si="3"/>
        <v/>
      </c>
      <c r="X299" s="2"/>
      <c r="Y299" s="2"/>
      <c r="Z299" s="2"/>
    </row>
    <row r="300" spans="1:26" ht="15.75" customHeight="1" x14ac:dyDescent="0.3">
      <c r="A300" s="15"/>
      <c r="B300" s="15"/>
      <c r="C300" s="16"/>
      <c r="D300" s="16"/>
      <c r="E300" s="16"/>
      <c r="F300" s="17" t="str">
        <f>IF($A300="","",IF($K300&lt;Settings!$B$14,"",IF($P300=0,"",IFERROR(_xludf.MINIFS(Trade_Reports!$I$3:$I$502,Trade_Reports!$H$3:$H$502,$A300,Trade_Reports!$M$3:$M$502,"APPROVED",Trade_Reports!$Q$3:$Q$502,"&lt;="&amp;Settings!$B$4,Trade_Reports!$W$3:$W$502,"&gt;="&amp;0.5*$P300),""))))</f>
        <v/>
      </c>
      <c r="G300" s="17" t="str">
        <f>IF($A300="","",IF($K300=0,"",IFERROR(_xludf.MINIFS(Trade_Reports!$I$3:$I$502,Trade_Reports!$H$3:$H$502,$A300,Trade_Reports!$M$3:$M$502,"APPROVED",Trade_Reports!$Q$3:$Q$502,"&lt;="&amp;Settings!$B$4),"")))</f>
        <v/>
      </c>
      <c r="H300" s="17" t="str">
        <f>IF($A300="","",IF($K300=0,"",IFERROR(_xludf.MAXIFS(Trade_Reports!$I$3:$I$502,Trade_Reports!$H$3:$H$502,$A300,Trade_Reports!$M$3:$M$502,"APPROVED",Trade_Reports!$Q$3:$Q$502,"&lt;="&amp;Settings!$B$4),"")))</f>
        <v/>
      </c>
      <c r="I300" s="17" t="str">
        <f>IF($A300="","",IF($F300="","",IF($Q300="","",IF(ABS($F300-$Q300)/$Q300&lt;=Settings!$B$18,"STABLE",IF($F300&gt;$Q300,"UP","DOWN")))))</f>
        <v/>
      </c>
      <c r="J300" s="18" t="str">
        <f>IF($A300="","",IF($K300=0,"",MIN(100,ROUND($K300/Settings!$B$14*100,0))))</f>
        <v/>
      </c>
      <c r="K300" s="17" t="str">
        <f>IF($A300="","",COUNTIFS(Trade_Reports!$H$3:$H$502,$A300,Trade_Reports!$M$3:$M$502,"APPROVED",Trade_Reports!$Q$3:$Q$502,"&lt;="&amp;Settings!$B$4))</f>
        <v/>
      </c>
      <c r="L300" s="19" t="str">
        <f>IF($A300="","",IF($K300=0,"",IFERROR(_xludf.MAXIFS(Trade_Reports!$O$3:$O$502,Trade_Reports!$H$3:$H$502,$A300,Trade_Reports!$M$3:$M$502,"APPROVED"),"")))</f>
        <v/>
      </c>
      <c r="M300" s="16" t="s">
        <v>46</v>
      </c>
      <c r="N300" s="15"/>
      <c r="O300" s="9" t="str">
        <f t="shared" si="2"/>
        <v/>
      </c>
      <c r="P300" s="2" t="str">
        <f>IF($A300="","",SUMIFS(Trade_Reports!$U$3:$U$502,Trade_Reports!$H$3:$H$502,$A300,Trade_Reports!$M$3:$M$502,"APPROVED",Trade_Reports!$Q$3:$Q$502,"&lt;="&amp;Settings!$B$4))</f>
        <v/>
      </c>
      <c r="Q300" s="2" t="str">
        <f>IF($A300="","",SUMIFS(Trade_Reports!$U$3:$U$502,Trade_Reports!$H$3:$H$502,$A300,Trade_Reports!$M$3:$M$502,"APPROVED",Trade_Reports!$Q$3:$Q$502,"&lt;="&amp;Settings!$B$5))</f>
        <v/>
      </c>
      <c r="R300" s="2" t="str">
        <f>IF($A300="","",IF($Q300=0,"",IFERROR(_xludf.MINIFS(Trade_Reports!$I$3:$I$502,Trade_Reports!$H$3:$H$502,$A300,Trade_Reports!$M$3:$M$502,"APPROVED",Trade_Reports!$Q$3:$Q$502,"&lt;="&amp;Settings!$B$5,Trade_Reports!$X$3:$X$502,"&gt;="&amp;0.5*$Q300),"")))</f>
        <v/>
      </c>
      <c r="S300" s="2" t="str">
        <f>IF($A300="","",COUNTIFS(Trade_Reports!$H$3:$H$502,$A300,Trade_Reports!$M$3:$M$502,"APPROVED",Trade_Reports!$Q$3:$Q$502,"&lt;="&amp;Settings!$B$5))</f>
        <v/>
      </c>
      <c r="T300" s="2"/>
      <c r="U300" s="2"/>
      <c r="V300" s="21" t="str">
        <f>IF(OR($A300="",ISERROR(SEARCH("_",$A300))),"",IFERROR(SUMIFS(Trade_Reports!$Z$3:$Z$502,Trade_Reports!$H$3:$H$502,$A300,Trade_Reports!$M$3:$M$502,"APPROVED")/SUMIFS(Trade_Reports!$U$3:$U$502,Trade_Reports!$H$3:$H$502,$A300,Trade_Reports!$M$3:$M$502,"APPROVED"),""))</f>
        <v/>
      </c>
      <c r="W300" s="17" t="str">
        <f t="shared" si="3"/>
        <v/>
      </c>
      <c r="X300" s="2"/>
      <c r="Y300" s="2"/>
      <c r="Z300" s="2"/>
    </row>
    <row r="301" spans="1:26" ht="15.75" customHeight="1" x14ac:dyDescent="0.3">
      <c r="A301" s="15"/>
      <c r="B301" s="15"/>
      <c r="C301" s="16"/>
      <c r="D301" s="16"/>
      <c r="E301" s="16"/>
      <c r="F301" s="17" t="str">
        <f>IF($A301="","",IF($K301&lt;Settings!$B$14,"",IF($P301=0,"",IFERROR(_xludf.MINIFS(Trade_Reports!$I$3:$I$502,Trade_Reports!$H$3:$H$502,$A301,Trade_Reports!$M$3:$M$502,"APPROVED",Trade_Reports!$Q$3:$Q$502,"&lt;="&amp;Settings!$B$4,Trade_Reports!$W$3:$W$502,"&gt;="&amp;0.5*$P301),""))))</f>
        <v/>
      </c>
      <c r="G301" s="17" t="str">
        <f>IF($A301="","",IF($K301=0,"",IFERROR(_xludf.MINIFS(Trade_Reports!$I$3:$I$502,Trade_Reports!$H$3:$H$502,$A301,Trade_Reports!$M$3:$M$502,"APPROVED",Trade_Reports!$Q$3:$Q$502,"&lt;="&amp;Settings!$B$4),"")))</f>
        <v/>
      </c>
      <c r="H301" s="17" t="str">
        <f>IF($A301="","",IF($K301=0,"",IFERROR(_xludf.MAXIFS(Trade_Reports!$I$3:$I$502,Trade_Reports!$H$3:$H$502,$A301,Trade_Reports!$M$3:$M$502,"APPROVED",Trade_Reports!$Q$3:$Q$502,"&lt;="&amp;Settings!$B$4),"")))</f>
        <v/>
      </c>
      <c r="I301" s="17" t="str">
        <f>IF($A301="","",IF($F301="","",IF($Q301="","",IF(ABS($F301-$Q301)/$Q301&lt;=Settings!$B$18,"STABLE",IF($F301&gt;$Q301,"UP","DOWN")))))</f>
        <v/>
      </c>
      <c r="J301" s="18" t="str">
        <f>IF($A301="","",IF($K301=0,"",MIN(100,ROUND($K301/Settings!$B$14*100,0))))</f>
        <v/>
      </c>
      <c r="K301" s="17" t="str">
        <f>IF($A301="","",COUNTIFS(Trade_Reports!$H$3:$H$502,$A301,Trade_Reports!$M$3:$M$502,"APPROVED",Trade_Reports!$Q$3:$Q$502,"&lt;="&amp;Settings!$B$4))</f>
        <v/>
      </c>
      <c r="L301" s="19" t="str">
        <f>IF($A301="","",IF($K301=0,"",IFERROR(_xludf.MAXIFS(Trade_Reports!$O$3:$O$502,Trade_Reports!$H$3:$H$502,$A301,Trade_Reports!$M$3:$M$502,"APPROVED"),"")))</f>
        <v/>
      </c>
      <c r="M301" s="16" t="s">
        <v>46</v>
      </c>
      <c r="N301" s="15"/>
      <c r="O301" s="9" t="str">
        <f t="shared" si="2"/>
        <v/>
      </c>
      <c r="P301" s="2" t="str">
        <f>IF($A301="","",SUMIFS(Trade_Reports!$U$3:$U$502,Trade_Reports!$H$3:$H$502,$A301,Trade_Reports!$M$3:$M$502,"APPROVED",Trade_Reports!$Q$3:$Q$502,"&lt;="&amp;Settings!$B$4))</f>
        <v/>
      </c>
      <c r="Q301" s="2" t="str">
        <f>IF($A301="","",SUMIFS(Trade_Reports!$U$3:$U$502,Trade_Reports!$H$3:$H$502,$A301,Trade_Reports!$M$3:$M$502,"APPROVED",Trade_Reports!$Q$3:$Q$502,"&lt;="&amp;Settings!$B$5))</f>
        <v/>
      </c>
      <c r="R301" s="2" t="str">
        <f>IF($A301="","",IF($Q301=0,"",IFERROR(_xludf.MINIFS(Trade_Reports!$I$3:$I$502,Trade_Reports!$H$3:$H$502,$A301,Trade_Reports!$M$3:$M$502,"APPROVED",Trade_Reports!$Q$3:$Q$502,"&lt;="&amp;Settings!$B$5,Trade_Reports!$X$3:$X$502,"&gt;="&amp;0.5*$Q301),"")))</f>
        <v/>
      </c>
      <c r="S301" s="2" t="str">
        <f>IF($A301="","",COUNTIFS(Trade_Reports!$H$3:$H$502,$A301,Trade_Reports!$M$3:$M$502,"APPROVED",Trade_Reports!$Q$3:$Q$502,"&lt;="&amp;Settings!$B$5))</f>
        <v/>
      </c>
      <c r="T301" s="2"/>
      <c r="U301" s="2"/>
      <c r="V301" s="21" t="str">
        <f>IF(OR($A301="",ISERROR(SEARCH("_",$A301))),"",IFERROR(SUMIFS(Trade_Reports!$Z$3:$Z$502,Trade_Reports!$H$3:$H$502,$A301,Trade_Reports!$M$3:$M$502,"APPROVED")/SUMIFS(Trade_Reports!$U$3:$U$502,Trade_Reports!$H$3:$H$502,$A301,Trade_Reports!$M$3:$M$502,"APPROVED"),""))</f>
        <v/>
      </c>
      <c r="W301" s="17" t="str">
        <f t="shared" si="3"/>
        <v/>
      </c>
      <c r="X301" s="2"/>
      <c r="Y301" s="2"/>
      <c r="Z301" s="2"/>
    </row>
    <row r="302" spans="1:26" ht="15.75" customHeight="1" x14ac:dyDescent="0.3">
      <c r="A302" s="15"/>
      <c r="B302" s="15"/>
      <c r="C302" s="16"/>
      <c r="D302" s="16"/>
      <c r="E302" s="16"/>
      <c r="F302" s="17" t="str">
        <f>IF($A302="","",IF($K302&lt;Settings!$B$14,"",IF($P302=0,"",IFERROR(_xludf.MINIFS(Trade_Reports!$I$3:$I$502,Trade_Reports!$H$3:$H$502,$A302,Trade_Reports!$M$3:$M$502,"APPROVED",Trade_Reports!$Q$3:$Q$502,"&lt;="&amp;Settings!$B$4,Trade_Reports!$W$3:$W$502,"&gt;="&amp;0.5*$P302),""))))</f>
        <v/>
      </c>
      <c r="G302" s="17" t="str">
        <f>IF($A302="","",IF($K302=0,"",IFERROR(_xludf.MINIFS(Trade_Reports!$I$3:$I$502,Trade_Reports!$H$3:$H$502,$A302,Trade_Reports!$M$3:$M$502,"APPROVED",Trade_Reports!$Q$3:$Q$502,"&lt;="&amp;Settings!$B$4),"")))</f>
        <v/>
      </c>
      <c r="H302" s="17" t="str">
        <f>IF($A302="","",IF($K302=0,"",IFERROR(_xludf.MAXIFS(Trade_Reports!$I$3:$I$502,Trade_Reports!$H$3:$H$502,$A302,Trade_Reports!$M$3:$M$502,"APPROVED",Trade_Reports!$Q$3:$Q$502,"&lt;="&amp;Settings!$B$4),"")))</f>
        <v/>
      </c>
      <c r="I302" s="17" t="str">
        <f>IF($A302="","",IF($F302="","",IF($Q302="","",IF(ABS($F302-$Q302)/$Q302&lt;=Settings!$B$18,"STABLE",IF($F302&gt;$Q302,"UP","DOWN")))))</f>
        <v/>
      </c>
      <c r="J302" s="18" t="str">
        <f>IF($A302="","",IF($K302=0,"",MIN(100,ROUND($K302/Settings!$B$14*100,0))))</f>
        <v/>
      </c>
      <c r="K302" s="17" t="str">
        <f>IF($A302="","",COUNTIFS(Trade_Reports!$H$3:$H$502,$A302,Trade_Reports!$M$3:$M$502,"APPROVED",Trade_Reports!$Q$3:$Q$502,"&lt;="&amp;Settings!$B$4))</f>
        <v/>
      </c>
      <c r="L302" s="19" t="str">
        <f>IF($A302="","",IF($K302=0,"",IFERROR(_xludf.MAXIFS(Trade_Reports!$O$3:$O$502,Trade_Reports!$H$3:$H$502,$A302,Trade_Reports!$M$3:$M$502,"APPROVED"),"")))</f>
        <v/>
      </c>
      <c r="M302" s="16" t="s">
        <v>46</v>
      </c>
      <c r="N302" s="15"/>
      <c r="O302" s="9" t="str">
        <f t="shared" si="2"/>
        <v/>
      </c>
      <c r="P302" s="2" t="str">
        <f>IF($A302="","",SUMIFS(Trade_Reports!$U$3:$U$502,Trade_Reports!$H$3:$H$502,$A302,Trade_Reports!$M$3:$M$502,"APPROVED",Trade_Reports!$Q$3:$Q$502,"&lt;="&amp;Settings!$B$4))</f>
        <v/>
      </c>
      <c r="Q302" s="2" t="str">
        <f>IF($A302="","",SUMIFS(Trade_Reports!$U$3:$U$502,Trade_Reports!$H$3:$H$502,$A302,Trade_Reports!$M$3:$M$502,"APPROVED",Trade_Reports!$Q$3:$Q$502,"&lt;="&amp;Settings!$B$5))</f>
        <v/>
      </c>
      <c r="R302" s="2" t="str">
        <f>IF($A302="","",IF($Q302=0,"",IFERROR(_xludf.MINIFS(Trade_Reports!$I$3:$I$502,Trade_Reports!$H$3:$H$502,$A302,Trade_Reports!$M$3:$M$502,"APPROVED",Trade_Reports!$Q$3:$Q$502,"&lt;="&amp;Settings!$B$5,Trade_Reports!$X$3:$X$502,"&gt;="&amp;0.5*$Q302),"")))</f>
        <v/>
      </c>
      <c r="S302" s="2" t="str">
        <f>IF($A302="","",COUNTIFS(Trade_Reports!$H$3:$H$502,$A302,Trade_Reports!$M$3:$M$502,"APPROVED",Trade_Reports!$Q$3:$Q$502,"&lt;="&amp;Settings!$B$5))</f>
        <v/>
      </c>
      <c r="T302" s="2"/>
      <c r="U302" s="2"/>
      <c r="V302" s="21" t="str">
        <f>IF(OR($A302="",ISERROR(SEARCH("_",$A302))),"",IFERROR(SUMIFS(Trade_Reports!$Z$3:$Z$502,Trade_Reports!$H$3:$H$502,$A302,Trade_Reports!$M$3:$M$502,"APPROVED")/SUMIFS(Trade_Reports!$U$3:$U$502,Trade_Reports!$H$3:$H$502,$A302,Trade_Reports!$M$3:$M$502,"APPROVED"),""))</f>
        <v/>
      </c>
      <c r="W302" s="17" t="str">
        <f t="shared" si="3"/>
        <v/>
      </c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 t="str">
        <f t="shared" si="2"/>
        <v/>
      </c>
      <c r="P303" s="2"/>
      <c r="Q303" s="2"/>
      <c r="R303" s="2"/>
      <c r="S303" s="2"/>
      <c r="T303" s="2"/>
      <c r="U303" s="2"/>
      <c r="V303" s="26" t="str">
        <f>IF(OR($A303="",ISERROR(SEARCH("_",$A303))),"",IFERROR(SUMIFS(Trade_Reports!$Z$3:$Z$502,Trade_Reports!$H$3:$H$502,$A303,Trade_Reports!$M$3:$M$502,"APPROVED")/SUMIFS(Trade_Reports!$U$3:$U$502,Trade_Reports!$H$3:$H$502,$A303,Trade_Reports!$M$3:$M$502,"APPROVED"),""))</f>
        <v/>
      </c>
      <c r="W303" s="2" t="str">
        <f t="shared" si="3"/>
        <v/>
      </c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 t="str">
        <f t="shared" si="2"/>
        <v/>
      </c>
      <c r="P304" s="2"/>
      <c r="Q304" s="2"/>
      <c r="R304" s="2"/>
      <c r="S304" s="2"/>
      <c r="T304" s="2"/>
      <c r="U304" s="2"/>
      <c r="V304" s="26" t="str">
        <f>IF(OR($A304="",ISERROR(SEARCH("_",$A304))),"",IFERROR(SUMIFS(Trade_Reports!$Z$3:$Z$502,Trade_Reports!$H$3:$H$502,$A304,Trade_Reports!$M$3:$M$502,"APPROVED")/SUMIFS(Trade_Reports!$U$3:$U$502,Trade_Reports!$H$3:$H$502,$A304,Trade_Reports!$M$3:$M$502,"APPROVED"),""))</f>
        <v/>
      </c>
      <c r="W304" s="2" t="str">
        <f t="shared" si="3"/>
        <v/>
      </c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 t="str">
        <f t="shared" si="2"/>
        <v/>
      </c>
      <c r="P305" s="2"/>
      <c r="Q305" s="2"/>
      <c r="R305" s="2"/>
      <c r="S305" s="2"/>
      <c r="T305" s="2"/>
      <c r="U305" s="2"/>
      <c r="V305" s="26" t="str">
        <f>IF(OR($A305="",ISERROR(SEARCH("_",$A305))),"",IFERROR(SUMIFS(Trade_Reports!$Z$3:$Z$502,Trade_Reports!$H$3:$H$502,$A305,Trade_Reports!$M$3:$M$502,"APPROVED")/SUMIFS(Trade_Reports!$U$3:$U$502,Trade_Reports!$H$3:$H$502,$A305,Trade_Reports!$M$3:$M$502,"APPROVED"),""))</f>
        <v/>
      </c>
      <c r="W305" s="2" t="str">
        <f t="shared" si="3"/>
        <v/>
      </c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 t="str">
        <f t="shared" si="2"/>
        <v/>
      </c>
      <c r="P306" s="2"/>
      <c r="Q306" s="2"/>
      <c r="R306" s="2"/>
      <c r="S306" s="2"/>
      <c r="T306" s="2"/>
      <c r="U306" s="2"/>
      <c r="V306" s="26" t="str">
        <f>IF(OR($A306="",ISERROR(SEARCH("_",$A306))),"",IFERROR(SUMIFS(Trade_Reports!$Z$3:$Z$502,Trade_Reports!$H$3:$H$502,$A306,Trade_Reports!$M$3:$M$502,"APPROVED")/SUMIFS(Trade_Reports!$U$3:$U$502,Trade_Reports!$H$3:$H$502,$A306,Trade_Reports!$M$3:$M$502,"APPROVED"),""))</f>
        <v/>
      </c>
      <c r="W306" s="2" t="str">
        <f t="shared" si="3"/>
        <v/>
      </c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 t="str">
        <f t="shared" si="2"/>
        <v/>
      </c>
      <c r="P307" s="2"/>
      <c r="Q307" s="2"/>
      <c r="R307" s="2"/>
      <c r="S307" s="2"/>
      <c r="T307" s="2"/>
      <c r="U307" s="2"/>
      <c r="V307" s="26" t="str">
        <f>IF(OR($A307="",ISERROR(SEARCH("_",$A307))),"",IFERROR(SUMIFS(Trade_Reports!$Z$3:$Z$502,Trade_Reports!$H$3:$H$502,$A307,Trade_Reports!$M$3:$M$502,"APPROVED")/SUMIFS(Trade_Reports!$U$3:$U$502,Trade_Reports!$H$3:$H$502,$A307,Trade_Reports!$M$3:$M$502,"APPROVED"),""))</f>
        <v/>
      </c>
      <c r="W307" s="2" t="str">
        <f t="shared" si="3"/>
        <v/>
      </c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 t="str">
        <f t="shared" si="2"/>
        <v/>
      </c>
      <c r="P308" s="2"/>
      <c r="Q308" s="2"/>
      <c r="R308" s="2"/>
      <c r="S308" s="2"/>
      <c r="T308" s="2"/>
      <c r="U308" s="2"/>
      <c r="V308" s="26" t="str">
        <f>IF(OR($A308="",ISERROR(SEARCH("_",$A308))),"",IFERROR(SUMIFS(Trade_Reports!$Z$3:$Z$502,Trade_Reports!$H$3:$H$502,$A308,Trade_Reports!$M$3:$M$502,"APPROVED")/SUMIFS(Trade_Reports!$U$3:$U$502,Trade_Reports!$H$3:$H$502,$A308,Trade_Reports!$M$3:$M$502,"APPROVED"),""))</f>
        <v/>
      </c>
      <c r="W308" s="2" t="str">
        <f t="shared" si="3"/>
        <v/>
      </c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 t="str">
        <f t="shared" si="2"/>
        <v/>
      </c>
      <c r="P309" s="2"/>
      <c r="Q309" s="2"/>
      <c r="R309" s="2"/>
      <c r="S309" s="2"/>
      <c r="T309" s="2"/>
      <c r="U309" s="2"/>
      <c r="V309" s="26" t="str">
        <f>IF(OR($A309="",ISERROR(SEARCH("_",$A309))),"",IFERROR(SUMIFS(Trade_Reports!$Z$3:$Z$502,Trade_Reports!$H$3:$H$502,$A309,Trade_Reports!$M$3:$M$502,"APPROVED")/SUMIFS(Trade_Reports!$U$3:$U$502,Trade_Reports!$H$3:$H$502,$A309,Trade_Reports!$M$3:$M$502,"APPROVED"),""))</f>
        <v/>
      </c>
      <c r="W309" s="2" t="str">
        <f t="shared" si="3"/>
        <v/>
      </c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 t="str">
        <f t="shared" si="2"/>
        <v/>
      </c>
      <c r="P310" s="2"/>
      <c r="Q310" s="2"/>
      <c r="R310" s="2"/>
      <c r="S310" s="2"/>
      <c r="T310" s="2"/>
      <c r="U310" s="2"/>
      <c r="V310" s="26" t="str">
        <f>IF(OR($A310="",ISERROR(SEARCH("_",$A310))),"",IFERROR(SUMIFS(Trade_Reports!$Z$3:$Z$502,Trade_Reports!$H$3:$H$502,$A310,Trade_Reports!$M$3:$M$502,"APPROVED")/SUMIFS(Trade_Reports!$U$3:$U$502,Trade_Reports!$H$3:$H$502,$A310,Trade_Reports!$M$3:$M$502,"APPROVED"),""))</f>
        <v/>
      </c>
      <c r="W310" s="2" t="str">
        <f t="shared" si="3"/>
        <v/>
      </c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 t="str">
        <f t="shared" si="2"/>
        <v/>
      </c>
      <c r="P311" s="2"/>
      <c r="Q311" s="2"/>
      <c r="R311" s="2"/>
      <c r="S311" s="2"/>
      <c r="T311" s="2"/>
      <c r="U311" s="2"/>
      <c r="V311" s="26" t="str">
        <f>IF(OR($A311="",ISERROR(SEARCH("_",$A311))),"",IFERROR(SUMIFS(Trade_Reports!$Z$3:$Z$502,Trade_Reports!$H$3:$H$502,$A311,Trade_Reports!$M$3:$M$502,"APPROVED")/SUMIFS(Trade_Reports!$U$3:$U$502,Trade_Reports!$H$3:$H$502,$A311,Trade_Reports!$M$3:$M$502,"APPROVED"),""))</f>
        <v/>
      </c>
      <c r="W311" s="2" t="str">
        <f t="shared" si="3"/>
        <v/>
      </c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 t="str">
        <f t="shared" si="2"/>
        <v/>
      </c>
      <c r="P312" s="2"/>
      <c r="Q312" s="2"/>
      <c r="R312" s="2"/>
      <c r="S312" s="2"/>
      <c r="T312" s="2"/>
      <c r="U312" s="2"/>
      <c r="V312" s="26" t="str">
        <f>IF(OR($A312="",ISERROR(SEARCH("_",$A312))),"",IFERROR(SUMIFS(Trade_Reports!$Z$3:$Z$502,Trade_Reports!$H$3:$H$502,$A312,Trade_Reports!$M$3:$M$502,"APPROVED")/SUMIFS(Trade_Reports!$U$3:$U$502,Trade_Reports!$H$3:$H$502,$A312,Trade_Reports!$M$3:$M$502,"APPROVED"),""))</f>
        <v/>
      </c>
      <c r="W312" s="2" t="str">
        <f t="shared" si="3"/>
        <v/>
      </c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 t="str">
        <f t="shared" si="2"/>
        <v/>
      </c>
      <c r="P313" s="2"/>
      <c r="Q313" s="2"/>
      <c r="R313" s="2"/>
      <c r="S313" s="2"/>
      <c r="T313" s="2"/>
      <c r="U313" s="2"/>
      <c r="V313" s="26" t="str">
        <f>IF(OR($A313="",ISERROR(SEARCH("_",$A313))),"",IFERROR(SUMIFS(Trade_Reports!$Z$3:$Z$502,Trade_Reports!$H$3:$H$502,$A313,Trade_Reports!$M$3:$M$502,"APPROVED")/SUMIFS(Trade_Reports!$U$3:$U$502,Trade_Reports!$H$3:$H$502,$A313,Trade_Reports!$M$3:$M$502,"APPROVED"),""))</f>
        <v/>
      </c>
      <c r="W313" s="2" t="str">
        <f t="shared" si="3"/>
        <v/>
      </c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 t="str">
        <f t="shared" si="2"/>
        <v/>
      </c>
      <c r="P314" s="2"/>
      <c r="Q314" s="2"/>
      <c r="R314" s="2"/>
      <c r="S314" s="2"/>
      <c r="T314" s="2"/>
      <c r="U314" s="2"/>
      <c r="V314" s="26" t="str">
        <f>IF(OR($A314="",ISERROR(SEARCH("_",$A314))),"",IFERROR(SUMIFS(Trade_Reports!$Z$3:$Z$502,Trade_Reports!$H$3:$H$502,$A314,Trade_Reports!$M$3:$M$502,"APPROVED")/SUMIFS(Trade_Reports!$U$3:$U$502,Trade_Reports!$H$3:$H$502,$A314,Trade_Reports!$M$3:$M$502,"APPROVED"),""))</f>
        <v/>
      </c>
      <c r="W314" s="2" t="str">
        <f t="shared" si="3"/>
        <v/>
      </c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 t="str">
        <f t="shared" si="2"/>
        <v/>
      </c>
      <c r="P315" s="2"/>
      <c r="Q315" s="2"/>
      <c r="R315" s="2"/>
      <c r="S315" s="2"/>
      <c r="T315" s="2"/>
      <c r="U315" s="2"/>
      <c r="V315" s="26" t="str">
        <f>IF(OR($A315="",ISERROR(SEARCH("_",$A315))),"",IFERROR(SUMIFS(Trade_Reports!$Z$3:$Z$502,Trade_Reports!$H$3:$H$502,$A315,Trade_Reports!$M$3:$M$502,"APPROVED")/SUMIFS(Trade_Reports!$U$3:$U$502,Trade_Reports!$H$3:$H$502,$A315,Trade_Reports!$M$3:$M$502,"APPROVED"),""))</f>
        <v/>
      </c>
      <c r="W315" s="2" t="str">
        <f t="shared" si="3"/>
        <v/>
      </c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 t="str">
        <f t="shared" si="2"/>
        <v/>
      </c>
      <c r="P316" s="2"/>
      <c r="Q316" s="2"/>
      <c r="R316" s="2"/>
      <c r="S316" s="2"/>
      <c r="T316" s="2"/>
      <c r="U316" s="2"/>
      <c r="V316" s="26" t="str">
        <f>IF(OR($A316="",ISERROR(SEARCH("_",$A316))),"",IFERROR(SUMIFS(Trade_Reports!$Z$3:$Z$502,Trade_Reports!$H$3:$H$502,$A316,Trade_Reports!$M$3:$M$502,"APPROVED")/SUMIFS(Trade_Reports!$U$3:$U$502,Trade_Reports!$H$3:$H$502,$A316,Trade_Reports!$M$3:$M$502,"APPROVED"),""))</f>
        <v/>
      </c>
      <c r="W316" s="2" t="str">
        <f t="shared" si="3"/>
        <v/>
      </c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 t="str">
        <f t="shared" si="2"/>
        <v/>
      </c>
      <c r="P317" s="2"/>
      <c r="Q317" s="2"/>
      <c r="R317" s="2"/>
      <c r="S317" s="2"/>
      <c r="T317" s="2"/>
      <c r="U317" s="2"/>
      <c r="V317" s="26" t="str">
        <f>IF(OR($A317="",ISERROR(SEARCH("_",$A317))),"",IFERROR(SUMIFS(Trade_Reports!$Z$3:$Z$502,Trade_Reports!$H$3:$H$502,$A317,Trade_Reports!$M$3:$M$502,"APPROVED")/SUMIFS(Trade_Reports!$U$3:$U$502,Trade_Reports!$H$3:$H$502,$A317,Trade_Reports!$M$3:$M$502,"APPROVED"),""))</f>
        <v/>
      </c>
      <c r="W317" s="2" t="str">
        <f t="shared" si="3"/>
        <v/>
      </c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 t="str">
        <f t="shared" si="2"/>
        <v/>
      </c>
      <c r="P318" s="2"/>
      <c r="Q318" s="2"/>
      <c r="R318" s="2"/>
      <c r="S318" s="2"/>
      <c r="T318" s="2"/>
      <c r="U318" s="2"/>
      <c r="V318" s="26" t="str">
        <f>IF(OR($A318="",ISERROR(SEARCH("_",$A318))),"",IFERROR(SUMIFS(Trade_Reports!$Z$3:$Z$502,Trade_Reports!$H$3:$H$502,$A318,Trade_Reports!$M$3:$M$502,"APPROVED")/SUMIFS(Trade_Reports!$U$3:$U$502,Trade_Reports!$H$3:$H$502,$A318,Trade_Reports!$M$3:$M$502,"APPROVED"),""))</f>
        <v/>
      </c>
      <c r="W318" s="2" t="str">
        <f t="shared" si="3"/>
        <v/>
      </c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 t="str">
        <f t="shared" si="2"/>
        <v/>
      </c>
      <c r="P319" s="2"/>
      <c r="Q319" s="2"/>
      <c r="R319" s="2"/>
      <c r="S319" s="2"/>
      <c r="T319" s="2"/>
      <c r="U319" s="2"/>
      <c r="V319" s="26" t="str">
        <f>IF(OR($A319="",ISERROR(SEARCH("_",$A319))),"",IFERROR(SUMIFS(Trade_Reports!$Z$3:$Z$502,Trade_Reports!$H$3:$H$502,$A319,Trade_Reports!$M$3:$M$502,"APPROVED")/SUMIFS(Trade_Reports!$U$3:$U$502,Trade_Reports!$H$3:$H$502,$A319,Trade_Reports!$M$3:$M$502,"APPROVED"),""))</f>
        <v/>
      </c>
      <c r="W319" s="2" t="str">
        <f t="shared" si="3"/>
        <v/>
      </c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 t="str">
        <f t="shared" si="2"/>
        <v/>
      </c>
      <c r="P320" s="2"/>
      <c r="Q320" s="2"/>
      <c r="R320" s="2"/>
      <c r="S320" s="2"/>
      <c r="T320" s="2"/>
      <c r="U320" s="2"/>
      <c r="V320" s="26" t="str">
        <f>IF(OR($A320="",ISERROR(SEARCH("_",$A320))),"",IFERROR(SUMIFS(Trade_Reports!$Z$3:$Z$502,Trade_Reports!$H$3:$H$502,$A320,Trade_Reports!$M$3:$M$502,"APPROVED")/SUMIFS(Trade_Reports!$U$3:$U$502,Trade_Reports!$H$3:$H$502,$A320,Trade_Reports!$M$3:$M$502,"APPROVED"),""))</f>
        <v/>
      </c>
      <c r="W320" s="2" t="str">
        <f t="shared" si="3"/>
        <v/>
      </c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 t="str">
        <f t="shared" si="2"/>
        <v/>
      </c>
      <c r="P321" s="2"/>
      <c r="Q321" s="2"/>
      <c r="R321" s="2"/>
      <c r="S321" s="2"/>
      <c r="T321" s="2"/>
      <c r="U321" s="2"/>
      <c r="V321" s="26" t="str">
        <f>IF(OR($A321="",ISERROR(SEARCH("_",$A321))),"",IFERROR(SUMIFS(Trade_Reports!$Z$3:$Z$502,Trade_Reports!$H$3:$H$502,$A321,Trade_Reports!$M$3:$M$502,"APPROVED")/SUMIFS(Trade_Reports!$U$3:$U$502,Trade_Reports!$H$3:$H$502,$A321,Trade_Reports!$M$3:$M$502,"APPROVED"),""))</f>
        <v/>
      </c>
      <c r="W321" s="2" t="str">
        <f t="shared" si="3"/>
        <v/>
      </c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 t="str">
        <f t="shared" si="2"/>
        <v/>
      </c>
      <c r="P322" s="2"/>
      <c r="Q322" s="2"/>
      <c r="R322" s="2"/>
      <c r="S322" s="2"/>
      <c r="T322" s="2"/>
      <c r="U322" s="2"/>
      <c r="V322" s="26" t="str">
        <f>IF(OR($A322="",ISERROR(SEARCH("_",$A322))),"",IFERROR(SUMIFS(Trade_Reports!$Z$3:$Z$502,Trade_Reports!$H$3:$H$502,$A322,Trade_Reports!$M$3:$M$502,"APPROVED")/SUMIFS(Trade_Reports!$U$3:$U$502,Trade_Reports!$H$3:$H$502,$A322,Trade_Reports!$M$3:$M$502,"APPROVED"),""))</f>
        <v/>
      </c>
      <c r="W322" s="2" t="str">
        <f t="shared" si="3"/>
        <v/>
      </c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 t="str">
        <f t="shared" si="2"/>
        <v/>
      </c>
      <c r="P323" s="2"/>
      <c r="Q323" s="2"/>
      <c r="R323" s="2"/>
      <c r="S323" s="2"/>
      <c r="T323" s="2"/>
      <c r="U323" s="2"/>
      <c r="V323" s="26" t="str">
        <f>IF(OR($A323="",ISERROR(SEARCH("_",$A323))),"",IFERROR(SUMIFS(Trade_Reports!$Z$3:$Z$502,Trade_Reports!$H$3:$H$502,$A323,Trade_Reports!$M$3:$M$502,"APPROVED")/SUMIFS(Trade_Reports!$U$3:$U$502,Trade_Reports!$H$3:$H$502,$A323,Trade_Reports!$M$3:$M$502,"APPROVED"),""))</f>
        <v/>
      </c>
      <c r="W323" s="2" t="str">
        <f t="shared" si="3"/>
        <v/>
      </c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 t="str">
        <f t="shared" si="2"/>
        <v/>
      </c>
      <c r="P324" s="2"/>
      <c r="Q324" s="2"/>
      <c r="R324" s="2"/>
      <c r="S324" s="2"/>
      <c r="T324" s="2"/>
      <c r="U324" s="2"/>
      <c r="V324" s="26" t="str">
        <f>IF(OR($A324="",ISERROR(SEARCH("_",$A324))),"",IFERROR(SUMIFS(Trade_Reports!$Z$3:$Z$502,Trade_Reports!$H$3:$H$502,$A324,Trade_Reports!$M$3:$M$502,"APPROVED")/SUMIFS(Trade_Reports!$U$3:$U$502,Trade_Reports!$H$3:$H$502,$A324,Trade_Reports!$M$3:$M$502,"APPROVED"),""))</f>
        <v/>
      </c>
      <c r="W324" s="2" t="str">
        <f t="shared" si="3"/>
        <v/>
      </c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 t="str">
        <f t="shared" si="2"/>
        <v/>
      </c>
      <c r="P325" s="2"/>
      <c r="Q325" s="2"/>
      <c r="R325" s="2"/>
      <c r="S325" s="2"/>
      <c r="T325" s="2"/>
      <c r="U325" s="2"/>
      <c r="V325" s="26" t="str">
        <f>IF(OR($A325="",ISERROR(SEARCH("_",$A325))),"",IFERROR(SUMIFS(Trade_Reports!$Z$3:$Z$502,Trade_Reports!$H$3:$H$502,$A325,Trade_Reports!$M$3:$M$502,"APPROVED")/SUMIFS(Trade_Reports!$U$3:$U$502,Trade_Reports!$H$3:$H$502,$A325,Trade_Reports!$M$3:$M$502,"APPROVED"),""))</f>
        <v/>
      </c>
      <c r="W325" s="2" t="str">
        <f t="shared" si="3"/>
        <v/>
      </c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 t="str">
        <f t="shared" si="2"/>
        <v/>
      </c>
      <c r="P326" s="2"/>
      <c r="Q326" s="2"/>
      <c r="R326" s="2"/>
      <c r="S326" s="2"/>
      <c r="T326" s="2"/>
      <c r="U326" s="2"/>
      <c r="V326" s="26" t="str">
        <f>IF(OR($A326="",ISERROR(SEARCH("_",$A326))),"",IFERROR(SUMIFS(Trade_Reports!$Z$3:$Z$502,Trade_Reports!$H$3:$H$502,$A326,Trade_Reports!$M$3:$M$502,"APPROVED")/SUMIFS(Trade_Reports!$U$3:$U$502,Trade_Reports!$H$3:$H$502,$A326,Trade_Reports!$M$3:$M$502,"APPROVED"),""))</f>
        <v/>
      </c>
      <c r="W326" s="2" t="str">
        <f t="shared" si="3"/>
        <v/>
      </c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 t="str">
        <f t="shared" si="2"/>
        <v/>
      </c>
      <c r="P327" s="2"/>
      <c r="Q327" s="2"/>
      <c r="R327" s="2"/>
      <c r="S327" s="2"/>
      <c r="T327" s="2"/>
      <c r="U327" s="2"/>
      <c r="V327" s="26" t="str">
        <f>IF(OR($A327="",ISERROR(SEARCH("_",$A327))),"",IFERROR(SUMIFS(Trade_Reports!$Z$3:$Z$502,Trade_Reports!$H$3:$H$502,$A327,Trade_Reports!$M$3:$M$502,"APPROVED")/SUMIFS(Trade_Reports!$U$3:$U$502,Trade_Reports!$H$3:$H$502,$A327,Trade_Reports!$M$3:$M$502,"APPROVED"),""))</f>
        <v/>
      </c>
      <c r="W327" s="2" t="str">
        <f t="shared" si="3"/>
        <v/>
      </c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 t="str">
        <f t="shared" si="2"/>
        <v/>
      </c>
      <c r="P328" s="2"/>
      <c r="Q328" s="2"/>
      <c r="R328" s="2"/>
      <c r="S328" s="2"/>
      <c r="T328" s="2"/>
      <c r="U328" s="2"/>
      <c r="V328" s="26" t="str">
        <f>IF(OR($A328="",ISERROR(SEARCH("_",$A328))),"",IFERROR(SUMIFS(Trade_Reports!$Z$3:$Z$502,Trade_Reports!$H$3:$H$502,$A328,Trade_Reports!$M$3:$M$502,"APPROVED")/SUMIFS(Trade_Reports!$U$3:$U$502,Trade_Reports!$H$3:$H$502,$A328,Trade_Reports!$M$3:$M$502,"APPROVED"),""))</f>
        <v/>
      </c>
      <c r="W328" s="2" t="str">
        <f t="shared" si="3"/>
        <v/>
      </c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 t="str">
        <f t="shared" si="2"/>
        <v/>
      </c>
      <c r="P329" s="2"/>
      <c r="Q329" s="2"/>
      <c r="R329" s="2"/>
      <c r="S329" s="2"/>
      <c r="T329" s="2"/>
      <c r="U329" s="2"/>
      <c r="V329" s="26" t="str">
        <f>IF(OR($A329="",ISERROR(SEARCH("_",$A329))),"",IFERROR(SUMIFS(Trade_Reports!$Z$3:$Z$502,Trade_Reports!$H$3:$H$502,$A329,Trade_Reports!$M$3:$M$502,"APPROVED")/SUMIFS(Trade_Reports!$U$3:$U$502,Trade_Reports!$H$3:$H$502,$A329,Trade_Reports!$M$3:$M$502,"APPROVED"),""))</f>
        <v/>
      </c>
      <c r="W329" s="2" t="str">
        <f t="shared" si="3"/>
        <v/>
      </c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 t="str">
        <f t="shared" si="2"/>
        <v/>
      </c>
      <c r="P330" s="2"/>
      <c r="Q330" s="2"/>
      <c r="R330" s="2"/>
      <c r="S330" s="2"/>
      <c r="T330" s="2"/>
      <c r="U330" s="2"/>
      <c r="V330" s="26" t="str">
        <f>IF(OR($A330="",ISERROR(SEARCH("_",$A330))),"",IFERROR(SUMIFS(Trade_Reports!$Z$3:$Z$502,Trade_Reports!$H$3:$H$502,$A330,Trade_Reports!$M$3:$M$502,"APPROVED")/SUMIFS(Trade_Reports!$U$3:$U$502,Trade_Reports!$H$3:$H$502,$A330,Trade_Reports!$M$3:$M$502,"APPROVED"),""))</f>
        <v/>
      </c>
      <c r="W330" s="2" t="str">
        <f t="shared" si="3"/>
        <v/>
      </c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 t="str">
        <f t="shared" si="2"/>
        <v/>
      </c>
      <c r="P331" s="2"/>
      <c r="Q331" s="2"/>
      <c r="R331" s="2"/>
      <c r="S331" s="2"/>
      <c r="T331" s="2"/>
      <c r="U331" s="2"/>
      <c r="V331" s="26" t="str">
        <f>IF(OR($A331="",ISERROR(SEARCH("_",$A331))),"",IFERROR(SUMIFS(Trade_Reports!$Z$3:$Z$502,Trade_Reports!$H$3:$H$502,$A331,Trade_Reports!$M$3:$M$502,"APPROVED")/SUMIFS(Trade_Reports!$U$3:$U$502,Trade_Reports!$H$3:$H$502,$A331,Trade_Reports!$M$3:$M$502,"APPROVED"),""))</f>
        <v/>
      </c>
      <c r="W331" s="2" t="str">
        <f t="shared" si="3"/>
        <v/>
      </c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 t="str">
        <f t="shared" si="2"/>
        <v/>
      </c>
      <c r="P332" s="2"/>
      <c r="Q332" s="2"/>
      <c r="R332" s="2"/>
      <c r="S332" s="2"/>
      <c r="T332" s="2"/>
      <c r="U332" s="2"/>
      <c r="V332" s="26" t="str">
        <f>IF(OR($A332="",ISERROR(SEARCH("_",$A332))),"",IFERROR(SUMIFS(Trade_Reports!$Z$3:$Z$502,Trade_Reports!$H$3:$H$502,$A332,Trade_Reports!$M$3:$M$502,"APPROVED")/SUMIFS(Trade_Reports!$U$3:$U$502,Trade_Reports!$H$3:$H$502,$A332,Trade_Reports!$M$3:$M$502,"APPROVED"),""))</f>
        <v/>
      </c>
      <c r="W332" s="2" t="str">
        <f t="shared" si="3"/>
        <v/>
      </c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 t="str">
        <f t="shared" si="2"/>
        <v/>
      </c>
      <c r="P333" s="2"/>
      <c r="Q333" s="2"/>
      <c r="R333" s="2"/>
      <c r="S333" s="2"/>
      <c r="T333" s="2"/>
      <c r="U333" s="2"/>
      <c r="V333" s="26" t="str">
        <f>IF(OR($A333="",ISERROR(SEARCH("_",$A333))),"",IFERROR(SUMIFS(Trade_Reports!$Z$3:$Z$502,Trade_Reports!$H$3:$H$502,$A333,Trade_Reports!$M$3:$M$502,"APPROVED")/SUMIFS(Trade_Reports!$U$3:$U$502,Trade_Reports!$H$3:$H$502,$A333,Trade_Reports!$M$3:$M$502,"APPROVED"),""))</f>
        <v/>
      </c>
      <c r="W333" s="2" t="str">
        <f t="shared" si="3"/>
        <v/>
      </c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 t="str">
        <f t="shared" si="2"/>
        <v/>
      </c>
      <c r="P334" s="2"/>
      <c r="Q334" s="2"/>
      <c r="R334" s="2"/>
      <c r="S334" s="2"/>
      <c r="T334" s="2"/>
      <c r="U334" s="2"/>
      <c r="V334" s="26" t="str">
        <f>IF(OR($A334="",ISERROR(SEARCH("_",$A334))),"",IFERROR(SUMIFS(Trade_Reports!$Z$3:$Z$502,Trade_Reports!$H$3:$H$502,$A334,Trade_Reports!$M$3:$M$502,"APPROVED")/SUMIFS(Trade_Reports!$U$3:$U$502,Trade_Reports!$H$3:$H$502,$A334,Trade_Reports!$M$3:$M$502,"APPROVED"),""))</f>
        <v/>
      </c>
      <c r="W334" s="2" t="str">
        <f t="shared" si="3"/>
        <v/>
      </c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 t="str">
        <f t="shared" si="2"/>
        <v/>
      </c>
      <c r="P335" s="2"/>
      <c r="Q335" s="2"/>
      <c r="R335" s="2"/>
      <c r="S335" s="2"/>
      <c r="T335" s="2"/>
      <c r="U335" s="2"/>
      <c r="V335" s="26" t="str">
        <f>IF(OR($A335="",ISERROR(SEARCH("_",$A335))),"",IFERROR(SUMIFS(Trade_Reports!$Z$3:$Z$502,Trade_Reports!$H$3:$H$502,$A335,Trade_Reports!$M$3:$M$502,"APPROVED")/SUMIFS(Trade_Reports!$U$3:$U$502,Trade_Reports!$H$3:$H$502,$A335,Trade_Reports!$M$3:$M$502,"APPROVED"),""))</f>
        <v/>
      </c>
      <c r="W335" s="2" t="str">
        <f t="shared" si="3"/>
        <v/>
      </c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 t="str">
        <f t="shared" si="2"/>
        <v/>
      </c>
      <c r="P336" s="2"/>
      <c r="Q336" s="2"/>
      <c r="R336" s="2"/>
      <c r="S336" s="2"/>
      <c r="T336" s="2"/>
      <c r="U336" s="2"/>
      <c r="V336" s="26" t="str">
        <f>IF(OR($A336="",ISERROR(SEARCH("_",$A336))),"",IFERROR(SUMIFS(Trade_Reports!$Z$3:$Z$502,Trade_Reports!$H$3:$H$502,$A336,Trade_Reports!$M$3:$M$502,"APPROVED")/SUMIFS(Trade_Reports!$U$3:$U$502,Trade_Reports!$H$3:$H$502,$A336,Trade_Reports!$M$3:$M$502,"APPROVED"),""))</f>
        <v/>
      </c>
      <c r="W336" s="2" t="str">
        <f t="shared" si="3"/>
        <v/>
      </c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 t="str">
        <f t="shared" si="2"/>
        <v/>
      </c>
      <c r="P337" s="2"/>
      <c r="Q337" s="2"/>
      <c r="R337" s="2"/>
      <c r="S337" s="2"/>
      <c r="T337" s="2"/>
      <c r="U337" s="2"/>
      <c r="V337" s="26" t="str">
        <f>IF(OR($A337="",ISERROR(SEARCH("_",$A337))),"",IFERROR(SUMIFS(Trade_Reports!$Z$3:$Z$502,Trade_Reports!$H$3:$H$502,$A337,Trade_Reports!$M$3:$M$502,"APPROVED")/SUMIFS(Trade_Reports!$U$3:$U$502,Trade_Reports!$H$3:$H$502,$A337,Trade_Reports!$M$3:$M$502,"APPROVED"),""))</f>
        <v/>
      </c>
      <c r="W337" s="2" t="str">
        <f t="shared" si="3"/>
        <v/>
      </c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 t="str">
        <f t="shared" si="2"/>
        <v/>
      </c>
      <c r="P338" s="2"/>
      <c r="Q338" s="2"/>
      <c r="R338" s="2"/>
      <c r="S338" s="2"/>
      <c r="T338" s="2"/>
      <c r="U338" s="2"/>
      <c r="V338" s="26" t="str">
        <f>IF(OR($A338="",ISERROR(SEARCH("_",$A338))),"",IFERROR(SUMIFS(Trade_Reports!$Z$3:$Z$502,Trade_Reports!$H$3:$H$502,$A338,Trade_Reports!$M$3:$M$502,"APPROVED")/SUMIFS(Trade_Reports!$U$3:$U$502,Trade_Reports!$H$3:$H$502,$A338,Trade_Reports!$M$3:$M$502,"APPROVED"),""))</f>
        <v/>
      </c>
      <c r="W338" s="2" t="str">
        <f t="shared" si="3"/>
        <v/>
      </c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 t="str">
        <f t="shared" si="2"/>
        <v/>
      </c>
      <c r="P339" s="2"/>
      <c r="Q339" s="2"/>
      <c r="R339" s="2"/>
      <c r="S339" s="2"/>
      <c r="T339" s="2"/>
      <c r="U339" s="2"/>
      <c r="V339" s="26" t="str">
        <f>IF(OR($A339="",ISERROR(SEARCH("_",$A339))),"",IFERROR(SUMIFS(Trade_Reports!$Z$3:$Z$502,Trade_Reports!$H$3:$H$502,$A339,Trade_Reports!$M$3:$M$502,"APPROVED")/SUMIFS(Trade_Reports!$U$3:$U$502,Trade_Reports!$H$3:$H$502,$A339,Trade_Reports!$M$3:$M$502,"APPROVED"),""))</f>
        <v/>
      </c>
      <c r="W339" s="2" t="str">
        <f t="shared" si="3"/>
        <v/>
      </c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 t="str">
        <f t="shared" si="2"/>
        <v/>
      </c>
      <c r="P340" s="2"/>
      <c r="Q340" s="2"/>
      <c r="R340" s="2"/>
      <c r="S340" s="2"/>
      <c r="T340" s="2"/>
      <c r="U340" s="2"/>
      <c r="V340" s="26" t="str">
        <f>IF(OR($A340="",ISERROR(SEARCH("_",$A340))),"",IFERROR(SUMIFS(Trade_Reports!$Z$3:$Z$502,Trade_Reports!$H$3:$H$502,$A340,Trade_Reports!$M$3:$M$502,"APPROVED")/SUMIFS(Trade_Reports!$U$3:$U$502,Trade_Reports!$H$3:$H$502,$A340,Trade_Reports!$M$3:$M$502,"APPROVED"),""))</f>
        <v/>
      </c>
      <c r="W340" s="2" t="str">
        <f t="shared" si="3"/>
        <v/>
      </c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 t="str">
        <f t="shared" si="2"/>
        <v/>
      </c>
      <c r="P341" s="2"/>
      <c r="Q341" s="2"/>
      <c r="R341" s="2"/>
      <c r="S341" s="2"/>
      <c r="T341" s="2"/>
      <c r="U341" s="2"/>
      <c r="V341" s="26" t="str">
        <f>IF(OR($A341="",ISERROR(SEARCH("_",$A341))),"",IFERROR(SUMIFS(Trade_Reports!$Z$3:$Z$502,Trade_Reports!$H$3:$H$502,$A341,Trade_Reports!$M$3:$M$502,"APPROVED")/SUMIFS(Trade_Reports!$U$3:$U$502,Trade_Reports!$H$3:$H$502,$A341,Trade_Reports!$M$3:$M$502,"APPROVED"),""))</f>
        <v/>
      </c>
      <c r="W341" s="2" t="str">
        <f t="shared" si="3"/>
        <v/>
      </c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 t="str">
        <f t="shared" si="2"/>
        <v/>
      </c>
      <c r="P342" s="2"/>
      <c r="Q342" s="2"/>
      <c r="R342" s="2"/>
      <c r="S342" s="2"/>
      <c r="T342" s="2"/>
      <c r="U342" s="2"/>
      <c r="V342" s="26" t="str">
        <f>IF(OR($A342="",ISERROR(SEARCH("_",$A342))),"",IFERROR(SUMIFS(Trade_Reports!$Z$3:$Z$502,Trade_Reports!$H$3:$H$502,$A342,Trade_Reports!$M$3:$M$502,"APPROVED")/SUMIFS(Trade_Reports!$U$3:$U$502,Trade_Reports!$H$3:$H$502,$A342,Trade_Reports!$M$3:$M$502,"APPROVED"),""))</f>
        <v/>
      </c>
      <c r="W342" s="2" t="str">
        <f t="shared" si="3"/>
        <v/>
      </c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 t="str">
        <f t="shared" si="2"/>
        <v/>
      </c>
      <c r="P343" s="2"/>
      <c r="Q343" s="2"/>
      <c r="R343" s="2"/>
      <c r="S343" s="2"/>
      <c r="T343" s="2"/>
      <c r="U343" s="2"/>
      <c r="V343" s="26" t="str">
        <f>IF(OR($A343="",ISERROR(SEARCH("_",$A343))),"",IFERROR(SUMIFS(Trade_Reports!$Z$3:$Z$502,Trade_Reports!$H$3:$H$502,$A343,Trade_Reports!$M$3:$M$502,"APPROVED")/SUMIFS(Trade_Reports!$U$3:$U$502,Trade_Reports!$H$3:$H$502,$A343,Trade_Reports!$M$3:$M$502,"APPROVED"),""))</f>
        <v/>
      </c>
      <c r="W343" s="2" t="str">
        <f t="shared" si="3"/>
        <v/>
      </c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 t="str">
        <f t="shared" si="2"/>
        <v/>
      </c>
      <c r="P344" s="2"/>
      <c r="Q344" s="2"/>
      <c r="R344" s="2"/>
      <c r="S344" s="2"/>
      <c r="T344" s="2"/>
      <c r="U344" s="2"/>
      <c r="V344" s="26" t="str">
        <f>IF(OR($A344="",ISERROR(SEARCH("_",$A344))),"",IFERROR(SUMIFS(Trade_Reports!$Z$3:$Z$502,Trade_Reports!$H$3:$H$502,$A344,Trade_Reports!$M$3:$M$502,"APPROVED")/SUMIFS(Trade_Reports!$U$3:$U$502,Trade_Reports!$H$3:$H$502,$A344,Trade_Reports!$M$3:$M$502,"APPROVED"),""))</f>
        <v/>
      </c>
      <c r="W344" s="2" t="str">
        <f t="shared" si="3"/>
        <v/>
      </c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 t="str">
        <f t="shared" si="2"/>
        <v/>
      </c>
      <c r="P345" s="2"/>
      <c r="Q345" s="2"/>
      <c r="R345" s="2"/>
      <c r="S345" s="2"/>
      <c r="T345" s="2"/>
      <c r="U345" s="2"/>
      <c r="V345" s="26" t="str">
        <f>IF(OR($A345="",ISERROR(SEARCH("_",$A345))),"",IFERROR(SUMIFS(Trade_Reports!$Z$3:$Z$502,Trade_Reports!$H$3:$H$502,$A345,Trade_Reports!$M$3:$M$502,"APPROVED")/SUMIFS(Trade_Reports!$U$3:$U$502,Trade_Reports!$H$3:$H$502,$A345,Trade_Reports!$M$3:$M$502,"APPROVED"),""))</f>
        <v/>
      </c>
      <c r="W345" s="2" t="str">
        <f t="shared" si="3"/>
        <v/>
      </c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 t="str">
        <f t="shared" si="2"/>
        <v/>
      </c>
      <c r="P346" s="2"/>
      <c r="Q346" s="2"/>
      <c r="R346" s="2"/>
      <c r="S346" s="2"/>
      <c r="T346" s="2"/>
      <c r="U346" s="2"/>
      <c r="V346" s="26" t="str">
        <f>IF(OR($A346="",ISERROR(SEARCH("_",$A346))),"",IFERROR(SUMIFS(Trade_Reports!$Z$3:$Z$502,Trade_Reports!$H$3:$H$502,$A346,Trade_Reports!$M$3:$M$502,"APPROVED")/SUMIFS(Trade_Reports!$U$3:$U$502,Trade_Reports!$H$3:$H$502,$A346,Trade_Reports!$M$3:$M$502,"APPROVED"),""))</f>
        <v/>
      </c>
      <c r="W346" s="2" t="str">
        <f t="shared" si="3"/>
        <v/>
      </c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 t="str">
        <f t="shared" si="2"/>
        <v/>
      </c>
      <c r="P347" s="2"/>
      <c r="Q347" s="2"/>
      <c r="R347" s="2"/>
      <c r="S347" s="2"/>
      <c r="T347" s="2"/>
      <c r="U347" s="2"/>
      <c r="V347" s="26" t="str">
        <f>IF(OR($A347="",ISERROR(SEARCH("_",$A347))),"",IFERROR(SUMIFS(Trade_Reports!$Z$3:$Z$502,Trade_Reports!$H$3:$H$502,$A347,Trade_Reports!$M$3:$M$502,"APPROVED")/SUMIFS(Trade_Reports!$U$3:$U$502,Trade_Reports!$H$3:$H$502,$A347,Trade_Reports!$M$3:$M$502,"APPROVED"),""))</f>
        <v/>
      </c>
      <c r="W347" s="2" t="str">
        <f t="shared" si="3"/>
        <v/>
      </c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 t="str">
        <f t="shared" si="2"/>
        <v/>
      </c>
      <c r="P348" s="2"/>
      <c r="Q348" s="2"/>
      <c r="R348" s="2"/>
      <c r="S348" s="2"/>
      <c r="T348" s="2"/>
      <c r="U348" s="2"/>
      <c r="V348" s="26" t="str">
        <f>IF(OR($A348="",ISERROR(SEARCH("_",$A348))),"",IFERROR(SUMIFS(Trade_Reports!$Z$3:$Z$502,Trade_Reports!$H$3:$H$502,$A348,Trade_Reports!$M$3:$M$502,"APPROVED")/SUMIFS(Trade_Reports!$U$3:$U$502,Trade_Reports!$H$3:$H$502,$A348,Trade_Reports!$M$3:$M$502,"APPROVED"),""))</f>
        <v/>
      </c>
      <c r="W348" s="2" t="str">
        <f t="shared" si="3"/>
        <v/>
      </c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 t="str">
        <f t="shared" si="2"/>
        <v/>
      </c>
      <c r="P349" s="2"/>
      <c r="Q349" s="2"/>
      <c r="R349" s="2"/>
      <c r="S349" s="2"/>
      <c r="T349" s="2"/>
      <c r="U349" s="2"/>
      <c r="V349" s="26" t="str">
        <f>IF(OR($A349="",ISERROR(SEARCH("_",$A349))),"",IFERROR(SUMIFS(Trade_Reports!$Z$3:$Z$502,Trade_Reports!$H$3:$H$502,$A349,Trade_Reports!$M$3:$M$502,"APPROVED")/SUMIFS(Trade_Reports!$U$3:$U$502,Trade_Reports!$H$3:$H$502,$A349,Trade_Reports!$M$3:$M$502,"APPROVED"),""))</f>
        <v/>
      </c>
      <c r="W349" s="2" t="str">
        <f t="shared" si="3"/>
        <v/>
      </c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 t="str">
        <f t="shared" si="2"/>
        <v/>
      </c>
      <c r="P350" s="2"/>
      <c r="Q350" s="2"/>
      <c r="R350" s="2"/>
      <c r="S350" s="2"/>
      <c r="T350" s="2"/>
      <c r="U350" s="2"/>
      <c r="V350" s="26" t="str">
        <f>IF(OR($A350="",ISERROR(SEARCH("_",$A350))),"",IFERROR(SUMIFS(Trade_Reports!$Z$3:$Z$502,Trade_Reports!$H$3:$H$502,$A350,Trade_Reports!$M$3:$M$502,"APPROVED")/SUMIFS(Trade_Reports!$U$3:$U$502,Trade_Reports!$H$3:$H$502,$A350,Trade_Reports!$M$3:$M$502,"APPROVED"),""))</f>
        <v/>
      </c>
      <c r="W350" s="2" t="str">
        <f t="shared" si="3"/>
        <v/>
      </c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 t="str">
        <f t="shared" si="2"/>
        <v/>
      </c>
      <c r="P351" s="2"/>
      <c r="Q351" s="2"/>
      <c r="R351" s="2"/>
      <c r="S351" s="2"/>
      <c r="T351" s="2"/>
      <c r="U351" s="2"/>
      <c r="V351" s="26" t="str">
        <f>IF(OR($A351="",ISERROR(SEARCH("_",$A351))),"",IFERROR(SUMIFS(Trade_Reports!$Z$3:$Z$502,Trade_Reports!$H$3:$H$502,$A351,Trade_Reports!$M$3:$M$502,"APPROVED")/SUMIFS(Trade_Reports!$U$3:$U$502,Trade_Reports!$H$3:$H$502,$A351,Trade_Reports!$M$3:$M$502,"APPROVED"),""))</f>
        <v/>
      </c>
      <c r="W351" s="2" t="str">
        <f t="shared" si="3"/>
        <v/>
      </c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 t="str">
        <f t="shared" si="2"/>
        <v/>
      </c>
      <c r="P352" s="2"/>
      <c r="Q352" s="2"/>
      <c r="R352" s="2"/>
      <c r="S352" s="2"/>
      <c r="T352" s="2"/>
      <c r="U352" s="2"/>
      <c r="V352" s="26" t="str">
        <f>IF(OR($A352="",ISERROR(SEARCH("_",$A352))),"",IFERROR(SUMIFS(Trade_Reports!$Z$3:$Z$502,Trade_Reports!$H$3:$H$502,$A352,Trade_Reports!$M$3:$M$502,"APPROVED")/SUMIFS(Trade_Reports!$U$3:$U$502,Trade_Reports!$H$3:$H$502,$A352,Trade_Reports!$M$3:$M$502,"APPROVED"),""))</f>
        <v/>
      </c>
      <c r="W352" s="2" t="str">
        <f t="shared" si="3"/>
        <v/>
      </c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 t="str">
        <f t="shared" si="2"/>
        <v/>
      </c>
      <c r="P353" s="2"/>
      <c r="Q353" s="2"/>
      <c r="R353" s="2"/>
      <c r="S353" s="2"/>
      <c r="T353" s="2"/>
      <c r="U353" s="2"/>
      <c r="V353" s="26" t="str">
        <f>IF(OR($A353="",ISERROR(SEARCH("_",$A353))),"",IFERROR(SUMIFS(Trade_Reports!$Z$3:$Z$502,Trade_Reports!$H$3:$H$502,$A353,Trade_Reports!$M$3:$M$502,"APPROVED")/SUMIFS(Trade_Reports!$U$3:$U$502,Trade_Reports!$H$3:$H$502,$A353,Trade_Reports!$M$3:$M$502,"APPROVED"),""))</f>
        <v/>
      </c>
      <c r="W353" s="2" t="str">
        <f t="shared" si="3"/>
        <v/>
      </c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 t="str">
        <f t="shared" si="2"/>
        <v/>
      </c>
      <c r="P354" s="2"/>
      <c r="Q354" s="2"/>
      <c r="R354" s="2"/>
      <c r="S354" s="2"/>
      <c r="T354" s="2"/>
      <c r="U354" s="2"/>
      <c r="V354" s="26" t="str">
        <f>IF(OR($A354="",ISERROR(SEARCH("_",$A354))),"",IFERROR(SUMIFS(Trade_Reports!$Z$3:$Z$502,Trade_Reports!$H$3:$H$502,$A354,Trade_Reports!$M$3:$M$502,"APPROVED")/SUMIFS(Trade_Reports!$U$3:$U$502,Trade_Reports!$H$3:$H$502,$A354,Trade_Reports!$M$3:$M$502,"APPROVED"),""))</f>
        <v/>
      </c>
      <c r="W354" s="2" t="str">
        <f t="shared" si="3"/>
        <v/>
      </c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 t="str">
        <f t="shared" si="2"/>
        <v/>
      </c>
      <c r="P355" s="2"/>
      <c r="Q355" s="2"/>
      <c r="R355" s="2"/>
      <c r="S355" s="2"/>
      <c r="T355" s="2"/>
      <c r="U355" s="2"/>
      <c r="V355" s="26" t="str">
        <f>IF(OR($A355="",ISERROR(SEARCH("_",$A355))),"",IFERROR(SUMIFS(Trade_Reports!$Z$3:$Z$502,Trade_Reports!$H$3:$H$502,$A355,Trade_Reports!$M$3:$M$502,"APPROVED")/SUMIFS(Trade_Reports!$U$3:$U$502,Trade_Reports!$H$3:$H$502,$A355,Trade_Reports!$M$3:$M$502,"APPROVED"),""))</f>
        <v/>
      </c>
      <c r="W355" s="2" t="str">
        <f t="shared" si="3"/>
        <v/>
      </c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 t="str">
        <f t="shared" si="2"/>
        <v/>
      </c>
      <c r="P356" s="2"/>
      <c r="Q356" s="2"/>
      <c r="R356" s="2"/>
      <c r="S356" s="2"/>
      <c r="T356" s="2"/>
      <c r="U356" s="2"/>
      <c r="V356" s="26" t="str">
        <f>IF(OR($A356="",ISERROR(SEARCH("_",$A356))),"",IFERROR(SUMIFS(Trade_Reports!$Z$3:$Z$502,Trade_Reports!$H$3:$H$502,$A356,Trade_Reports!$M$3:$M$502,"APPROVED")/SUMIFS(Trade_Reports!$U$3:$U$502,Trade_Reports!$H$3:$H$502,$A356,Trade_Reports!$M$3:$M$502,"APPROVED"),""))</f>
        <v/>
      </c>
      <c r="W356" s="2" t="str">
        <f t="shared" si="3"/>
        <v/>
      </c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 t="str">
        <f t="shared" si="2"/>
        <v/>
      </c>
      <c r="P357" s="2"/>
      <c r="Q357" s="2"/>
      <c r="R357" s="2"/>
      <c r="S357" s="2"/>
      <c r="T357" s="2"/>
      <c r="U357" s="2"/>
      <c r="V357" s="26" t="str">
        <f>IF(OR($A357="",ISERROR(SEARCH("_",$A357))),"",IFERROR(SUMIFS(Trade_Reports!$Z$3:$Z$502,Trade_Reports!$H$3:$H$502,$A357,Trade_Reports!$M$3:$M$502,"APPROVED")/SUMIFS(Trade_Reports!$U$3:$U$502,Trade_Reports!$H$3:$H$502,$A357,Trade_Reports!$M$3:$M$502,"APPROVED"),""))</f>
        <v/>
      </c>
      <c r="W357" s="2" t="str">
        <f t="shared" si="3"/>
        <v/>
      </c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 t="str">
        <f t="shared" si="2"/>
        <v/>
      </c>
      <c r="P358" s="2"/>
      <c r="Q358" s="2"/>
      <c r="R358" s="2"/>
      <c r="S358" s="2"/>
      <c r="T358" s="2"/>
      <c r="U358" s="2"/>
      <c r="V358" s="26" t="str">
        <f>IF(OR($A358="",ISERROR(SEARCH("_",$A358))),"",IFERROR(SUMIFS(Trade_Reports!$Z$3:$Z$502,Trade_Reports!$H$3:$H$502,$A358,Trade_Reports!$M$3:$M$502,"APPROVED")/SUMIFS(Trade_Reports!$U$3:$U$502,Trade_Reports!$H$3:$H$502,$A358,Trade_Reports!$M$3:$M$502,"APPROVED"),""))</f>
        <v/>
      </c>
      <c r="W358" s="2" t="str">
        <f t="shared" si="3"/>
        <v/>
      </c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 t="str">
        <f t="shared" si="2"/>
        <v/>
      </c>
      <c r="P359" s="2"/>
      <c r="Q359" s="2"/>
      <c r="R359" s="2"/>
      <c r="S359" s="2"/>
      <c r="T359" s="2"/>
      <c r="U359" s="2"/>
      <c r="V359" s="26" t="str">
        <f>IF(OR($A359="",ISERROR(SEARCH("_",$A359))),"",IFERROR(SUMIFS(Trade_Reports!$Z$3:$Z$502,Trade_Reports!$H$3:$H$502,$A359,Trade_Reports!$M$3:$M$502,"APPROVED")/SUMIFS(Trade_Reports!$U$3:$U$502,Trade_Reports!$H$3:$H$502,$A359,Trade_Reports!$M$3:$M$502,"APPROVED"),""))</f>
        <v/>
      </c>
      <c r="W359" s="2" t="str">
        <f t="shared" si="3"/>
        <v/>
      </c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 t="str">
        <f t="shared" si="2"/>
        <v/>
      </c>
      <c r="P360" s="2"/>
      <c r="Q360" s="2"/>
      <c r="R360" s="2"/>
      <c r="S360" s="2"/>
      <c r="T360" s="2"/>
      <c r="U360" s="2"/>
      <c r="V360" s="26" t="str">
        <f>IF(OR($A360="",ISERROR(SEARCH("_",$A360))),"",IFERROR(SUMIFS(Trade_Reports!$Z$3:$Z$502,Trade_Reports!$H$3:$H$502,$A360,Trade_Reports!$M$3:$M$502,"APPROVED")/SUMIFS(Trade_Reports!$U$3:$U$502,Trade_Reports!$H$3:$H$502,$A360,Trade_Reports!$M$3:$M$502,"APPROVED"),""))</f>
        <v/>
      </c>
      <c r="W360" s="2" t="str">
        <f t="shared" si="3"/>
        <v/>
      </c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 t="str">
        <f t="shared" si="2"/>
        <v/>
      </c>
      <c r="P361" s="2"/>
      <c r="Q361" s="2"/>
      <c r="R361" s="2"/>
      <c r="S361" s="2"/>
      <c r="T361" s="2"/>
      <c r="U361" s="2"/>
      <c r="V361" s="26" t="str">
        <f>IF(OR($A361="",ISERROR(SEARCH("_",$A361))),"",IFERROR(SUMIFS(Trade_Reports!$Z$3:$Z$502,Trade_Reports!$H$3:$H$502,$A361,Trade_Reports!$M$3:$M$502,"APPROVED")/SUMIFS(Trade_Reports!$U$3:$U$502,Trade_Reports!$H$3:$H$502,$A361,Trade_Reports!$M$3:$M$502,"APPROVED"),""))</f>
        <v/>
      </c>
      <c r="W361" s="2" t="str">
        <f t="shared" si="3"/>
        <v/>
      </c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 t="str">
        <f t="shared" si="2"/>
        <v/>
      </c>
      <c r="P362" s="2"/>
      <c r="Q362" s="2"/>
      <c r="R362" s="2"/>
      <c r="S362" s="2"/>
      <c r="T362" s="2"/>
      <c r="U362" s="2"/>
      <c r="V362" s="26" t="str">
        <f>IF(OR($A362="",ISERROR(SEARCH("_",$A362))),"",IFERROR(SUMIFS(Trade_Reports!$Z$3:$Z$502,Trade_Reports!$H$3:$H$502,$A362,Trade_Reports!$M$3:$M$502,"APPROVED")/SUMIFS(Trade_Reports!$U$3:$U$502,Trade_Reports!$H$3:$H$502,$A362,Trade_Reports!$M$3:$M$502,"APPROVED"),""))</f>
        <v/>
      </c>
      <c r="W362" s="2" t="str">
        <f t="shared" si="3"/>
        <v/>
      </c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 t="str">
        <f t="shared" si="2"/>
        <v/>
      </c>
      <c r="P363" s="2"/>
      <c r="Q363" s="2"/>
      <c r="R363" s="2"/>
      <c r="S363" s="2"/>
      <c r="T363" s="2"/>
      <c r="U363" s="2"/>
      <c r="V363" s="26" t="str">
        <f>IF(OR($A363="",ISERROR(SEARCH("_",$A363))),"",IFERROR(SUMIFS(Trade_Reports!$Z$3:$Z$502,Trade_Reports!$H$3:$H$502,$A363,Trade_Reports!$M$3:$M$502,"APPROVED")/SUMIFS(Trade_Reports!$U$3:$U$502,Trade_Reports!$H$3:$H$502,$A363,Trade_Reports!$M$3:$M$502,"APPROVED"),""))</f>
        <v/>
      </c>
      <c r="W363" s="2" t="str">
        <f t="shared" si="3"/>
        <v/>
      </c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 t="str">
        <f t="shared" si="2"/>
        <v/>
      </c>
      <c r="P364" s="2"/>
      <c r="Q364" s="2"/>
      <c r="R364" s="2"/>
      <c r="S364" s="2"/>
      <c r="T364" s="2"/>
      <c r="U364" s="2"/>
      <c r="V364" s="26" t="str">
        <f>IF(OR($A364="",ISERROR(SEARCH("_",$A364))),"",IFERROR(SUMIFS(Trade_Reports!$Z$3:$Z$502,Trade_Reports!$H$3:$H$502,$A364,Trade_Reports!$M$3:$M$502,"APPROVED")/SUMIFS(Trade_Reports!$U$3:$U$502,Trade_Reports!$H$3:$H$502,$A364,Trade_Reports!$M$3:$M$502,"APPROVED"),""))</f>
        <v/>
      </c>
      <c r="W364" s="2" t="str">
        <f t="shared" si="3"/>
        <v/>
      </c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 t="str">
        <f t="shared" si="2"/>
        <v/>
      </c>
      <c r="P365" s="2"/>
      <c r="Q365" s="2"/>
      <c r="R365" s="2"/>
      <c r="S365" s="2"/>
      <c r="T365" s="2"/>
      <c r="U365" s="2"/>
      <c r="V365" s="26" t="str">
        <f>IF(OR($A365="",ISERROR(SEARCH("_",$A365))),"",IFERROR(SUMIFS(Trade_Reports!$Z$3:$Z$502,Trade_Reports!$H$3:$H$502,$A365,Trade_Reports!$M$3:$M$502,"APPROVED")/SUMIFS(Trade_Reports!$U$3:$U$502,Trade_Reports!$H$3:$H$502,$A365,Trade_Reports!$M$3:$M$502,"APPROVED"),""))</f>
        <v/>
      </c>
      <c r="W365" s="2" t="str">
        <f t="shared" si="3"/>
        <v/>
      </c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 t="str">
        <f t="shared" si="2"/>
        <v/>
      </c>
      <c r="P366" s="2"/>
      <c r="Q366" s="2"/>
      <c r="R366" s="2"/>
      <c r="S366" s="2"/>
      <c r="T366" s="2"/>
      <c r="U366" s="2"/>
      <c r="V366" s="26" t="str">
        <f>IF(OR($A366="",ISERROR(SEARCH("_",$A366))),"",IFERROR(SUMIFS(Trade_Reports!$Z$3:$Z$502,Trade_Reports!$H$3:$H$502,$A366,Trade_Reports!$M$3:$M$502,"APPROVED")/SUMIFS(Trade_Reports!$U$3:$U$502,Trade_Reports!$H$3:$H$502,$A366,Trade_Reports!$M$3:$M$502,"APPROVED"),""))</f>
        <v/>
      </c>
      <c r="W366" s="2" t="str">
        <f t="shared" si="3"/>
        <v/>
      </c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 t="str">
        <f t="shared" si="2"/>
        <v/>
      </c>
      <c r="P367" s="2"/>
      <c r="Q367" s="2"/>
      <c r="R367" s="2"/>
      <c r="S367" s="2"/>
      <c r="T367" s="2"/>
      <c r="U367" s="2"/>
      <c r="V367" s="26" t="str">
        <f>IF(OR($A367="",ISERROR(SEARCH("_",$A367))),"",IFERROR(SUMIFS(Trade_Reports!$Z$3:$Z$502,Trade_Reports!$H$3:$H$502,$A367,Trade_Reports!$M$3:$M$502,"APPROVED")/SUMIFS(Trade_Reports!$U$3:$U$502,Trade_Reports!$H$3:$H$502,$A367,Trade_Reports!$M$3:$M$502,"APPROVED"),""))</f>
        <v/>
      </c>
      <c r="W367" s="2" t="str">
        <f t="shared" si="3"/>
        <v/>
      </c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 t="str">
        <f t="shared" si="2"/>
        <v/>
      </c>
      <c r="P368" s="2"/>
      <c r="Q368" s="2"/>
      <c r="R368" s="2"/>
      <c r="S368" s="2"/>
      <c r="T368" s="2"/>
      <c r="U368" s="2"/>
      <c r="V368" s="26" t="str">
        <f>IF(OR($A368="",ISERROR(SEARCH("_",$A368))),"",IFERROR(SUMIFS(Trade_Reports!$Z$3:$Z$502,Trade_Reports!$H$3:$H$502,$A368,Trade_Reports!$M$3:$M$502,"APPROVED")/SUMIFS(Trade_Reports!$U$3:$U$502,Trade_Reports!$H$3:$H$502,$A368,Trade_Reports!$M$3:$M$502,"APPROVED"),""))</f>
        <v/>
      </c>
      <c r="W368" s="2" t="str">
        <f t="shared" si="3"/>
        <v/>
      </c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 t="str">
        <f t="shared" si="2"/>
        <v/>
      </c>
      <c r="P369" s="2"/>
      <c r="Q369" s="2"/>
      <c r="R369" s="2"/>
      <c r="S369" s="2"/>
      <c r="T369" s="2"/>
      <c r="U369" s="2"/>
      <c r="V369" s="26" t="str">
        <f>IF(OR($A369="",ISERROR(SEARCH("_",$A369))),"",IFERROR(SUMIFS(Trade_Reports!$Z$3:$Z$502,Trade_Reports!$H$3:$H$502,$A369,Trade_Reports!$M$3:$M$502,"APPROVED")/SUMIFS(Trade_Reports!$U$3:$U$502,Trade_Reports!$H$3:$H$502,$A369,Trade_Reports!$M$3:$M$502,"APPROVED"),""))</f>
        <v/>
      </c>
      <c r="W369" s="2" t="str">
        <f t="shared" si="3"/>
        <v/>
      </c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 t="str">
        <f t="shared" si="2"/>
        <v/>
      </c>
      <c r="P370" s="2"/>
      <c r="Q370" s="2"/>
      <c r="R370" s="2"/>
      <c r="S370" s="2"/>
      <c r="T370" s="2"/>
      <c r="U370" s="2"/>
      <c r="V370" s="26" t="str">
        <f>IF(OR($A370="",ISERROR(SEARCH("_",$A370))),"",IFERROR(SUMIFS(Trade_Reports!$Z$3:$Z$502,Trade_Reports!$H$3:$H$502,$A370,Trade_Reports!$M$3:$M$502,"APPROVED")/SUMIFS(Trade_Reports!$U$3:$U$502,Trade_Reports!$H$3:$H$502,$A370,Trade_Reports!$M$3:$M$502,"APPROVED"),""))</f>
        <v/>
      </c>
      <c r="W370" s="2" t="str">
        <f t="shared" si="3"/>
        <v/>
      </c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 t="str">
        <f t="shared" si="2"/>
        <v/>
      </c>
      <c r="P371" s="2"/>
      <c r="Q371" s="2"/>
      <c r="R371" s="2"/>
      <c r="S371" s="2"/>
      <c r="T371" s="2"/>
      <c r="U371" s="2"/>
      <c r="V371" s="26" t="str">
        <f>IF(OR($A371="",ISERROR(SEARCH("_",$A371))),"",IFERROR(SUMIFS(Trade_Reports!$Z$3:$Z$502,Trade_Reports!$H$3:$H$502,$A371,Trade_Reports!$M$3:$M$502,"APPROVED")/SUMIFS(Trade_Reports!$U$3:$U$502,Trade_Reports!$H$3:$H$502,$A371,Trade_Reports!$M$3:$M$502,"APPROVED"),""))</f>
        <v/>
      </c>
      <c r="W371" s="2" t="str">
        <f t="shared" si="3"/>
        <v/>
      </c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 t="str">
        <f t="shared" si="2"/>
        <v/>
      </c>
      <c r="P372" s="2"/>
      <c r="Q372" s="2"/>
      <c r="R372" s="2"/>
      <c r="S372" s="2"/>
      <c r="T372" s="2"/>
      <c r="U372" s="2"/>
      <c r="V372" s="26" t="str">
        <f>IF(OR($A372="",ISERROR(SEARCH("_",$A372))),"",IFERROR(SUMIFS(Trade_Reports!$Z$3:$Z$502,Trade_Reports!$H$3:$H$502,$A372,Trade_Reports!$M$3:$M$502,"APPROVED")/SUMIFS(Trade_Reports!$U$3:$U$502,Trade_Reports!$H$3:$H$502,$A372,Trade_Reports!$M$3:$M$502,"APPROVED"),""))</f>
        <v/>
      </c>
      <c r="W372" s="2" t="str">
        <f t="shared" si="3"/>
        <v/>
      </c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 t="str">
        <f t="shared" si="2"/>
        <v/>
      </c>
      <c r="P373" s="2"/>
      <c r="Q373" s="2"/>
      <c r="R373" s="2"/>
      <c r="S373" s="2"/>
      <c r="T373" s="2"/>
      <c r="U373" s="2"/>
      <c r="V373" s="26" t="str">
        <f>IF(OR($A373="",ISERROR(SEARCH("_",$A373))),"",IFERROR(SUMIFS(Trade_Reports!$Z$3:$Z$502,Trade_Reports!$H$3:$H$502,$A373,Trade_Reports!$M$3:$M$502,"APPROVED")/SUMIFS(Trade_Reports!$U$3:$U$502,Trade_Reports!$H$3:$H$502,$A373,Trade_Reports!$M$3:$M$502,"APPROVED"),""))</f>
        <v/>
      </c>
      <c r="W373" s="2" t="str">
        <f t="shared" si="3"/>
        <v/>
      </c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 t="str">
        <f t="shared" si="2"/>
        <v/>
      </c>
      <c r="P374" s="2"/>
      <c r="Q374" s="2"/>
      <c r="R374" s="2"/>
      <c r="S374" s="2"/>
      <c r="T374" s="2"/>
      <c r="U374" s="2"/>
      <c r="V374" s="26" t="str">
        <f>IF(OR($A374="",ISERROR(SEARCH("_",$A374))),"",IFERROR(SUMIFS(Trade_Reports!$Z$3:$Z$502,Trade_Reports!$H$3:$H$502,$A374,Trade_Reports!$M$3:$M$502,"APPROVED")/SUMIFS(Trade_Reports!$U$3:$U$502,Trade_Reports!$H$3:$H$502,$A374,Trade_Reports!$M$3:$M$502,"APPROVED"),""))</f>
        <v/>
      </c>
      <c r="W374" s="2" t="str">
        <f t="shared" si="3"/>
        <v/>
      </c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 t="str">
        <f t="shared" si="2"/>
        <v/>
      </c>
      <c r="P375" s="2"/>
      <c r="Q375" s="2"/>
      <c r="R375" s="2"/>
      <c r="S375" s="2"/>
      <c r="T375" s="2"/>
      <c r="U375" s="2"/>
      <c r="V375" s="26" t="str">
        <f>IF(OR($A375="",ISERROR(SEARCH("_",$A375))),"",IFERROR(SUMIFS(Trade_Reports!$Z$3:$Z$502,Trade_Reports!$H$3:$H$502,$A375,Trade_Reports!$M$3:$M$502,"APPROVED")/SUMIFS(Trade_Reports!$U$3:$U$502,Trade_Reports!$H$3:$H$502,$A375,Trade_Reports!$M$3:$M$502,"APPROVED"),""))</f>
        <v/>
      </c>
      <c r="W375" s="2" t="str">
        <f t="shared" si="3"/>
        <v/>
      </c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 t="str">
        <f t="shared" si="2"/>
        <v/>
      </c>
      <c r="P376" s="2"/>
      <c r="Q376" s="2"/>
      <c r="R376" s="2"/>
      <c r="S376" s="2"/>
      <c r="T376" s="2"/>
      <c r="U376" s="2"/>
      <c r="V376" s="26" t="str">
        <f>IF(OR($A376="",ISERROR(SEARCH("_",$A376))),"",IFERROR(SUMIFS(Trade_Reports!$Z$3:$Z$502,Trade_Reports!$H$3:$H$502,$A376,Trade_Reports!$M$3:$M$502,"APPROVED")/SUMIFS(Trade_Reports!$U$3:$U$502,Trade_Reports!$H$3:$H$502,$A376,Trade_Reports!$M$3:$M$502,"APPROVED"),""))</f>
        <v/>
      </c>
      <c r="W376" s="2" t="str">
        <f t="shared" si="3"/>
        <v/>
      </c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 t="str">
        <f t="shared" si="2"/>
        <v/>
      </c>
      <c r="P377" s="2"/>
      <c r="Q377" s="2"/>
      <c r="R377" s="2"/>
      <c r="S377" s="2"/>
      <c r="T377" s="2"/>
      <c r="U377" s="2"/>
      <c r="V377" s="26" t="str">
        <f>IF(OR($A377="",ISERROR(SEARCH("_",$A377))),"",IFERROR(SUMIFS(Trade_Reports!$Z$3:$Z$502,Trade_Reports!$H$3:$H$502,$A377,Trade_Reports!$M$3:$M$502,"APPROVED")/SUMIFS(Trade_Reports!$U$3:$U$502,Trade_Reports!$H$3:$H$502,$A377,Trade_Reports!$M$3:$M$502,"APPROVED"),""))</f>
        <v/>
      </c>
      <c r="W377" s="2" t="str">
        <f t="shared" si="3"/>
        <v/>
      </c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 t="str">
        <f t="shared" si="2"/>
        <v/>
      </c>
      <c r="P378" s="2"/>
      <c r="Q378" s="2"/>
      <c r="R378" s="2"/>
      <c r="S378" s="2"/>
      <c r="T378" s="2"/>
      <c r="U378" s="2"/>
      <c r="V378" s="26" t="str">
        <f>IF(OR($A378="",ISERROR(SEARCH("_",$A378))),"",IFERROR(SUMIFS(Trade_Reports!$Z$3:$Z$502,Trade_Reports!$H$3:$H$502,$A378,Trade_Reports!$M$3:$M$502,"APPROVED")/SUMIFS(Trade_Reports!$U$3:$U$502,Trade_Reports!$H$3:$H$502,$A378,Trade_Reports!$M$3:$M$502,"APPROVED"),""))</f>
        <v/>
      </c>
      <c r="W378" s="2" t="str">
        <f t="shared" si="3"/>
        <v/>
      </c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 t="str">
        <f t="shared" si="2"/>
        <v/>
      </c>
      <c r="P379" s="2"/>
      <c r="Q379" s="2"/>
      <c r="R379" s="2"/>
      <c r="S379" s="2"/>
      <c r="T379" s="2"/>
      <c r="U379" s="2"/>
      <c r="V379" s="26" t="str">
        <f>IF(OR($A379="",ISERROR(SEARCH("_",$A379))),"",IFERROR(SUMIFS(Trade_Reports!$Z$3:$Z$502,Trade_Reports!$H$3:$H$502,$A379,Trade_Reports!$M$3:$M$502,"APPROVED")/SUMIFS(Trade_Reports!$U$3:$U$502,Trade_Reports!$H$3:$H$502,$A379,Trade_Reports!$M$3:$M$502,"APPROVED"),""))</f>
        <v/>
      </c>
      <c r="W379" s="2" t="str">
        <f t="shared" si="3"/>
        <v/>
      </c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 t="str">
        <f t="shared" si="2"/>
        <v/>
      </c>
      <c r="P380" s="2"/>
      <c r="Q380" s="2"/>
      <c r="R380" s="2"/>
      <c r="S380" s="2"/>
      <c r="T380" s="2"/>
      <c r="U380" s="2"/>
      <c r="V380" s="26" t="str">
        <f>IF(OR($A380="",ISERROR(SEARCH("_",$A380))),"",IFERROR(SUMIFS(Trade_Reports!$Z$3:$Z$502,Trade_Reports!$H$3:$H$502,$A380,Trade_Reports!$M$3:$M$502,"APPROVED")/SUMIFS(Trade_Reports!$U$3:$U$502,Trade_Reports!$H$3:$H$502,$A380,Trade_Reports!$M$3:$M$502,"APPROVED"),""))</f>
        <v/>
      </c>
      <c r="W380" s="2" t="str">
        <f t="shared" si="3"/>
        <v/>
      </c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 t="str">
        <f t="shared" si="2"/>
        <v/>
      </c>
      <c r="P381" s="2"/>
      <c r="Q381" s="2"/>
      <c r="R381" s="2"/>
      <c r="S381" s="2"/>
      <c r="T381" s="2"/>
      <c r="U381" s="2"/>
      <c r="V381" s="26" t="str">
        <f>IF(OR($A381="",ISERROR(SEARCH("_",$A381))),"",IFERROR(SUMIFS(Trade_Reports!$Z$3:$Z$502,Trade_Reports!$H$3:$H$502,$A381,Trade_Reports!$M$3:$M$502,"APPROVED")/SUMIFS(Trade_Reports!$U$3:$U$502,Trade_Reports!$H$3:$H$502,$A381,Trade_Reports!$M$3:$M$502,"APPROVED"),""))</f>
        <v/>
      </c>
      <c r="W381" s="2" t="str">
        <f t="shared" si="3"/>
        <v/>
      </c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 t="str">
        <f t="shared" si="2"/>
        <v/>
      </c>
      <c r="P382" s="2"/>
      <c r="Q382" s="2"/>
      <c r="R382" s="2"/>
      <c r="S382" s="2"/>
      <c r="T382" s="2"/>
      <c r="U382" s="2"/>
      <c r="V382" s="26" t="str">
        <f>IF(OR($A382="",ISERROR(SEARCH("_",$A382))),"",IFERROR(SUMIFS(Trade_Reports!$Z$3:$Z$502,Trade_Reports!$H$3:$H$502,$A382,Trade_Reports!$M$3:$M$502,"APPROVED")/SUMIFS(Trade_Reports!$U$3:$U$502,Trade_Reports!$H$3:$H$502,$A382,Trade_Reports!$M$3:$M$502,"APPROVED"),""))</f>
        <v/>
      </c>
      <c r="W382" s="2" t="str">
        <f t="shared" si="3"/>
        <v/>
      </c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 t="str">
        <f t="shared" si="2"/>
        <v/>
      </c>
      <c r="P383" s="2"/>
      <c r="Q383" s="2"/>
      <c r="R383" s="2"/>
      <c r="S383" s="2"/>
      <c r="T383" s="2"/>
      <c r="U383" s="2"/>
      <c r="V383" s="26" t="str">
        <f>IF(OR($A383="",ISERROR(SEARCH("_",$A383))),"",IFERROR(SUMIFS(Trade_Reports!$Z$3:$Z$502,Trade_Reports!$H$3:$H$502,$A383,Trade_Reports!$M$3:$M$502,"APPROVED")/SUMIFS(Trade_Reports!$U$3:$U$502,Trade_Reports!$H$3:$H$502,$A383,Trade_Reports!$M$3:$M$502,"APPROVED"),""))</f>
        <v/>
      </c>
      <c r="W383" s="2" t="str">
        <f t="shared" si="3"/>
        <v/>
      </c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 t="str">
        <f t="shared" si="2"/>
        <v/>
      </c>
      <c r="P384" s="2"/>
      <c r="Q384" s="2"/>
      <c r="R384" s="2"/>
      <c r="S384" s="2"/>
      <c r="T384" s="2"/>
      <c r="U384" s="2"/>
      <c r="V384" s="26" t="str">
        <f>IF(OR($A384="",ISERROR(SEARCH("_",$A384))),"",IFERROR(SUMIFS(Trade_Reports!$Z$3:$Z$502,Trade_Reports!$H$3:$H$502,$A384,Trade_Reports!$M$3:$M$502,"APPROVED")/SUMIFS(Trade_Reports!$U$3:$U$502,Trade_Reports!$H$3:$H$502,$A384,Trade_Reports!$M$3:$M$502,"APPROVED"),""))</f>
        <v/>
      </c>
      <c r="W384" s="2" t="str">
        <f t="shared" si="3"/>
        <v/>
      </c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 t="str">
        <f t="shared" si="2"/>
        <v/>
      </c>
      <c r="P385" s="2"/>
      <c r="Q385" s="2"/>
      <c r="R385" s="2"/>
      <c r="S385" s="2"/>
      <c r="T385" s="2"/>
      <c r="U385" s="2"/>
      <c r="V385" s="26" t="str">
        <f>IF(OR($A385="",ISERROR(SEARCH("_",$A385))),"",IFERROR(SUMIFS(Trade_Reports!$Z$3:$Z$502,Trade_Reports!$H$3:$H$502,$A385,Trade_Reports!$M$3:$M$502,"APPROVED")/SUMIFS(Trade_Reports!$U$3:$U$502,Trade_Reports!$H$3:$H$502,$A385,Trade_Reports!$M$3:$M$502,"APPROVED"),""))</f>
        <v/>
      </c>
      <c r="W385" s="2" t="str">
        <f t="shared" si="3"/>
        <v/>
      </c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 t="str">
        <f t="shared" si="2"/>
        <v/>
      </c>
      <c r="P386" s="2"/>
      <c r="Q386" s="2"/>
      <c r="R386" s="2"/>
      <c r="S386" s="2"/>
      <c r="T386" s="2"/>
      <c r="U386" s="2"/>
      <c r="V386" s="26" t="str">
        <f>IF(OR($A386="",ISERROR(SEARCH("_",$A386))),"",IFERROR(SUMIFS(Trade_Reports!$Z$3:$Z$502,Trade_Reports!$H$3:$H$502,$A386,Trade_Reports!$M$3:$M$502,"APPROVED")/SUMIFS(Trade_Reports!$U$3:$U$502,Trade_Reports!$H$3:$H$502,$A386,Trade_Reports!$M$3:$M$502,"APPROVED"),""))</f>
        <v/>
      </c>
      <c r="W386" s="2" t="str">
        <f t="shared" si="3"/>
        <v/>
      </c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 t="str">
        <f t="shared" si="2"/>
        <v/>
      </c>
      <c r="P387" s="2"/>
      <c r="Q387" s="2"/>
      <c r="R387" s="2"/>
      <c r="S387" s="2"/>
      <c r="T387" s="2"/>
      <c r="U387" s="2"/>
      <c r="V387" s="26" t="str">
        <f>IF(OR($A387="",ISERROR(SEARCH("_",$A387))),"",IFERROR(SUMIFS(Trade_Reports!$Z$3:$Z$502,Trade_Reports!$H$3:$H$502,$A387,Trade_Reports!$M$3:$M$502,"APPROVED")/SUMIFS(Trade_Reports!$U$3:$U$502,Trade_Reports!$H$3:$H$502,$A387,Trade_Reports!$M$3:$M$502,"APPROVED"),""))</f>
        <v/>
      </c>
      <c r="W387" s="2" t="str">
        <f t="shared" si="3"/>
        <v/>
      </c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 t="str">
        <f t="shared" si="2"/>
        <v/>
      </c>
      <c r="P388" s="2"/>
      <c r="Q388" s="2"/>
      <c r="R388" s="2"/>
      <c r="S388" s="2"/>
      <c r="T388" s="2"/>
      <c r="U388" s="2"/>
      <c r="V388" s="26" t="str">
        <f>IF(OR($A388="",ISERROR(SEARCH("_",$A388))),"",IFERROR(SUMIFS(Trade_Reports!$Z$3:$Z$502,Trade_Reports!$H$3:$H$502,$A388,Trade_Reports!$M$3:$M$502,"APPROVED")/SUMIFS(Trade_Reports!$U$3:$U$502,Trade_Reports!$H$3:$H$502,$A388,Trade_Reports!$M$3:$M$502,"APPROVED"),""))</f>
        <v/>
      </c>
      <c r="W388" s="2" t="str">
        <f t="shared" si="3"/>
        <v/>
      </c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 t="str">
        <f t="shared" si="2"/>
        <v/>
      </c>
      <c r="P389" s="2"/>
      <c r="Q389" s="2"/>
      <c r="R389" s="2"/>
      <c r="S389" s="2"/>
      <c r="T389" s="2"/>
      <c r="U389" s="2"/>
      <c r="V389" s="26" t="str">
        <f>IF(OR($A389="",ISERROR(SEARCH("_",$A389))),"",IFERROR(SUMIFS(Trade_Reports!$Z$3:$Z$502,Trade_Reports!$H$3:$H$502,$A389,Trade_Reports!$M$3:$M$502,"APPROVED")/SUMIFS(Trade_Reports!$U$3:$U$502,Trade_Reports!$H$3:$H$502,$A389,Trade_Reports!$M$3:$M$502,"APPROVED"),""))</f>
        <v/>
      </c>
      <c r="W389" s="2" t="str">
        <f t="shared" si="3"/>
        <v/>
      </c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 t="str">
        <f t="shared" si="2"/>
        <v/>
      </c>
      <c r="P390" s="2"/>
      <c r="Q390" s="2"/>
      <c r="R390" s="2"/>
      <c r="S390" s="2"/>
      <c r="T390" s="2"/>
      <c r="U390" s="2"/>
      <c r="V390" s="26" t="str">
        <f>IF(OR($A390="",ISERROR(SEARCH("_",$A390))),"",IFERROR(SUMIFS(Trade_Reports!$Z$3:$Z$502,Trade_Reports!$H$3:$H$502,$A390,Trade_Reports!$M$3:$M$502,"APPROVED")/SUMIFS(Trade_Reports!$U$3:$U$502,Trade_Reports!$H$3:$H$502,$A390,Trade_Reports!$M$3:$M$502,"APPROVED"),""))</f>
        <v/>
      </c>
      <c r="W390" s="2" t="str">
        <f t="shared" si="3"/>
        <v/>
      </c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 t="str">
        <f t="shared" si="2"/>
        <v/>
      </c>
      <c r="P391" s="2"/>
      <c r="Q391" s="2"/>
      <c r="R391" s="2"/>
      <c r="S391" s="2"/>
      <c r="T391" s="2"/>
      <c r="U391" s="2"/>
      <c r="V391" s="26" t="str">
        <f>IF(OR($A391="",ISERROR(SEARCH("_",$A391))),"",IFERROR(SUMIFS(Trade_Reports!$Z$3:$Z$502,Trade_Reports!$H$3:$H$502,$A391,Trade_Reports!$M$3:$M$502,"APPROVED")/SUMIFS(Trade_Reports!$U$3:$U$502,Trade_Reports!$H$3:$H$502,$A391,Trade_Reports!$M$3:$M$502,"APPROVED"),""))</f>
        <v/>
      </c>
      <c r="W391" s="2" t="str">
        <f t="shared" si="3"/>
        <v/>
      </c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 t="str">
        <f t="shared" si="2"/>
        <v/>
      </c>
      <c r="P392" s="2"/>
      <c r="Q392" s="2"/>
      <c r="R392" s="2"/>
      <c r="S392" s="2"/>
      <c r="T392" s="2"/>
      <c r="U392" s="2"/>
      <c r="V392" s="26" t="str">
        <f>IF(OR($A392="",ISERROR(SEARCH("_",$A392))),"",IFERROR(SUMIFS(Trade_Reports!$Z$3:$Z$502,Trade_Reports!$H$3:$H$502,$A392,Trade_Reports!$M$3:$M$502,"APPROVED")/SUMIFS(Trade_Reports!$U$3:$U$502,Trade_Reports!$H$3:$H$502,$A392,Trade_Reports!$M$3:$M$502,"APPROVED"),""))</f>
        <v/>
      </c>
      <c r="W392" s="2" t="str">
        <f t="shared" si="3"/>
        <v/>
      </c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 t="str">
        <f t="shared" si="2"/>
        <v/>
      </c>
      <c r="P393" s="2"/>
      <c r="Q393" s="2"/>
      <c r="R393" s="2"/>
      <c r="S393" s="2"/>
      <c r="T393" s="2"/>
      <c r="U393" s="2"/>
      <c r="V393" s="26" t="str">
        <f>IF(OR($A393="",ISERROR(SEARCH("_",$A393))),"",IFERROR(SUMIFS(Trade_Reports!$Z$3:$Z$502,Trade_Reports!$H$3:$H$502,$A393,Trade_Reports!$M$3:$M$502,"APPROVED")/SUMIFS(Trade_Reports!$U$3:$U$502,Trade_Reports!$H$3:$H$502,$A393,Trade_Reports!$M$3:$M$502,"APPROVED"),""))</f>
        <v/>
      </c>
      <c r="W393" s="2" t="str">
        <f t="shared" si="3"/>
        <v/>
      </c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 t="str">
        <f t="shared" si="2"/>
        <v/>
      </c>
      <c r="P394" s="2"/>
      <c r="Q394" s="2"/>
      <c r="R394" s="2"/>
      <c r="S394" s="2"/>
      <c r="T394" s="2"/>
      <c r="U394" s="2"/>
      <c r="V394" s="26" t="str">
        <f>IF(OR($A394="",ISERROR(SEARCH("_",$A394))),"",IFERROR(SUMIFS(Trade_Reports!$Z$3:$Z$502,Trade_Reports!$H$3:$H$502,$A394,Trade_Reports!$M$3:$M$502,"APPROVED")/SUMIFS(Trade_Reports!$U$3:$U$502,Trade_Reports!$H$3:$H$502,$A394,Trade_Reports!$M$3:$M$502,"APPROVED"),""))</f>
        <v/>
      </c>
      <c r="W394" s="2" t="str">
        <f t="shared" si="3"/>
        <v/>
      </c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 t="str">
        <f t="shared" si="2"/>
        <v/>
      </c>
      <c r="P395" s="2"/>
      <c r="Q395" s="2"/>
      <c r="R395" s="2"/>
      <c r="S395" s="2"/>
      <c r="T395" s="2"/>
      <c r="U395" s="2"/>
      <c r="V395" s="26" t="str">
        <f>IF(OR($A395="",ISERROR(SEARCH("_",$A395))),"",IFERROR(SUMIFS(Trade_Reports!$Z$3:$Z$502,Trade_Reports!$H$3:$H$502,$A395,Trade_Reports!$M$3:$M$502,"APPROVED")/SUMIFS(Trade_Reports!$U$3:$U$502,Trade_Reports!$H$3:$H$502,$A395,Trade_Reports!$M$3:$M$502,"APPROVED"),""))</f>
        <v/>
      </c>
      <c r="W395" s="2" t="str">
        <f t="shared" si="3"/>
        <v/>
      </c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 t="str">
        <f t="shared" si="2"/>
        <v/>
      </c>
      <c r="P396" s="2"/>
      <c r="Q396" s="2"/>
      <c r="R396" s="2"/>
      <c r="S396" s="2"/>
      <c r="T396" s="2"/>
      <c r="U396" s="2"/>
      <c r="V396" s="26" t="str">
        <f>IF(OR($A396="",ISERROR(SEARCH("_",$A396))),"",IFERROR(SUMIFS(Trade_Reports!$Z$3:$Z$502,Trade_Reports!$H$3:$H$502,$A396,Trade_Reports!$M$3:$M$502,"APPROVED")/SUMIFS(Trade_Reports!$U$3:$U$502,Trade_Reports!$H$3:$H$502,$A396,Trade_Reports!$M$3:$M$502,"APPROVED"),""))</f>
        <v/>
      </c>
      <c r="W396" s="2" t="str">
        <f t="shared" si="3"/>
        <v/>
      </c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 t="str">
        <f t="shared" si="2"/>
        <v/>
      </c>
      <c r="P397" s="2"/>
      <c r="Q397" s="2"/>
      <c r="R397" s="2"/>
      <c r="S397" s="2"/>
      <c r="T397" s="2"/>
      <c r="U397" s="2"/>
      <c r="V397" s="26" t="str">
        <f>IF(OR($A397="",ISERROR(SEARCH("_",$A397))),"",IFERROR(SUMIFS(Trade_Reports!$Z$3:$Z$502,Trade_Reports!$H$3:$H$502,$A397,Trade_Reports!$M$3:$M$502,"APPROVED")/SUMIFS(Trade_Reports!$U$3:$U$502,Trade_Reports!$H$3:$H$502,$A397,Trade_Reports!$M$3:$M$502,"APPROVED"),""))</f>
        <v/>
      </c>
      <c r="W397" s="2" t="str">
        <f t="shared" si="3"/>
        <v/>
      </c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 t="str">
        <f t="shared" si="2"/>
        <v/>
      </c>
      <c r="P398" s="2"/>
      <c r="Q398" s="2"/>
      <c r="R398" s="2"/>
      <c r="S398" s="2"/>
      <c r="T398" s="2"/>
      <c r="U398" s="2"/>
      <c r="V398" s="26" t="str">
        <f>IF(OR($A398="",ISERROR(SEARCH("_",$A398))),"",IFERROR(SUMIFS(Trade_Reports!$Z$3:$Z$502,Trade_Reports!$H$3:$H$502,$A398,Trade_Reports!$M$3:$M$502,"APPROVED")/SUMIFS(Trade_Reports!$U$3:$U$502,Trade_Reports!$H$3:$H$502,$A398,Trade_Reports!$M$3:$M$502,"APPROVED"),""))</f>
        <v/>
      </c>
      <c r="W398" s="2" t="str">
        <f t="shared" si="3"/>
        <v/>
      </c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 t="str">
        <f t="shared" si="2"/>
        <v/>
      </c>
      <c r="P399" s="2"/>
      <c r="Q399" s="2"/>
      <c r="R399" s="2"/>
      <c r="S399" s="2"/>
      <c r="T399" s="2"/>
      <c r="U399" s="2"/>
      <c r="V399" s="26" t="str">
        <f>IF(OR($A399="",ISERROR(SEARCH("_",$A399))),"",IFERROR(SUMIFS(Trade_Reports!$Z$3:$Z$502,Trade_Reports!$H$3:$H$502,$A399,Trade_Reports!$M$3:$M$502,"APPROVED")/SUMIFS(Trade_Reports!$U$3:$U$502,Trade_Reports!$H$3:$H$502,$A399,Trade_Reports!$M$3:$M$502,"APPROVED"),""))</f>
        <v/>
      </c>
      <c r="W399" s="2" t="str">
        <f t="shared" si="3"/>
        <v/>
      </c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 t="str">
        <f t="shared" si="2"/>
        <v/>
      </c>
      <c r="P400" s="2"/>
      <c r="Q400" s="2"/>
      <c r="R400" s="2"/>
      <c r="S400" s="2"/>
      <c r="T400" s="2"/>
      <c r="U400" s="2"/>
      <c r="V400" s="26" t="str">
        <f>IF(OR($A400="",ISERROR(SEARCH("_",$A400))),"",IFERROR(SUMIFS(Trade_Reports!$Z$3:$Z$502,Trade_Reports!$H$3:$H$502,$A400,Trade_Reports!$M$3:$M$502,"APPROVED")/SUMIFS(Trade_Reports!$U$3:$U$502,Trade_Reports!$H$3:$H$502,$A400,Trade_Reports!$M$3:$M$502,"APPROVED"),""))</f>
        <v/>
      </c>
      <c r="W400" s="2" t="str">
        <f t="shared" si="3"/>
        <v/>
      </c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 t="str">
        <f t="shared" si="2"/>
        <v/>
      </c>
      <c r="P401" s="2"/>
      <c r="Q401" s="2"/>
      <c r="R401" s="2"/>
      <c r="S401" s="2"/>
      <c r="T401" s="2"/>
      <c r="U401" s="2"/>
      <c r="V401" s="26" t="str">
        <f>IF(OR($A401="",ISERROR(SEARCH("_",$A401))),"",IFERROR(SUMIFS(Trade_Reports!$Z$3:$Z$502,Trade_Reports!$H$3:$H$502,$A401,Trade_Reports!$M$3:$M$502,"APPROVED")/SUMIFS(Trade_Reports!$U$3:$U$502,Trade_Reports!$H$3:$H$502,$A401,Trade_Reports!$M$3:$M$502,"APPROVED"),""))</f>
        <v/>
      </c>
      <c r="W401" s="2" t="str">
        <f t="shared" si="3"/>
        <v/>
      </c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 t="str">
        <f t="shared" si="2"/>
        <v/>
      </c>
      <c r="P402" s="2"/>
      <c r="Q402" s="2"/>
      <c r="R402" s="2"/>
      <c r="S402" s="2"/>
      <c r="T402" s="2"/>
      <c r="U402" s="2"/>
      <c r="V402" s="26" t="str">
        <f>IF(OR($A402="",ISERROR(SEARCH("_",$A402))),"",IFERROR(SUMIFS(Trade_Reports!$Z$3:$Z$502,Trade_Reports!$H$3:$H$502,$A402,Trade_Reports!$M$3:$M$502,"APPROVED")/SUMIFS(Trade_Reports!$U$3:$U$502,Trade_Reports!$H$3:$H$502,$A402,Trade_Reports!$M$3:$M$502,"APPROVED"),""))</f>
        <v/>
      </c>
      <c r="W402" s="2" t="str">
        <f t="shared" si="3"/>
        <v/>
      </c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 t="str">
        <f t="shared" si="2"/>
        <v/>
      </c>
      <c r="P403" s="2"/>
      <c r="Q403" s="2"/>
      <c r="R403" s="2"/>
      <c r="S403" s="2"/>
      <c r="T403" s="2"/>
      <c r="U403" s="2"/>
      <c r="V403" s="26" t="str">
        <f>IF(OR($A403="",ISERROR(SEARCH("_",$A403))),"",IFERROR(SUMIFS(Trade_Reports!$Z$3:$Z$502,Trade_Reports!$H$3:$H$502,$A403,Trade_Reports!$M$3:$M$502,"APPROVED")/SUMIFS(Trade_Reports!$U$3:$U$502,Trade_Reports!$H$3:$H$502,$A403,Trade_Reports!$M$3:$M$502,"APPROVED"),""))</f>
        <v/>
      </c>
      <c r="W403" s="2" t="str">
        <f t="shared" si="3"/>
        <v/>
      </c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 t="str">
        <f t="shared" si="2"/>
        <v/>
      </c>
      <c r="P404" s="2"/>
      <c r="Q404" s="2"/>
      <c r="R404" s="2"/>
      <c r="S404" s="2"/>
      <c r="T404" s="2"/>
      <c r="U404" s="2"/>
      <c r="V404" s="26" t="str">
        <f>IF(OR($A404="",ISERROR(SEARCH("_",$A404))),"",IFERROR(SUMIFS(Trade_Reports!$Z$3:$Z$502,Trade_Reports!$H$3:$H$502,$A404,Trade_Reports!$M$3:$M$502,"APPROVED")/SUMIFS(Trade_Reports!$U$3:$U$502,Trade_Reports!$H$3:$H$502,$A404,Trade_Reports!$M$3:$M$502,"APPROVED"),""))</f>
        <v/>
      </c>
      <c r="W404" s="2" t="str">
        <f t="shared" si="3"/>
        <v/>
      </c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 t="str">
        <f t="shared" si="2"/>
        <v/>
      </c>
      <c r="P405" s="2"/>
      <c r="Q405" s="2"/>
      <c r="R405" s="2"/>
      <c r="S405" s="2"/>
      <c r="T405" s="2"/>
      <c r="U405" s="2"/>
      <c r="V405" s="26" t="str">
        <f>IF(OR($A405="",ISERROR(SEARCH("_",$A405))),"",IFERROR(SUMIFS(Trade_Reports!$Z$3:$Z$502,Trade_Reports!$H$3:$H$502,$A405,Trade_Reports!$M$3:$M$502,"APPROVED")/SUMIFS(Trade_Reports!$U$3:$U$502,Trade_Reports!$H$3:$H$502,$A405,Trade_Reports!$M$3:$M$502,"APPROVED"),""))</f>
        <v/>
      </c>
      <c r="W405" s="2" t="str">
        <f t="shared" si="3"/>
        <v/>
      </c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 t="str">
        <f t="shared" si="2"/>
        <v/>
      </c>
      <c r="P406" s="2"/>
      <c r="Q406" s="2"/>
      <c r="R406" s="2"/>
      <c r="S406" s="2"/>
      <c r="T406" s="2"/>
      <c r="U406" s="2"/>
      <c r="V406" s="26" t="str">
        <f>IF(OR($A406="",ISERROR(SEARCH("_",$A406))),"",IFERROR(SUMIFS(Trade_Reports!$Z$3:$Z$502,Trade_Reports!$H$3:$H$502,$A406,Trade_Reports!$M$3:$M$502,"APPROVED")/SUMIFS(Trade_Reports!$U$3:$U$502,Trade_Reports!$H$3:$H$502,$A406,Trade_Reports!$M$3:$M$502,"APPROVED"),""))</f>
        <v/>
      </c>
      <c r="W406" s="2" t="str">
        <f t="shared" si="3"/>
        <v/>
      </c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 t="str">
        <f t="shared" si="2"/>
        <v/>
      </c>
      <c r="P407" s="2"/>
      <c r="Q407" s="2"/>
      <c r="R407" s="2"/>
      <c r="S407" s="2"/>
      <c r="T407" s="2"/>
      <c r="U407" s="2"/>
      <c r="V407" s="26" t="str">
        <f>IF(OR($A407="",ISERROR(SEARCH("_",$A407))),"",IFERROR(SUMIFS(Trade_Reports!$Z$3:$Z$502,Trade_Reports!$H$3:$H$502,$A407,Trade_Reports!$M$3:$M$502,"APPROVED")/SUMIFS(Trade_Reports!$U$3:$U$502,Trade_Reports!$H$3:$H$502,$A407,Trade_Reports!$M$3:$M$502,"APPROVED"),""))</f>
        <v/>
      </c>
      <c r="W407" s="2" t="str">
        <f t="shared" si="3"/>
        <v/>
      </c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 t="str">
        <f t="shared" si="2"/>
        <v/>
      </c>
      <c r="P408" s="2"/>
      <c r="Q408" s="2"/>
      <c r="R408" s="2"/>
      <c r="S408" s="2"/>
      <c r="T408" s="2"/>
      <c r="U408" s="2"/>
      <c r="V408" s="26" t="str">
        <f>IF(OR($A408="",ISERROR(SEARCH("_",$A408))),"",IFERROR(SUMIFS(Trade_Reports!$Z$3:$Z$502,Trade_Reports!$H$3:$H$502,$A408,Trade_Reports!$M$3:$M$502,"APPROVED")/SUMIFS(Trade_Reports!$U$3:$U$502,Trade_Reports!$H$3:$H$502,$A408,Trade_Reports!$M$3:$M$502,"APPROVED"),""))</f>
        <v/>
      </c>
      <c r="W408" s="2" t="str">
        <f t="shared" si="3"/>
        <v/>
      </c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 t="str">
        <f t="shared" si="2"/>
        <v/>
      </c>
      <c r="P409" s="2"/>
      <c r="Q409" s="2"/>
      <c r="R409" s="2"/>
      <c r="S409" s="2"/>
      <c r="T409" s="2"/>
      <c r="U409" s="2"/>
      <c r="V409" s="26" t="str">
        <f>IF(OR($A409="",ISERROR(SEARCH("_",$A409))),"",IFERROR(SUMIFS(Trade_Reports!$Z$3:$Z$502,Trade_Reports!$H$3:$H$502,$A409,Trade_Reports!$M$3:$M$502,"APPROVED")/SUMIFS(Trade_Reports!$U$3:$U$502,Trade_Reports!$H$3:$H$502,$A409,Trade_Reports!$M$3:$M$502,"APPROVED"),""))</f>
        <v/>
      </c>
      <c r="W409" s="2" t="str">
        <f t="shared" si="3"/>
        <v/>
      </c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 t="str">
        <f t="shared" si="2"/>
        <v/>
      </c>
      <c r="P410" s="2"/>
      <c r="Q410" s="2"/>
      <c r="R410" s="2"/>
      <c r="S410" s="2"/>
      <c r="T410" s="2"/>
      <c r="U410" s="2"/>
      <c r="V410" s="26" t="str">
        <f>IF(OR($A410="",ISERROR(SEARCH("_",$A410))),"",IFERROR(SUMIFS(Trade_Reports!$Z$3:$Z$502,Trade_Reports!$H$3:$H$502,$A410,Trade_Reports!$M$3:$M$502,"APPROVED")/SUMIFS(Trade_Reports!$U$3:$U$502,Trade_Reports!$H$3:$H$502,$A410,Trade_Reports!$M$3:$M$502,"APPROVED"),""))</f>
        <v/>
      </c>
      <c r="W410" s="2" t="str">
        <f t="shared" si="3"/>
        <v/>
      </c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 t="str">
        <f t="shared" si="2"/>
        <v/>
      </c>
      <c r="P411" s="2"/>
      <c r="Q411" s="2"/>
      <c r="R411" s="2"/>
      <c r="S411" s="2"/>
      <c r="T411" s="2"/>
      <c r="U411" s="2"/>
      <c r="V411" s="26" t="str">
        <f>IF(OR($A411="",ISERROR(SEARCH("_",$A411))),"",IFERROR(SUMIFS(Trade_Reports!$Z$3:$Z$502,Trade_Reports!$H$3:$H$502,$A411,Trade_Reports!$M$3:$M$502,"APPROVED")/SUMIFS(Trade_Reports!$U$3:$U$502,Trade_Reports!$H$3:$H$502,$A411,Trade_Reports!$M$3:$M$502,"APPROVED"),""))</f>
        <v/>
      </c>
      <c r="W411" s="2" t="str">
        <f t="shared" si="3"/>
        <v/>
      </c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 t="str">
        <f t="shared" si="2"/>
        <v/>
      </c>
      <c r="P412" s="2"/>
      <c r="Q412" s="2"/>
      <c r="R412" s="2"/>
      <c r="S412" s="2"/>
      <c r="T412" s="2"/>
      <c r="U412" s="2"/>
      <c r="V412" s="26" t="str">
        <f>IF(OR($A412="",ISERROR(SEARCH("_",$A412))),"",IFERROR(SUMIFS(Trade_Reports!$Z$3:$Z$502,Trade_Reports!$H$3:$H$502,$A412,Trade_Reports!$M$3:$M$502,"APPROVED")/SUMIFS(Trade_Reports!$U$3:$U$502,Trade_Reports!$H$3:$H$502,$A412,Trade_Reports!$M$3:$M$502,"APPROVED"),""))</f>
        <v/>
      </c>
      <c r="W412" s="2" t="str">
        <f t="shared" si="3"/>
        <v/>
      </c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 t="str">
        <f t="shared" si="2"/>
        <v/>
      </c>
      <c r="P413" s="2"/>
      <c r="Q413" s="2"/>
      <c r="R413" s="2"/>
      <c r="S413" s="2"/>
      <c r="T413" s="2"/>
      <c r="U413" s="2"/>
      <c r="V413" s="26" t="str">
        <f>IF(OR($A413="",ISERROR(SEARCH("_",$A413))),"",IFERROR(SUMIFS(Trade_Reports!$Z$3:$Z$502,Trade_Reports!$H$3:$H$502,$A413,Trade_Reports!$M$3:$M$502,"APPROVED")/SUMIFS(Trade_Reports!$U$3:$U$502,Trade_Reports!$H$3:$H$502,$A413,Trade_Reports!$M$3:$M$502,"APPROVED"),""))</f>
        <v/>
      </c>
      <c r="W413" s="2" t="str">
        <f t="shared" si="3"/>
        <v/>
      </c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 t="str">
        <f t="shared" si="2"/>
        <v/>
      </c>
      <c r="P414" s="2"/>
      <c r="Q414" s="2"/>
      <c r="R414" s="2"/>
      <c r="S414" s="2"/>
      <c r="T414" s="2"/>
      <c r="U414" s="2"/>
      <c r="V414" s="26" t="str">
        <f>IF(OR($A414="",ISERROR(SEARCH("_",$A414))),"",IFERROR(SUMIFS(Trade_Reports!$Z$3:$Z$502,Trade_Reports!$H$3:$H$502,$A414,Trade_Reports!$M$3:$M$502,"APPROVED")/SUMIFS(Trade_Reports!$U$3:$U$502,Trade_Reports!$H$3:$H$502,$A414,Trade_Reports!$M$3:$M$502,"APPROVED"),""))</f>
        <v/>
      </c>
      <c r="W414" s="2" t="str">
        <f t="shared" si="3"/>
        <v/>
      </c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 t="str">
        <f t="shared" si="2"/>
        <v/>
      </c>
      <c r="P415" s="2"/>
      <c r="Q415" s="2"/>
      <c r="R415" s="2"/>
      <c r="S415" s="2"/>
      <c r="T415" s="2"/>
      <c r="U415" s="2"/>
      <c r="V415" s="26" t="str">
        <f>IF(OR($A415="",ISERROR(SEARCH("_",$A415))),"",IFERROR(SUMIFS(Trade_Reports!$Z$3:$Z$502,Trade_Reports!$H$3:$H$502,$A415,Trade_Reports!$M$3:$M$502,"APPROVED")/SUMIFS(Trade_Reports!$U$3:$U$502,Trade_Reports!$H$3:$H$502,$A415,Trade_Reports!$M$3:$M$502,"APPROVED"),""))</f>
        <v/>
      </c>
      <c r="W415" s="2" t="str">
        <f t="shared" si="3"/>
        <v/>
      </c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 t="str">
        <f t="shared" si="2"/>
        <v/>
      </c>
      <c r="P416" s="2"/>
      <c r="Q416" s="2"/>
      <c r="R416" s="2"/>
      <c r="S416" s="2"/>
      <c r="T416" s="2"/>
      <c r="U416" s="2"/>
      <c r="V416" s="26" t="str">
        <f>IF(OR($A416="",ISERROR(SEARCH("_",$A416))),"",IFERROR(SUMIFS(Trade_Reports!$Z$3:$Z$502,Trade_Reports!$H$3:$H$502,$A416,Trade_Reports!$M$3:$M$502,"APPROVED")/SUMIFS(Trade_Reports!$U$3:$U$502,Trade_Reports!$H$3:$H$502,$A416,Trade_Reports!$M$3:$M$502,"APPROVED"),""))</f>
        <v/>
      </c>
      <c r="W416" s="2" t="str">
        <f t="shared" si="3"/>
        <v/>
      </c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 t="str">
        <f t="shared" si="2"/>
        <v/>
      </c>
      <c r="P417" s="2"/>
      <c r="Q417" s="2"/>
      <c r="R417" s="2"/>
      <c r="S417" s="2"/>
      <c r="T417" s="2"/>
      <c r="U417" s="2"/>
      <c r="V417" s="26" t="str">
        <f>IF(OR($A417="",ISERROR(SEARCH("_",$A417))),"",IFERROR(SUMIFS(Trade_Reports!$Z$3:$Z$502,Trade_Reports!$H$3:$H$502,$A417,Trade_Reports!$M$3:$M$502,"APPROVED")/SUMIFS(Trade_Reports!$U$3:$U$502,Trade_Reports!$H$3:$H$502,$A417,Trade_Reports!$M$3:$M$502,"APPROVED"),""))</f>
        <v/>
      </c>
      <c r="W417" s="2" t="str">
        <f t="shared" si="3"/>
        <v/>
      </c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 t="str">
        <f t="shared" si="2"/>
        <v/>
      </c>
      <c r="P418" s="2"/>
      <c r="Q418" s="2"/>
      <c r="R418" s="2"/>
      <c r="S418" s="2"/>
      <c r="T418" s="2"/>
      <c r="U418" s="2"/>
      <c r="V418" s="26" t="str">
        <f>IF(OR($A418="",ISERROR(SEARCH("_",$A418))),"",IFERROR(SUMIFS(Trade_Reports!$Z$3:$Z$502,Trade_Reports!$H$3:$H$502,$A418,Trade_Reports!$M$3:$M$502,"APPROVED")/SUMIFS(Trade_Reports!$U$3:$U$502,Trade_Reports!$H$3:$H$502,$A418,Trade_Reports!$M$3:$M$502,"APPROVED"),""))</f>
        <v/>
      </c>
      <c r="W418" s="2" t="str">
        <f t="shared" si="3"/>
        <v/>
      </c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 t="str">
        <f t="shared" si="2"/>
        <v/>
      </c>
      <c r="P419" s="2"/>
      <c r="Q419" s="2"/>
      <c r="R419" s="2"/>
      <c r="S419" s="2"/>
      <c r="T419" s="2"/>
      <c r="U419" s="2"/>
      <c r="V419" s="26" t="str">
        <f>IF(OR($A419="",ISERROR(SEARCH("_",$A419))),"",IFERROR(SUMIFS(Trade_Reports!$Z$3:$Z$502,Trade_Reports!$H$3:$H$502,$A419,Trade_Reports!$M$3:$M$502,"APPROVED")/SUMIFS(Trade_Reports!$U$3:$U$502,Trade_Reports!$H$3:$H$502,$A419,Trade_Reports!$M$3:$M$502,"APPROVED"),""))</f>
        <v/>
      </c>
      <c r="W419" s="2" t="str">
        <f t="shared" si="3"/>
        <v/>
      </c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 t="str">
        <f t="shared" si="2"/>
        <v/>
      </c>
      <c r="P420" s="2"/>
      <c r="Q420" s="2"/>
      <c r="R420" s="2"/>
      <c r="S420" s="2"/>
      <c r="T420" s="2"/>
      <c r="U420" s="2"/>
      <c r="V420" s="26" t="str">
        <f>IF(OR($A420="",ISERROR(SEARCH("_",$A420))),"",IFERROR(SUMIFS(Trade_Reports!$Z$3:$Z$502,Trade_Reports!$H$3:$H$502,$A420,Trade_Reports!$M$3:$M$502,"APPROVED")/SUMIFS(Trade_Reports!$U$3:$U$502,Trade_Reports!$H$3:$H$502,$A420,Trade_Reports!$M$3:$M$502,"APPROVED"),""))</f>
        <v/>
      </c>
      <c r="W420" s="2" t="str">
        <f t="shared" si="3"/>
        <v/>
      </c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 t="str">
        <f t="shared" si="2"/>
        <v/>
      </c>
      <c r="P421" s="2"/>
      <c r="Q421" s="2"/>
      <c r="R421" s="2"/>
      <c r="S421" s="2"/>
      <c r="T421" s="2"/>
      <c r="U421" s="2"/>
      <c r="V421" s="26" t="str">
        <f>IF(OR($A421="",ISERROR(SEARCH("_",$A421))),"",IFERROR(SUMIFS(Trade_Reports!$Z$3:$Z$502,Trade_Reports!$H$3:$H$502,$A421,Trade_Reports!$M$3:$M$502,"APPROVED")/SUMIFS(Trade_Reports!$U$3:$U$502,Trade_Reports!$H$3:$H$502,$A421,Trade_Reports!$M$3:$M$502,"APPROVED"),""))</f>
        <v/>
      </c>
      <c r="W421" s="2" t="str">
        <f t="shared" si="3"/>
        <v/>
      </c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 t="str">
        <f t="shared" si="2"/>
        <v/>
      </c>
      <c r="P422" s="2"/>
      <c r="Q422" s="2"/>
      <c r="R422" s="2"/>
      <c r="S422" s="2"/>
      <c r="T422" s="2"/>
      <c r="U422" s="2"/>
      <c r="V422" s="26" t="str">
        <f>IF(OR($A422="",ISERROR(SEARCH("_",$A422))),"",IFERROR(SUMIFS(Trade_Reports!$Z$3:$Z$502,Trade_Reports!$H$3:$H$502,$A422,Trade_Reports!$M$3:$M$502,"APPROVED")/SUMIFS(Trade_Reports!$U$3:$U$502,Trade_Reports!$H$3:$H$502,$A422,Trade_Reports!$M$3:$M$502,"APPROVED"),""))</f>
        <v/>
      </c>
      <c r="W422" s="2" t="str">
        <f t="shared" si="3"/>
        <v/>
      </c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 t="str">
        <f t="shared" si="2"/>
        <v/>
      </c>
      <c r="P423" s="2"/>
      <c r="Q423" s="2"/>
      <c r="R423" s="2"/>
      <c r="S423" s="2"/>
      <c r="T423" s="2"/>
      <c r="U423" s="2"/>
      <c r="V423" s="26" t="str">
        <f>IF(OR($A423="",ISERROR(SEARCH("_",$A423))),"",IFERROR(SUMIFS(Trade_Reports!$Z$3:$Z$502,Trade_Reports!$H$3:$H$502,$A423,Trade_Reports!$M$3:$M$502,"APPROVED")/SUMIFS(Trade_Reports!$U$3:$U$502,Trade_Reports!$H$3:$H$502,$A423,Trade_Reports!$M$3:$M$502,"APPROVED"),""))</f>
        <v/>
      </c>
      <c r="W423" s="2" t="str">
        <f t="shared" si="3"/>
        <v/>
      </c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 t="str">
        <f t="shared" si="2"/>
        <v/>
      </c>
      <c r="P424" s="2"/>
      <c r="Q424" s="2"/>
      <c r="R424" s="2"/>
      <c r="S424" s="2"/>
      <c r="T424" s="2"/>
      <c r="U424" s="2"/>
      <c r="V424" s="26" t="str">
        <f>IF(OR($A424="",ISERROR(SEARCH("_",$A424))),"",IFERROR(SUMIFS(Trade_Reports!$Z$3:$Z$502,Trade_Reports!$H$3:$H$502,$A424,Trade_Reports!$M$3:$M$502,"APPROVED")/SUMIFS(Trade_Reports!$U$3:$U$502,Trade_Reports!$H$3:$H$502,$A424,Trade_Reports!$M$3:$M$502,"APPROVED"),""))</f>
        <v/>
      </c>
      <c r="W424" s="2" t="str">
        <f t="shared" si="3"/>
        <v/>
      </c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 t="str">
        <f t="shared" si="2"/>
        <v/>
      </c>
      <c r="P425" s="2"/>
      <c r="Q425" s="2"/>
      <c r="R425" s="2"/>
      <c r="S425" s="2"/>
      <c r="T425" s="2"/>
      <c r="U425" s="2"/>
      <c r="V425" s="26" t="str">
        <f>IF(OR($A425="",ISERROR(SEARCH("_",$A425))),"",IFERROR(SUMIFS(Trade_Reports!$Z$3:$Z$502,Trade_Reports!$H$3:$H$502,$A425,Trade_Reports!$M$3:$M$502,"APPROVED")/SUMIFS(Trade_Reports!$U$3:$U$502,Trade_Reports!$H$3:$H$502,$A425,Trade_Reports!$M$3:$M$502,"APPROVED"),""))</f>
        <v/>
      </c>
      <c r="W425" s="2" t="str">
        <f t="shared" si="3"/>
        <v/>
      </c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 t="str">
        <f t="shared" si="2"/>
        <v/>
      </c>
      <c r="P426" s="2"/>
      <c r="Q426" s="2"/>
      <c r="R426" s="2"/>
      <c r="S426" s="2"/>
      <c r="T426" s="2"/>
      <c r="U426" s="2"/>
      <c r="V426" s="26" t="str">
        <f>IF(OR($A426="",ISERROR(SEARCH("_",$A426))),"",IFERROR(SUMIFS(Trade_Reports!$Z$3:$Z$502,Trade_Reports!$H$3:$H$502,$A426,Trade_Reports!$M$3:$M$502,"APPROVED")/SUMIFS(Trade_Reports!$U$3:$U$502,Trade_Reports!$H$3:$H$502,$A426,Trade_Reports!$M$3:$M$502,"APPROVED"),""))</f>
        <v/>
      </c>
      <c r="W426" s="2" t="str">
        <f t="shared" si="3"/>
        <v/>
      </c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 t="str">
        <f t="shared" si="2"/>
        <v/>
      </c>
      <c r="P427" s="2"/>
      <c r="Q427" s="2"/>
      <c r="R427" s="2"/>
      <c r="S427" s="2"/>
      <c r="T427" s="2"/>
      <c r="U427" s="2"/>
      <c r="V427" s="26" t="str">
        <f>IF(OR($A427="",ISERROR(SEARCH("_",$A427))),"",IFERROR(SUMIFS(Trade_Reports!$Z$3:$Z$502,Trade_Reports!$H$3:$H$502,$A427,Trade_Reports!$M$3:$M$502,"APPROVED")/SUMIFS(Trade_Reports!$U$3:$U$502,Trade_Reports!$H$3:$H$502,$A427,Trade_Reports!$M$3:$M$502,"APPROVED"),""))</f>
        <v/>
      </c>
      <c r="W427" s="2" t="str">
        <f t="shared" si="3"/>
        <v/>
      </c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 t="str">
        <f t="shared" si="2"/>
        <v/>
      </c>
      <c r="P428" s="2"/>
      <c r="Q428" s="2"/>
      <c r="R428" s="2"/>
      <c r="S428" s="2"/>
      <c r="T428" s="2"/>
      <c r="U428" s="2"/>
      <c r="V428" s="26" t="str">
        <f>IF(OR($A428="",ISERROR(SEARCH("_",$A428))),"",IFERROR(SUMIFS(Trade_Reports!$Z$3:$Z$502,Trade_Reports!$H$3:$H$502,$A428,Trade_Reports!$M$3:$M$502,"APPROVED")/SUMIFS(Trade_Reports!$U$3:$U$502,Trade_Reports!$H$3:$H$502,$A428,Trade_Reports!$M$3:$M$502,"APPROVED"),""))</f>
        <v/>
      </c>
      <c r="W428" s="2" t="str">
        <f t="shared" si="3"/>
        <v/>
      </c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 t="str">
        <f t="shared" si="2"/>
        <v/>
      </c>
      <c r="P429" s="2"/>
      <c r="Q429" s="2"/>
      <c r="R429" s="2"/>
      <c r="S429" s="2"/>
      <c r="T429" s="2"/>
      <c r="U429" s="2"/>
      <c r="V429" s="26" t="str">
        <f>IF(OR($A429="",ISERROR(SEARCH("_",$A429))),"",IFERROR(SUMIFS(Trade_Reports!$Z$3:$Z$502,Trade_Reports!$H$3:$H$502,$A429,Trade_Reports!$M$3:$M$502,"APPROVED")/SUMIFS(Trade_Reports!$U$3:$U$502,Trade_Reports!$H$3:$H$502,$A429,Trade_Reports!$M$3:$M$502,"APPROVED"),""))</f>
        <v/>
      </c>
      <c r="W429" s="2" t="str">
        <f t="shared" si="3"/>
        <v/>
      </c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 t="str">
        <f t="shared" si="2"/>
        <v/>
      </c>
      <c r="P430" s="2"/>
      <c r="Q430" s="2"/>
      <c r="R430" s="2"/>
      <c r="S430" s="2"/>
      <c r="T430" s="2"/>
      <c r="U430" s="2"/>
      <c r="V430" s="26" t="str">
        <f>IF(OR($A430="",ISERROR(SEARCH("_",$A430))),"",IFERROR(SUMIFS(Trade_Reports!$Z$3:$Z$502,Trade_Reports!$H$3:$H$502,$A430,Trade_Reports!$M$3:$M$502,"APPROVED")/SUMIFS(Trade_Reports!$U$3:$U$502,Trade_Reports!$H$3:$H$502,$A430,Trade_Reports!$M$3:$M$502,"APPROVED"),""))</f>
        <v/>
      </c>
      <c r="W430" s="2" t="str">
        <f t="shared" si="3"/>
        <v/>
      </c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 t="str">
        <f t="shared" si="2"/>
        <v/>
      </c>
      <c r="P431" s="2"/>
      <c r="Q431" s="2"/>
      <c r="R431" s="2"/>
      <c r="S431" s="2"/>
      <c r="T431" s="2"/>
      <c r="U431" s="2"/>
      <c r="V431" s="26" t="str">
        <f>IF(OR($A431="",ISERROR(SEARCH("_",$A431))),"",IFERROR(SUMIFS(Trade_Reports!$Z$3:$Z$502,Trade_Reports!$H$3:$H$502,$A431,Trade_Reports!$M$3:$M$502,"APPROVED")/SUMIFS(Trade_Reports!$U$3:$U$502,Trade_Reports!$H$3:$H$502,$A431,Trade_Reports!$M$3:$M$502,"APPROVED"),""))</f>
        <v/>
      </c>
      <c r="W431" s="2" t="str">
        <f t="shared" si="3"/>
        <v/>
      </c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 t="str">
        <f t="shared" si="2"/>
        <v/>
      </c>
      <c r="P432" s="2"/>
      <c r="Q432" s="2"/>
      <c r="R432" s="2"/>
      <c r="S432" s="2"/>
      <c r="T432" s="2"/>
      <c r="U432" s="2"/>
      <c r="V432" s="26" t="str">
        <f>IF(OR($A432="",ISERROR(SEARCH("_",$A432))),"",IFERROR(SUMIFS(Trade_Reports!$Z$3:$Z$502,Trade_Reports!$H$3:$H$502,$A432,Trade_Reports!$M$3:$M$502,"APPROVED")/SUMIFS(Trade_Reports!$U$3:$U$502,Trade_Reports!$H$3:$H$502,$A432,Trade_Reports!$M$3:$M$502,"APPROVED"),""))</f>
        <v/>
      </c>
      <c r="W432" s="2" t="str">
        <f t="shared" si="3"/>
        <v/>
      </c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 t="str">
        <f t="shared" si="2"/>
        <v/>
      </c>
      <c r="P433" s="2"/>
      <c r="Q433" s="2"/>
      <c r="R433" s="2"/>
      <c r="S433" s="2"/>
      <c r="T433" s="2"/>
      <c r="U433" s="2"/>
      <c r="V433" s="26" t="str">
        <f>IF(OR($A433="",ISERROR(SEARCH("_",$A433))),"",IFERROR(SUMIFS(Trade_Reports!$Z$3:$Z$502,Trade_Reports!$H$3:$H$502,$A433,Trade_Reports!$M$3:$M$502,"APPROVED")/SUMIFS(Trade_Reports!$U$3:$U$502,Trade_Reports!$H$3:$H$502,$A433,Trade_Reports!$M$3:$M$502,"APPROVED"),""))</f>
        <v/>
      </c>
      <c r="W433" s="2" t="str">
        <f t="shared" si="3"/>
        <v/>
      </c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 t="str">
        <f t="shared" si="2"/>
        <v/>
      </c>
      <c r="P434" s="2"/>
      <c r="Q434" s="2"/>
      <c r="R434" s="2"/>
      <c r="S434" s="2"/>
      <c r="T434" s="2"/>
      <c r="U434" s="2"/>
      <c r="V434" s="26" t="str">
        <f>IF(OR($A434="",ISERROR(SEARCH("_",$A434))),"",IFERROR(SUMIFS(Trade_Reports!$Z$3:$Z$502,Trade_Reports!$H$3:$H$502,$A434,Trade_Reports!$M$3:$M$502,"APPROVED")/SUMIFS(Trade_Reports!$U$3:$U$502,Trade_Reports!$H$3:$H$502,$A434,Trade_Reports!$M$3:$M$502,"APPROVED"),""))</f>
        <v/>
      </c>
      <c r="W434" s="2" t="str">
        <f t="shared" si="3"/>
        <v/>
      </c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 t="str">
        <f t="shared" si="2"/>
        <v/>
      </c>
      <c r="P435" s="2"/>
      <c r="Q435" s="2"/>
      <c r="R435" s="2"/>
      <c r="S435" s="2"/>
      <c r="T435" s="2"/>
      <c r="U435" s="2"/>
      <c r="V435" s="26" t="str">
        <f>IF(OR($A435="",ISERROR(SEARCH("_",$A435))),"",IFERROR(SUMIFS(Trade_Reports!$Z$3:$Z$502,Trade_Reports!$H$3:$H$502,$A435,Trade_Reports!$M$3:$M$502,"APPROVED")/SUMIFS(Trade_Reports!$U$3:$U$502,Trade_Reports!$H$3:$H$502,$A435,Trade_Reports!$M$3:$M$502,"APPROVED"),""))</f>
        <v/>
      </c>
      <c r="W435" s="2" t="str">
        <f t="shared" si="3"/>
        <v/>
      </c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 t="str">
        <f t="shared" si="2"/>
        <v/>
      </c>
      <c r="P436" s="2"/>
      <c r="Q436" s="2"/>
      <c r="R436" s="2"/>
      <c r="S436" s="2"/>
      <c r="T436" s="2"/>
      <c r="U436" s="2"/>
      <c r="V436" s="26" t="str">
        <f>IF(OR($A436="",ISERROR(SEARCH("_",$A436))),"",IFERROR(SUMIFS(Trade_Reports!$Z$3:$Z$502,Trade_Reports!$H$3:$H$502,$A436,Trade_Reports!$M$3:$M$502,"APPROVED")/SUMIFS(Trade_Reports!$U$3:$U$502,Trade_Reports!$H$3:$H$502,$A436,Trade_Reports!$M$3:$M$502,"APPROVED"),""))</f>
        <v/>
      </c>
      <c r="W436" s="2" t="str">
        <f t="shared" si="3"/>
        <v/>
      </c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 t="str">
        <f t="shared" si="2"/>
        <v/>
      </c>
      <c r="P437" s="2"/>
      <c r="Q437" s="2"/>
      <c r="R437" s="2"/>
      <c r="S437" s="2"/>
      <c r="T437" s="2"/>
      <c r="U437" s="2"/>
      <c r="V437" s="26" t="str">
        <f>IF(OR($A437="",ISERROR(SEARCH("_",$A437))),"",IFERROR(SUMIFS(Trade_Reports!$Z$3:$Z$502,Trade_Reports!$H$3:$H$502,$A437,Trade_Reports!$M$3:$M$502,"APPROVED")/SUMIFS(Trade_Reports!$U$3:$U$502,Trade_Reports!$H$3:$H$502,$A437,Trade_Reports!$M$3:$M$502,"APPROVED"),""))</f>
        <v/>
      </c>
      <c r="W437" s="2" t="str">
        <f t="shared" si="3"/>
        <v/>
      </c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 t="str">
        <f t="shared" si="2"/>
        <v/>
      </c>
      <c r="P438" s="2"/>
      <c r="Q438" s="2"/>
      <c r="R438" s="2"/>
      <c r="S438" s="2"/>
      <c r="T438" s="2"/>
      <c r="U438" s="2"/>
      <c r="V438" s="26" t="str">
        <f>IF(OR($A438="",ISERROR(SEARCH("_",$A438))),"",IFERROR(SUMIFS(Trade_Reports!$Z$3:$Z$502,Trade_Reports!$H$3:$H$502,$A438,Trade_Reports!$M$3:$M$502,"APPROVED")/SUMIFS(Trade_Reports!$U$3:$U$502,Trade_Reports!$H$3:$H$502,$A438,Trade_Reports!$M$3:$M$502,"APPROVED"),""))</f>
        <v/>
      </c>
      <c r="W438" s="2" t="str">
        <f t="shared" si="3"/>
        <v/>
      </c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 t="str">
        <f t="shared" si="2"/>
        <v/>
      </c>
      <c r="P439" s="2"/>
      <c r="Q439" s="2"/>
      <c r="R439" s="2"/>
      <c r="S439" s="2"/>
      <c r="T439" s="2"/>
      <c r="U439" s="2"/>
      <c r="V439" s="26" t="str">
        <f>IF(OR($A439="",ISERROR(SEARCH("_",$A439))),"",IFERROR(SUMIFS(Trade_Reports!$Z$3:$Z$502,Trade_Reports!$H$3:$H$502,$A439,Trade_Reports!$M$3:$M$502,"APPROVED")/SUMIFS(Trade_Reports!$U$3:$U$502,Trade_Reports!$H$3:$H$502,$A439,Trade_Reports!$M$3:$M$502,"APPROVED"),""))</f>
        <v/>
      </c>
      <c r="W439" s="2" t="str">
        <f t="shared" si="3"/>
        <v/>
      </c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 t="str">
        <f t="shared" si="2"/>
        <v/>
      </c>
      <c r="P440" s="2"/>
      <c r="Q440" s="2"/>
      <c r="R440" s="2"/>
      <c r="S440" s="2"/>
      <c r="T440" s="2"/>
      <c r="U440" s="2"/>
      <c r="V440" s="26" t="str">
        <f>IF(OR($A440="",ISERROR(SEARCH("_",$A440))),"",IFERROR(SUMIFS(Trade_Reports!$Z$3:$Z$502,Trade_Reports!$H$3:$H$502,$A440,Trade_Reports!$M$3:$M$502,"APPROVED")/SUMIFS(Trade_Reports!$U$3:$U$502,Trade_Reports!$H$3:$H$502,$A440,Trade_Reports!$M$3:$M$502,"APPROVED"),""))</f>
        <v/>
      </c>
      <c r="W440" s="2" t="str">
        <f t="shared" si="3"/>
        <v/>
      </c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 t="str">
        <f t="shared" si="2"/>
        <v/>
      </c>
      <c r="P441" s="2"/>
      <c r="Q441" s="2"/>
      <c r="R441" s="2"/>
      <c r="S441" s="2"/>
      <c r="T441" s="2"/>
      <c r="U441" s="2"/>
      <c r="V441" s="26" t="str">
        <f>IF(OR($A441="",ISERROR(SEARCH("_",$A441))),"",IFERROR(SUMIFS(Trade_Reports!$Z$3:$Z$502,Trade_Reports!$H$3:$H$502,$A441,Trade_Reports!$M$3:$M$502,"APPROVED")/SUMIFS(Trade_Reports!$U$3:$U$502,Trade_Reports!$H$3:$H$502,$A441,Trade_Reports!$M$3:$M$502,"APPROVED"),""))</f>
        <v/>
      </c>
      <c r="W441" s="2" t="str">
        <f t="shared" si="3"/>
        <v/>
      </c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 t="str">
        <f t="shared" si="2"/>
        <v/>
      </c>
      <c r="P442" s="2"/>
      <c r="Q442" s="2"/>
      <c r="R442" s="2"/>
      <c r="S442" s="2"/>
      <c r="T442" s="2"/>
      <c r="U442" s="2"/>
      <c r="V442" s="26" t="str">
        <f>IF(OR($A442="",ISERROR(SEARCH("_",$A442))),"",IFERROR(SUMIFS(Trade_Reports!$Z$3:$Z$502,Trade_Reports!$H$3:$H$502,$A442,Trade_Reports!$M$3:$M$502,"APPROVED")/SUMIFS(Trade_Reports!$U$3:$U$502,Trade_Reports!$H$3:$H$502,$A442,Trade_Reports!$M$3:$M$502,"APPROVED"),""))</f>
        <v/>
      </c>
      <c r="W442" s="2" t="str">
        <f t="shared" si="3"/>
        <v/>
      </c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 t="str">
        <f t="shared" si="2"/>
        <v/>
      </c>
      <c r="P443" s="2"/>
      <c r="Q443" s="2"/>
      <c r="R443" s="2"/>
      <c r="S443" s="2"/>
      <c r="T443" s="2"/>
      <c r="U443" s="2"/>
      <c r="V443" s="26" t="str">
        <f>IF(OR($A443="",ISERROR(SEARCH("_",$A443))),"",IFERROR(SUMIFS(Trade_Reports!$Z$3:$Z$502,Trade_Reports!$H$3:$H$502,$A443,Trade_Reports!$M$3:$M$502,"APPROVED")/SUMIFS(Trade_Reports!$U$3:$U$502,Trade_Reports!$H$3:$H$502,$A443,Trade_Reports!$M$3:$M$502,"APPROVED"),""))</f>
        <v/>
      </c>
      <c r="W443" s="2" t="str">
        <f t="shared" si="3"/>
        <v/>
      </c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 t="str">
        <f t="shared" si="2"/>
        <v/>
      </c>
      <c r="P444" s="2"/>
      <c r="Q444" s="2"/>
      <c r="R444" s="2"/>
      <c r="S444" s="2"/>
      <c r="T444" s="2"/>
      <c r="U444" s="2"/>
      <c r="V444" s="26" t="str">
        <f>IF(OR($A444="",ISERROR(SEARCH("_",$A444))),"",IFERROR(SUMIFS(Trade_Reports!$Z$3:$Z$502,Trade_Reports!$H$3:$H$502,$A444,Trade_Reports!$M$3:$M$502,"APPROVED")/SUMIFS(Trade_Reports!$U$3:$U$502,Trade_Reports!$H$3:$H$502,$A444,Trade_Reports!$M$3:$M$502,"APPROVED"),""))</f>
        <v/>
      </c>
      <c r="W444" s="2" t="str">
        <f t="shared" si="3"/>
        <v/>
      </c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 t="str">
        <f t="shared" si="2"/>
        <v/>
      </c>
      <c r="P445" s="2"/>
      <c r="Q445" s="2"/>
      <c r="R445" s="2"/>
      <c r="S445" s="2"/>
      <c r="T445" s="2"/>
      <c r="U445" s="2"/>
      <c r="V445" s="26" t="str">
        <f>IF(OR($A445="",ISERROR(SEARCH("_",$A445))),"",IFERROR(SUMIFS(Trade_Reports!$Z$3:$Z$502,Trade_Reports!$H$3:$H$502,$A445,Trade_Reports!$M$3:$M$502,"APPROVED")/SUMIFS(Trade_Reports!$U$3:$U$502,Trade_Reports!$H$3:$H$502,$A445,Trade_Reports!$M$3:$M$502,"APPROVED"),""))</f>
        <v/>
      </c>
      <c r="W445" s="2" t="str">
        <f t="shared" si="3"/>
        <v/>
      </c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 t="str">
        <f t="shared" si="2"/>
        <v/>
      </c>
      <c r="P446" s="2"/>
      <c r="Q446" s="2"/>
      <c r="R446" s="2"/>
      <c r="S446" s="2"/>
      <c r="T446" s="2"/>
      <c r="U446" s="2"/>
      <c r="V446" s="26" t="str">
        <f>IF(OR($A446="",ISERROR(SEARCH("_",$A446))),"",IFERROR(SUMIFS(Trade_Reports!$Z$3:$Z$502,Trade_Reports!$H$3:$H$502,$A446,Trade_Reports!$M$3:$M$502,"APPROVED")/SUMIFS(Trade_Reports!$U$3:$U$502,Trade_Reports!$H$3:$H$502,$A446,Trade_Reports!$M$3:$M$502,"APPROVED"),""))</f>
        <v/>
      </c>
      <c r="W446" s="2" t="str">
        <f t="shared" si="3"/>
        <v/>
      </c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 t="str">
        <f t="shared" si="2"/>
        <v/>
      </c>
      <c r="P447" s="2"/>
      <c r="Q447" s="2"/>
      <c r="R447" s="2"/>
      <c r="S447" s="2"/>
      <c r="T447" s="2"/>
      <c r="U447" s="2"/>
      <c r="V447" s="26" t="str">
        <f>IF(OR($A447="",ISERROR(SEARCH("_",$A447))),"",IFERROR(SUMIFS(Trade_Reports!$Z$3:$Z$502,Trade_Reports!$H$3:$H$502,$A447,Trade_Reports!$M$3:$M$502,"APPROVED")/SUMIFS(Trade_Reports!$U$3:$U$502,Trade_Reports!$H$3:$H$502,$A447,Trade_Reports!$M$3:$M$502,"APPROVED"),""))</f>
        <v/>
      </c>
      <c r="W447" s="2" t="str">
        <f t="shared" si="3"/>
        <v/>
      </c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 t="str">
        <f t="shared" si="2"/>
        <v/>
      </c>
      <c r="P448" s="2"/>
      <c r="Q448" s="2"/>
      <c r="R448" s="2"/>
      <c r="S448" s="2"/>
      <c r="T448" s="2"/>
      <c r="U448" s="2"/>
      <c r="V448" s="26" t="str">
        <f>IF(OR($A448="",ISERROR(SEARCH("_",$A448))),"",IFERROR(SUMIFS(Trade_Reports!$Z$3:$Z$502,Trade_Reports!$H$3:$H$502,$A448,Trade_Reports!$M$3:$M$502,"APPROVED")/SUMIFS(Trade_Reports!$U$3:$U$502,Trade_Reports!$H$3:$H$502,$A448,Trade_Reports!$M$3:$M$502,"APPROVED"),""))</f>
        <v/>
      </c>
      <c r="W448" s="2" t="str">
        <f t="shared" si="3"/>
        <v/>
      </c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 t="str">
        <f t="shared" si="2"/>
        <v/>
      </c>
      <c r="P449" s="2"/>
      <c r="Q449" s="2"/>
      <c r="R449" s="2"/>
      <c r="S449" s="2"/>
      <c r="T449" s="2"/>
      <c r="U449" s="2"/>
      <c r="V449" s="26" t="str">
        <f>IF(OR($A449="",ISERROR(SEARCH("_",$A449))),"",IFERROR(SUMIFS(Trade_Reports!$Z$3:$Z$502,Trade_Reports!$H$3:$H$502,$A449,Trade_Reports!$M$3:$M$502,"APPROVED")/SUMIFS(Trade_Reports!$U$3:$U$502,Trade_Reports!$H$3:$H$502,$A449,Trade_Reports!$M$3:$M$502,"APPROVED"),""))</f>
        <v/>
      </c>
      <c r="W449" s="2" t="str">
        <f t="shared" si="3"/>
        <v/>
      </c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 t="str">
        <f t="shared" si="2"/>
        <v/>
      </c>
      <c r="P450" s="2"/>
      <c r="Q450" s="2"/>
      <c r="R450" s="2"/>
      <c r="S450" s="2"/>
      <c r="T450" s="2"/>
      <c r="U450" s="2"/>
      <c r="V450" s="26" t="str">
        <f>IF(OR($A450="",ISERROR(SEARCH("_",$A450))),"",IFERROR(SUMIFS(Trade_Reports!$Z$3:$Z$502,Trade_Reports!$H$3:$H$502,$A450,Trade_Reports!$M$3:$M$502,"APPROVED")/SUMIFS(Trade_Reports!$U$3:$U$502,Trade_Reports!$H$3:$H$502,$A450,Trade_Reports!$M$3:$M$502,"APPROVED"),""))</f>
        <v/>
      </c>
      <c r="W450" s="2" t="str">
        <f t="shared" si="3"/>
        <v/>
      </c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 t="str">
        <f t="shared" si="2"/>
        <v/>
      </c>
      <c r="P451" s="2"/>
      <c r="Q451" s="2"/>
      <c r="R451" s="2"/>
      <c r="S451" s="2"/>
      <c r="T451" s="2"/>
      <c r="U451" s="2"/>
      <c r="V451" s="26" t="str">
        <f>IF(OR($A451="",ISERROR(SEARCH("_",$A451))),"",IFERROR(SUMIFS(Trade_Reports!$Z$3:$Z$502,Trade_Reports!$H$3:$H$502,$A451,Trade_Reports!$M$3:$M$502,"APPROVED")/SUMIFS(Trade_Reports!$U$3:$U$502,Trade_Reports!$H$3:$H$502,$A451,Trade_Reports!$M$3:$M$502,"APPROVED"),""))</f>
        <v/>
      </c>
      <c r="W451" s="2" t="str">
        <f t="shared" si="3"/>
        <v/>
      </c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 t="str">
        <f t="shared" si="2"/>
        <v/>
      </c>
      <c r="P452" s="2"/>
      <c r="Q452" s="2"/>
      <c r="R452" s="2"/>
      <c r="S452" s="2"/>
      <c r="T452" s="2"/>
      <c r="U452" s="2"/>
      <c r="V452" s="26" t="str">
        <f>IF(OR($A452="",ISERROR(SEARCH("_",$A452))),"",IFERROR(SUMIFS(Trade_Reports!$Z$3:$Z$502,Trade_Reports!$H$3:$H$502,$A452,Trade_Reports!$M$3:$M$502,"APPROVED")/SUMIFS(Trade_Reports!$U$3:$U$502,Trade_Reports!$H$3:$H$502,$A452,Trade_Reports!$M$3:$M$502,"APPROVED"),""))</f>
        <v/>
      </c>
      <c r="W452" s="2" t="str">
        <f t="shared" si="3"/>
        <v/>
      </c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 t="str">
        <f t="shared" si="2"/>
        <v/>
      </c>
      <c r="P453" s="2"/>
      <c r="Q453" s="2"/>
      <c r="R453" s="2"/>
      <c r="S453" s="2"/>
      <c r="T453" s="2"/>
      <c r="U453" s="2"/>
      <c r="V453" s="26" t="str">
        <f>IF(OR($A453="",ISERROR(SEARCH("_",$A453))),"",IFERROR(SUMIFS(Trade_Reports!$Z$3:$Z$502,Trade_Reports!$H$3:$H$502,$A453,Trade_Reports!$M$3:$M$502,"APPROVED")/SUMIFS(Trade_Reports!$U$3:$U$502,Trade_Reports!$H$3:$H$502,$A453,Trade_Reports!$M$3:$M$502,"APPROVED"),""))</f>
        <v/>
      </c>
      <c r="W453" s="2" t="str">
        <f t="shared" si="3"/>
        <v/>
      </c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 t="str">
        <f t="shared" si="2"/>
        <v/>
      </c>
      <c r="P454" s="2"/>
      <c r="Q454" s="2"/>
      <c r="R454" s="2"/>
      <c r="S454" s="2"/>
      <c r="T454" s="2"/>
      <c r="U454" s="2"/>
      <c r="V454" s="26" t="str">
        <f>IF(OR($A454="",ISERROR(SEARCH("_",$A454))),"",IFERROR(SUMIFS(Trade_Reports!$Z$3:$Z$502,Trade_Reports!$H$3:$H$502,$A454,Trade_Reports!$M$3:$M$502,"APPROVED")/SUMIFS(Trade_Reports!$U$3:$U$502,Trade_Reports!$H$3:$H$502,$A454,Trade_Reports!$M$3:$M$502,"APPROVED"),""))</f>
        <v/>
      </c>
      <c r="W454" s="2" t="str">
        <f t="shared" si="3"/>
        <v/>
      </c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 t="str">
        <f t="shared" si="2"/>
        <v/>
      </c>
      <c r="P455" s="2"/>
      <c r="Q455" s="2"/>
      <c r="R455" s="2"/>
      <c r="S455" s="2"/>
      <c r="T455" s="2"/>
      <c r="U455" s="2"/>
      <c r="V455" s="26" t="str">
        <f>IF(OR($A455="",ISERROR(SEARCH("_",$A455))),"",IFERROR(SUMIFS(Trade_Reports!$Z$3:$Z$502,Trade_Reports!$H$3:$H$502,$A455,Trade_Reports!$M$3:$M$502,"APPROVED")/SUMIFS(Trade_Reports!$U$3:$U$502,Trade_Reports!$H$3:$H$502,$A455,Trade_Reports!$M$3:$M$502,"APPROVED"),""))</f>
        <v/>
      </c>
      <c r="W455" s="2" t="str">
        <f t="shared" si="3"/>
        <v/>
      </c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 t="str">
        <f t="shared" si="2"/>
        <v/>
      </c>
      <c r="P456" s="2"/>
      <c r="Q456" s="2"/>
      <c r="R456" s="2"/>
      <c r="S456" s="2"/>
      <c r="T456" s="2"/>
      <c r="U456" s="2"/>
      <c r="V456" s="26" t="str">
        <f>IF(OR($A456="",ISERROR(SEARCH("_",$A456))),"",IFERROR(SUMIFS(Trade_Reports!$Z$3:$Z$502,Trade_Reports!$H$3:$H$502,$A456,Trade_Reports!$M$3:$M$502,"APPROVED")/SUMIFS(Trade_Reports!$U$3:$U$502,Trade_Reports!$H$3:$H$502,$A456,Trade_Reports!$M$3:$M$502,"APPROVED"),""))</f>
        <v/>
      </c>
      <c r="W456" s="2" t="str">
        <f t="shared" si="3"/>
        <v/>
      </c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 t="str">
        <f t="shared" si="2"/>
        <v/>
      </c>
      <c r="P457" s="2"/>
      <c r="Q457" s="2"/>
      <c r="R457" s="2"/>
      <c r="S457" s="2"/>
      <c r="T457" s="2"/>
      <c r="U457" s="2"/>
      <c r="V457" s="26" t="str">
        <f>IF(OR($A457="",ISERROR(SEARCH("_",$A457))),"",IFERROR(SUMIFS(Trade_Reports!$Z$3:$Z$502,Trade_Reports!$H$3:$H$502,$A457,Trade_Reports!$M$3:$M$502,"APPROVED")/SUMIFS(Trade_Reports!$U$3:$U$502,Trade_Reports!$H$3:$H$502,$A457,Trade_Reports!$M$3:$M$502,"APPROVED"),""))</f>
        <v/>
      </c>
      <c r="W457" s="2" t="str">
        <f t="shared" si="3"/>
        <v/>
      </c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 t="str">
        <f t="shared" si="2"/>
        <v/>
      </c>
      <c r="P458" s="2"/>
      <c r="Q458" s="2"/>
      <c r="R458" s="2"/>
      <c r="S458" s="2"/>
      <c r="T458" s="2"/>
      <c r="U458" s="2"/>
      <c r="V458" s="26" t="str">
        <f>IF(OR($A458="",ISERROR(SEARCH("_",$A458))),"",IFERROR(SUMIFS(Trade_Reports!$Z$3:$Z$502,Trade_Reports!$H$3:$H$502,$A458,Trade_Reports!$M$3:$M$502,"APPROVED")/SUMIFS(Trade_Reports!$U$3:$U$502,Trade_Reports!$H$3:$H$502,$A458,Trade_Reports!$M$3:$M$502,"APPROVED"),""))</f>
        <v/>
      </c>
      <c r="W458" s="2" t="str">
        <f t="shared" si="3"/>
        <v/>
      </c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 t="str">
        <f t="shared" si="2"/>
        <v/>
      </c>
      <c r="P459" s="2"/>
      <c r="Q459" s="2"/>
      <c r="R459" s="2"/>
      <c r="S459" s="2"/>
      <c r="T459" s="2"/>
      <c r="U459" s="2"/>
      <c r="V459" s="26" t="str">
        <f>IF(OR($A459="",ISERROR(SEARCH("_",$A459))),"",IFERROR(SUMIFS(Trade_Reports!$Z$3:$Z$502,Trade_Reports!$H$3:$H$502,$A459,Trade_Reports!$M$3:$M$502,"APPROVED")/SUMIFS(Trade_Reports!$U$3:$U$502,Trade_Reports!$H$3:$H$502,$A459,Trade_Reports!$M$3:$M$502,"APPROVED"),""))</f>
        <v/>
      </c>
      <c r="W459" s="2" t="str">
        <f t="shared" si="3"/>
        <v/>
      </c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 t="str">
        <f t="shared" si="2"/>
        <v/>
      </c>
      <c r="P460" s="2"/>
      <c r="Q460" s="2"/>
      <c r="R460" s="2"/>
      <c r="S460" s="2"/>
      <c r="T460" s="2"/>
      <c r="U460" s="2"/>
      <c r="V460" s="26" t="str">
        <f>IF(OR($A460="",ISERROR(SEARCH("_",$A460))),"",IFERROR(SUMIFS(Trade_Reports!$Z$3:$Z$502,Trade_Reports!$H$3:$H$502,$A460,Trade_Reports!$M$3:$M$502,"APPROVED")/SUMIFS(Trade_Reports!$U$3:$U$502,Trade_Reports!$H$3:$H$502,$A460,Trade_Reports!$M$3:$M$502,"APPROVED"),""))</f>
        <v/>
      </c>
      <c r="W460" s="2" t="str">
        <f t="shared" si="3"/>
        <v/>
      </c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 t="str">
        <f t="shared" si="2"/>
        <v/>
      </c>
      <c r="P461" s="2"/>
      <c r="Q461" s="2"/>
      <c r="R461" s="2"/>
      <c r="S461" s="2"/>
      <c r="T461" s="2"/>
      <c r="U461" s="2"/>
      <c r="V461" s="26" t="str">
        <f>IF(OR($A461="",ISERROR(SEARCH("_",$A461))),"",IFERROR(SUMIFS(Trade_Reports!$Z$3:$Z$502,Trade_Reports!$H$3:$H$502,$A461,Trade_Reports!$M$3:$M$502,"APPROVED")/SUMIFS(Trade_Reports!$U$3:$U$502,Trade_Reports!$H$3:$H$502,$A461,Trade_Reports!$M$3:$M$502,"APPROVED"),""))</f>
        <v/>
      </c>
      <c r="W461" s="2" t="str">
        <f t="shared" si="3"/>
        <v/>
      </c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 t="str">
        <f t="shared" si="2"/>
        <v/>
      </c>
      <c r="P462" s="2"/>
      <c r="Q462" s="2"/>
      <c r="R462" s="2"/>
      <c r="S462" s="2"/>
      <c r="T462" s="2"/>
      <c r="U462" s="2"/>
      <c r="V462" s="26" t="str">
        <f>IF(OR($A462="",ISERROR(SEARCH("_",$A462))),"",IFERROR(SUMIFS(Trade_Reports!$Z$3:$Z$502,Trade_Reports!$H$3:$H$502,$A462,Trade_Reports!$M$3:$M$502,"APPROVED")/SUMIFS(Trade_Reports!$U$3:$U$502,Trade_Reports!$H$3:$H$502,$A462,Trade_Reports!$M$3:$M$502,"APPROVED"),""))</f>
        <v/>
      </c>
      <c r="W462" s="2" t="str">
        <f t="shared" si="3"/>
        <v/>
      </c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 t="str">
        <f t="shared" si="2"/>
        <v/>
      </c>
      <c r="P463" s="2"/>
      <c r="Q463" s="2"/>
      <c r="R463" s="2"/>
      <c r="S463" s="2"/>
      <c r="T463" s="2"/>
      <c r="U463" s="2"/>
      <c r="V463" s="26" t="str">
        <f>IF(OR($A463="",ISERROR(SEARCH("_",$A463))),"",IFERROR(SUMIFS(Trade_Reports!$Z$3:$Z$502,Trade_Reports!$H$3:$H$502,$A463,Trade_Reports!$M$3:$M$502,"APPROVED")/SUMIFS(Trade_Reports!$U$3:$U$502,Trade_Reports!$H$3:$H$502,$A463,Trade_Reports!$M$3:$M$502,"APPROVED"),""))</f>
        <v/>
      </c>
      <c r="W463" s="2" t="str">
        <f t="shared" si="3"/>
        <v/>
      </c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 t="str">
        <f t="shared" si="2"/>
        <v/>
      </c>
      <c r="P464" s="2"/>
      <c r="Q464" s="2"/>
      <c r="R464" s="2"/>
      <c r="S464" s="2"/>
      <c r="T464" s="2"/>
      <c r="U464" s="2"/>
      <c r="V464" s="26" t="str">
        <f>IF(OR($A464="",ISERROR(SEARCH("_",$A464))),"",IFERROR(SUMIFS(Trade_Reports!$Z$3:$Z$502,Trade_Reports!$H$3:$H$502,$A464,Trade_Reports!$M$3:$M$502,"APPROVED")/SUMIFS(Trade_Reports!$U$3:$U$502,Trade_Reports!$H$3:$H$502,$A464,Trade_Reports!$M$3:$M$502,"APPROVED"),""))</f>
        <v/>
      </c>
      <c r="W464" s="2" t="str">
        <f t="shared" si="3"/>
        <v/>
      </c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 t="str">
        <f t="shared" si="2"/>
        <v/>
      </c>
      <c r="P465" s="2"/>
      <c r="Q465" s="2"/>
      <c r="R465" s="2"/>
      <c r="S465" s="2"/>
      <c r="T465" s="2"/>
      <c r="U465" s="2"/>
      <c r="V465" s="26" t="str">
        <f>IF(OR($A465="",ISERROR(SEARCH("_",$A465))),"",IFERROR(SUMIFS(Trade_Reports!$Z$3:$Z$502,Trade_Reports!$H$3:$H$502,$A465,Trade_Reports!$M$3:$M$502,"APPROVED")/SUMIFS(Trade_Reports!$U$3:$U$502,Trade_Reports!$H$3:$H$502,$A465,Trade_Reports!$M$3:$M$502,"APPROVED"),""))</f>
        <v/>
      </c>
      <c r="W465" s="2" t="str">
        <f t="shared" si="3"/>
        <v/>
      </c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 t="str">
        <f t="shared" si="2"/>
        <v/>
      </c>
      <c r="P466" s="2"/>
      <c r="Q466" s="2"/>
      <c r="R466" s="2"/>
      <c r="S466" s="2"/>
      <c r="T466" s="2"/>
      <c r="U466" s="2"/>
      <c r="V466" s="26" t="str">
        <f>IF(OR($A466="",ISERROR(SEARCH("_",$A466))),"",IFERROR(SUMIFS(Trade_Reports!$Z$3:$Z$502,Trade_Reports!$H$3:$H$502,$A466,Trade_Reports!$M$3:$M$502,"APPROVED")/SUMIFS(Trade_Reports!$U$3:$U$502,Trade_Reports!$H$3:$H$502,$A466,Trade_Reports!$M$3:$M$502,"APPROVED"),""))</f>
        <v/>
      </c>
      <c r="W466" s="2" t="str">
        <f t="shared" si="3"/>
        <v/>
      </c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 t="str">
        <f t="shared" si="2"/>
        <v/>
      </c>
      <c r="P467" s="2"/>
      <c r="Q467" s="2"/>
      <c r="R467" s="2"/>
      <c r="S467" s="2"/>
      <c r="T467" s="2"/>
      <c r="U467" s="2"/>
      <c r="V467" s="26" t="str">
        <f>IF(OR($A467="",ISERROR(SEARCH("_",$A467))),"",IFERROR(SUMIFS(Trade_Reports!$Z$3:$Z$502,Trade_Reports!$H$3:$H$502,$A467,Trade_Reports!$M$3:$M$502,"APPROVED")/SUMIFS(Trade_Reports!$U$3:$U$502,Trade_Reports!$H$3:$H$502,$A467,Trade_Reports!$M$3:$M$502,"APPROVED"),""))</f>
        <v/>
      </c>
      <c r="W467" s="2" t="str">
        <f t="shared" si="3"/>
        <v/>
      </c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 t="str">
        <f t="shared" si="2"/>
        <v/>
      </c>
      <c r="P468" s="2"/>
      <c r="Q468" s="2"/>
      <c r="R468" s="2"/>
      <c r="S468" s="2"/>
      <c r="T468" s="2"/>
      <c r="U468" s="2"/>
      <c r="V468" s="26" t="str">
        <f>IF(OR($A468="",ISERROR(SEARCH("_",$A468))),"",IFERROR(SUMIFS(Trade_Reports!$Z$3:$Z$502,Trade_Reports!$H$3:$H$502,$A468,Trade_Reports!$M$3:$M$502,"APPROVED")/SUMIFS(Trade_Reports!$U$3:$U$502,Trade_Reports!$H$3:$H$502,$A468,Trade_Reports!$M$3:$M$502,"APPROVED"),""))</f>
        <v/>
      </c>
      <c r="W468" s="2" t="str">
        <f t="shared" si="3"/>
        <v/>
      </c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 t="str">
        <f t="shared" si="2"/>
        <v/>
      </c>
      <c r="P469" s="2"/>
      <c r="Q469" s="2"/>
      <c r="R469" s="2"/>
      <c r="S469" s="2"/>
      <c r="T469" s="2"/>
      <c r="U469" s="2"/>
      <c r="V469" s="26" t="str">
        <f>IF(OR($A469="",ISERROR(SEARCH("_",$A469))),"",IFERROR(SUMIFS(Trade_Reports!$Z$3:$Z$502,Trade_Reports!$H$3:$H$502,$A469,Trade_Reports!$M$3:$M$502,"APPROVED")/SUMIFS(Trade_Reports!$U$3:$U$502,Trade_Reports!$H$3:$H$502,$A469,Trade_Reports!$M$3:$M$502,"APPROVED"),""))</f>
        <v/>
      </c>
      <c r="W469" s="2" t="str">
        <f t="shared" si="3"/>
        <v/>
      </c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 t="str">
        <f t="shared" si="2"/>
        <v/>
      </c>
      <c r="P470" s="2"/>
      <c r="Q470" s="2"/>
      <c r="R470" s="2"/>
      <c r="S470" s="2"/>
      <c r="T470" s="2"/>
      <c r="U470" s="2"/>
      <c r="V470" s="26" t="str">
        <f>IF(OR($A470="",ISERROR(SEARCH("_",$A470))),"",IFERROR(SUMIFS(Trade_Reports!$Z$3:$Z$502,Trade_Reports!$H$3:$H$502,$A470,Trade_Reports!$M$3:$M$502,"APPROVED")/SUMIFS(Trade_Reports!$U$3:$U$502,Trade_Reports!$H$3:$H$502,$A470,Trade_Reports!$M$3:$M$502,"APPROVED"),""))</f>
        <v/>
      </c>
      <c r="W470" s="2" t="str">
        <f t="shared" si="3"/>
        <v/>
      </c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 t="str">
        <f t="shared" si="2"/>
        <v/>
      </c>
      <c r="P471" s="2"/>
      <c r="Q471" s="2"/>
      <c r="R471" s="2"/>
      <c r="S471" s="2"/>
      <c r="T471" s="2"/>
      <c r="U471" s="2"/>
      <c r="V471" s="26" t="str">
        <f>IF(OR($A471="",ISERROR(SEARCH("_",$A471))),"",IFERROR(SUMIFS(Trade_Reports!$Z$3:$Z$502,Trade_Reports!$H$3:$H$502,$A471,Trade_Reports!$M$3:$M$502,"APPROVED")/SUMIFS(Trade_Reports!$U$3:$U$502,Trade_Reports!$H$3:$H$502,$A471,Trade_Reports!$M$3:$M$502,"APPROVED"),""))</f>
        <v/>
      </c>
      <c r="W471" s="2" t="str">
        <f t="shared" si="3"/>
        <v/>
      </c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 t="str">
        <f t="shared" si="2"/>
        <v/>
      </c>
      <c r="P472" s="2"/>
      <c r="Q472" s="2"/>
      <c r="R472" s="2"/>
      <c r="S472" s="2"/>
      <c r="T472" s="2"/>
      <c r="U472" s="2"/>
      <c r="V472" s="26" t="str">
        <f>IF(OR($A472="",ISERROR(SEARCH("_",$A472))),"",IFERROR(SUMIFS(Trade_Reports!$Z$3:$Z$502,Trade_Reports!$H$3:$H$502,$A472,Trade_Reports!$M$3:$M$502,"APPROVED")/SUMIFS(Trade_Reports!$U$3:$U$502,Trade_Reports!$H$3:$H$502,$A472,Trade_Reports!$M$3:$M$502,"APPROVED"),""))</f>
        <v/>
      </c>
      <c r="W472" s="2" t="str">
        <f t="shared" si="3"/>
        <v/>
      </c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 t="str">
        <f t="shared" si="2"/>
        <v/>
      </c>
      <c r="P473" s="2"/>
      <c r="Q473" s="2"/>
      <c r="R473" s="2"/>
      <c r="S473" s="2"/>
      <c r="T473" s="2"/>
      <c r="U473" s="2"/>
      <c r="V473" s="26" t="str">
        <f>IF(OR($A473="",ISERROR(SEARCH("_",$A473))),"",IFERROR(SUMIFS(Trade_Reports!$Z$3:$Z$502,Trade_Reports!$H$3:$H$502,$A473,Trade_Reports!$M$3:$M$502,"APPROVED")/SUMIFS(Trade_Reports!$U$3:$U$502,Trade_Reports!$H$3:$H$502,$A473,Trade_Reports!$M$3:$M$502,"APPROVED"),""))</f>
        <v/>
      </c>
      <c r="W473" s="2" t="str">
        <f t="shared" si="3"/>
        <v/>
      </c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 t="str">
        <f t="shared" si="2"/>
        <v/>
      </c>
      <c r="P474" s="2"/>
      <c r="Q474" s="2"/>
      <c r="R474" s="2"/>
      <c r="S474" s="2"/>
      <c r="T474" s="2"/>
      <c r="U474" s="2"/>
      <c r="V474" s="26" t="str">
        <f>IF(OR($A474="",ISERROR(SEARCH("_",$A474))),"",IFERROR(SUMIFS(Trade_Reports!$Z$3:$Z$502,Trade_Reports!$H$3:$H$502,$A474,Trade_Reports!$M$3:$M$502,"APPROVED")/SUMIFS(Trade_Reports!$U$3:$U$502,Trade_Reports!$H$3:$H$502,$A474,Trade_Reports!$M$3:$M$502,"APPROVED"),""))</f>
        <v/>
      </c>
      <c r="W474" s="2" t="str">
        <f t="shared" si="3"/>
        <v/>
      </c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 t="str">
        <f t="shared" si="2"/>
        <v/>
      </c>
      <c r="P475" s="2"/>
      <c r="Q475" s="2"/>
      <c r="R475" s="2"/>
      <c r="S475" s="2"/>
      <c r="T475" s="2"/>
      <c r="U475" s="2"/>
      <c r="V475" s="26" t="str">
        <f>IF(OR($A475="",ISERROR(SEARCH("_",$A475))),"",IFERROR(SUMIFS(Trade_Reports!$Z$3:$Z$502,Trade_Reports!$H$3:$H$502,$A475,Trade_Reports!$M$3:$M$502,"APPROVED")/SUMIFS(Trade_Reports!$U$3:$U$502,Trade_Reports!$H$3:$H$502,$A475,Trade_Reports!$M$3:$M$502,"APPROVED"),""))</f>
        <v/>
      </c>
      <c r="W475" s="2" t="str">
        <f t="shared" si="3"/>
        <v/>
      </c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 t="str">
        <f t="shared" si="2"/>
        <v/>
      </c>
      <c r="P476" s="2"/>
      <c r="Q476" s="2"/>
      <c r="R476" s="2"/>
      <c r="S476" s="2"/>
      <c r="T476" s="2"/>
      <c r="U476" s="2"/>
      <c r="V476" s="26" t="str">
        <f>IF(OR($A476="",ISERROR(SEARCH("_",$A476))),"",IFERROR(SUMIFS(Trade_Reports!$Z$3:$Z$502,Trade_Reports!$H$3:$H$502,$A476,Trade_Reports!$M$3:$M$502,"APPROVED")/SUMIFS(Trade_Reports!$U$3:$U$502,Trade_Reports!$H$3:$H$502,$A476,Trade_Reports!$M$3:$M$502,"APPROVED"),""))</f>
        <v/>
      </c>
      <c r="W476" s="2" t="str">
        <f t="shared" si="3"/>
        <v/>
      </c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 t="str">
        <f t="shared" si="2"/>
        <v/>
      </c>
      <c r="P477" s="2"/>
      <c r="Q477" s="2"/>
      <c r="R477" s="2"/>
      <c r="S477" s="2"/>
      <c r="T477" s="2"/>
      <c r="U477" s="2"/>
      <c r="V477" s="26" t="str">
        <f>IF(OR($A477="",ISERROR(SEARCH("_",$A477))),"",IFERROR(SUMIFS(Trade_Reports!$Z$3:$Z$502,Trade_Reports!$H$3:$H$502,$A477,Trade_Reports!$M$3:$M$502,"APPROVED")/SUMIFS(Trade_Reports!$U$3:$U$502,Trade_Reports!$H$3:$H$502,$A477,Trade_Reports!$M$3:$M$502,"APPROVED"),""))</f>
        <v/>
      </c>
      <c r="W477" s="2" t="str">
        <f t="shared" si="3"/>
        <v/>
      </c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 t="str">
        <f t="shared" si="2"/>
        <v/>
      </c>
      <c r="P478" s="2"/>
      <c r="Q478" s="2"/>
      <c r="R478" s="2"/>
      <c r="S478" s="2"/>
      <c r="T478" s="2"/>
      <c r="U478" s="2"/>
      <c r="V478" s="26" t="str">
        <f>IF(OR($A478="",ISERROR(SEARCH("_",$A478))),"",IFERROR(SUMIFS(Trade_Reports!$Z$3:$Z$502,Trade_Reports!$H$3:$H$502,$A478,Trade_Reports!$M$3:$M$502,"APPROVED")/SUMIFS(Trade_Reports!$U$3:$U$502,Trade_Reports!$H$3:$H$502,$A478,Trade_Reports!$M$3:$M$502,"APPROVED"),""))</f>
        <v/>
      </c>
      <c r="W478" s="2" t="str">
        <f t="shared" si="3"/>
        <v/>
      </c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 t="str">
        <f t="shared" si="2"/>
        <v/>
      </c>
      <c r="P479" s="2"/>
      <c r="Q479" s="2"/>
      <c r="R479" s="2"/>
      <c r="S479" s="2"/>
      <c r="T479" s="2"/>
      <c r="U479" s="2"/>
      <c r="V479" s="26" t="str">
        <f>IF(OR($A479="",ISERROR(SEARCH("_",$A479))),"",IFERROR(SUMIFS(Trade_Reports!$Z$3:$Z$502,Trade_Reports!$H$3:$H$502,$A479,Trade_Reports!$M$3:$M$502,"APPROVED")/SUMIFS(Trade_Reports!$U$3:$U$502,Trade_Reports!$H$3:$H$502,$A479,Trade_Reports!$M$3:$M$502,"APPROVED"),""))</f>
        <v/>
      </c>
      <c r="W479" s="2" t="str">
        <f t="shared" si="3"/>
        <v/>
      </c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 t="str">
        <f t="shared" si="2"/>
        <v/>
      </c>
      <c r="P480" s="2"/>
      <c r="Q480" s="2"/>
      <c r="R480" s="2"/>
      <c r="S480" s="2"/>
      <c r="T480" s="2"/>
      <c r="U480" s="2"/>
      <c r="V480" s="26" t="str">
        <f>IF(OR($A480="",ISERROR(SEARCH("_",$A480))),"",IFERROR(SUMIFS(Trade_Reports!$Z$3:$Z$502,Trade_Reports!$H$3:$H$502,$A480,Trade_Reports!$M$3:$M$502,"APPROVED")/SUMIFS(Trade_Reports!$U$3:$U$502,Trade_Reports!$H$3:$H$502,$A480,Trade_Reports!$M$3:$M$502,"APPROVED"),""))</f>
        <v/>
      </c>
      <c r="W480" s="2" t="str">
        <f t="shared" si="3"/>
        <v/>
      </c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 t="str">
        <f t="shared" si="2"/>
        <v/>
      </c>
      <c r="P481" s="2"/>
      <c r="Q481" s="2"/>
      <c r="R481" s="2"/>
      <c r="S481" s="2"/>
      <c r="T481" s="2"/>
      <c r="U481" s="2"/>
      <c r="V481" s="26" t="str">
        <f>IF(OR($A481="",ISERROR(SEARCH("_",$A481))),"",IFERROR(SUMIFS(Trade_Reports!$Z$3:$Z$502,Trade_Reports!$H$3:$H$502,$A481,Trade_Reports!$M$3:$M$502,"APPROVED")/SUMIFS(Trade_Reports!$U$3:$U$502,Trade_Reports!$H$3:$H$502,$A481,Trade_Reports!$M$3:$M$502,"APPROVED"),""))</f>
        <v/>
      </c>
      <c r="W481" s="2" t="str">
        <f t="shared" si="3"/>
        <v/>
      </c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 t="str">
        <f t="shared" si="2"/>
        <v/>
      </c>
      <c r="P482" s="2"/>
      <c r="Q482" s="2"/>
      <c r="R482" s="2"/>
      <c r="S482" s="2"/>
      <c r="T482" s="2"/>
      <c r="U482" s="2"/>
      <c r="V482" s="26" t="str">
        <f>IF(OR($A482="",ISERROR(SEARCH("_",$A482))),"",IFERROR(SUMIFS(Trade_Reports!$Z$3:$Z$502,Trade_Reports!$H$3:$H$502,$A482,Trade_Reports!$M$3:$M$502,"APPROVED")/SUMIFS(Trade_Reports!$U$3:$U$502,Trade_Reports!$H$3:$H$502,$A482,Trade_Reports!$M$3:$M$502,"APPROVED"),""))</f>
        <v/>
      </c>
      <c r="W482" s="2" t="str">
        <f t="shared" si="3"/>
        <v/>
      </c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 t="str">
        <f t="shared" si="2"/>
        <v/>
      </c>
      <c r="P483" s="2"/>
      <c r="Q483" s="2"/>
      <c r="R483" s="2"/>
      <c r="S483" s="2"/>
      <c r="T483" s="2"/>
      <c r="U483" s="2"/>
      <c r="V483" s="26" t="str">
        <f>IF(OR($A483="",ISERROR(SEARCH("_",$A483))),"",IFERROR(SUMIFS(Trade_Reports!$Z$3:$Z$502,Trade_Reports!$H$3:$H$502,$A483,Trade_Reports!$M$3:$M$502,"APPROVED")/SUMIFS(Trade_Reports!$U$3:$U$502,Trade_Reports!$H$3:$H$502,$A483,Trade_Reports!$M$3:$M$502,"APPROVED"),""))</f>
        <v/>
      </c>
      <c r="W483" s="2" t="str">
        <f t="shared" si="3"/>
        <v/>
      </c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 t="str">
        <f t="shared" si="2"/>
        <v/>
      </c>
      <c r="P484" s="2"/>
      <c r="Q484" s="2"/>
      <c r="R484" s="2"/>
      <c r="S484" s="2"/>
      <c r="T484" s="2"/>
      <c r="U484" s="2"/>
      <c r="V484" s="26" t="str">
        <f>IF(OR($A484="",ISERROR(SEARCH("_",$A484))),"",IFERROR(SUMIFS(Trade_Reports!$Z$3:$Z$502,Trade_Reports!$H$3:$H$502,$A484,Trade_Reports!$M$3:$M$502,"APPROVED")/SUMIFS(Trade_Reports!$U$3:$U$502,Trade_Reports!$H$3:$H$502,$A484,Trade_Reports!$M$3:$M$502,"APPROVED"),""))</f>
        <v/>
      </c>
      <c r="W484" s="2" t="str">
        <f t="shared" si="3"/>
        <v/>
      </c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 t="str">
        <f t="shared" si="2"/>
        <v/>
      </c>
      <c r="P485" s="2"/>
      <c r="Q485" s="2"/>
      <c r="R485" s="2"/>
      <c r="S485" s="2"/>
      <c r="T485" s="2"/>
      <c r="U485" s="2"/>
      <c r="V485" s="26" t="str">
        <f>IF(OR($A485="",ISERROR(SEARCH("_",$A485))),"",IFERROR(SUMIFS(Trade_Reports!$Z$3:$Z$502,Trade_Reports!$H$3:$H$502,$A485,Trade_Reports!$M$3:$M$502,"APPROVED")/SUMIFS(Trade_Reports!$U$3:$U$502,Trade_Reports!$H$3:$H$502,$A485,Trade_Reports!$M$3:$M$502,"APPROVED"),""))</f>
        <v/>
      </c>
      <c r="W485" s="2" t="str">
        <f t="shared" si="3"/>
        <v/>
      </c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 t="str">
        <f t="shared" si="2"/>
        <v/>
      </c>
      <c r="P486" s="2"/>
      <c r="Q486" s="2"/>
      <c r="R486" s="2"/>
      <c r="S486" s="2"/>
      <c r="T486" s="2"/>
      <c r="U486" s="2"/>
      <c r="V486" s="26" t="str">
        <f>IF(OR($A486="",ISERROR(SEARCH("_",$A486))),"",IFERROR(SUMIFS(Trade_Reports!$Z$3:$Z$502,Trade_Reports!$H$3:$H$502,$A486,Trade_Reports!$M$3:$M$502,"APPROVED")/SUMIFS(Trade_Reports!$U$3:$U$502,Trade_Reports!$H$3:$H$502,$A486,Trade_Reports!$M$3:$M$502,"APPROVED"),""))</f>
        <v/>
      </c>
      <c r="W486" s="2" t="str">
        <f t="shared" si="3"/>
        <v/>
      </c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 t="str">
        <f t="shared" si="2"/>
        <v/>
      </c>
      <c r="P487" s="2"/>
      <c r="Q487" s="2"/>
      <c r="R487" s="2"/>
      <c r="S487" s="2"/>
      <c r="T487" s="2"/>
      <c r="U487" s="2"/>
      <c r="V487" s="26" t="str">
        <f>IF(OR($A487="",ISERROR(SEARCH("_",$A487))),"",IFERROR(SUMIFS(Trade_Reports!$Z$3:$Z$502,Trade_Reports!$H$3:$H$502,$A487,Trade_Reports!$M$3:$M$502,"APPROVED")/SUMIFS(Trade_Reports!$U$3:$U$502,Trade_Reports!$H$3:$H$502,$A487,Trade_Reports!$M$3:$M$502,"APPROVED"),""))</f>
        <v/>
      </c>
      <c r="W487" s="2" t="str">
        <f t="shared" si="3"/>
        <v/>
      </c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 t="str">
        <f t="shared" si="2"/>
        <v/>
      </c>
      <c r="P488" s="2"/>
      <c r="Q488" s="2"/>
      <c r="R488" s="2"/>
      <c r="S488" s="2"/>
      <c r="T488" s="2"/>
      <c r="U488" s="2"/>
      <c r="V488" s="26" t="str">
        <f>IF(OR($A488="",ISERROR(SEARCH("_",$A488))),"",IFERROR(SUMIFS(Trade_Reports!$Z$3:$Z$502,Trade_Reports!$H$3:$H$502,$A488,Trade_Reports!$M$3:$M$502,"APPROVED")/SUMIFS(Trade_Reports!$U$3:$U$502,Trade_Reports!$H$3:$H$502,$A488,Trade_Reports!$M$3:$M$502,"APPROVED"),""))</f>
        <v/>
      </c>
      <c r="W488" s="2" t="str">
        <f t="shared" si="3"/>
        <v/>
      </c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 t="str">
        <f t="shared" si="2"/>
        <v/>
      </c>
      <c r="P489" s="2"/>
      <c r="Q489" s="2"/>
      <c r="R489" s="2"/>
      <c r="S489" s="2"/>
      <c r="T489" s="2"/>
      <c r="U489" s="2"/>
      <c r="V489" s="26" t="str">
        <f>IF(OR($A489="",ISERROR(SEARCH("_",$A489))),"",IFERROR(SUMIFS(Trade_Reports!$Z$3:$Z$502,Trade_Reports!$H$3:$H$502,$A489,Trade_Reports!$M$3:$M$502,"APPROVED")/SUMIFS(Trade_Reports!$U$3:$U$502,Trade_Reports!$H$3:$H$502,$A489,Trade_Reports!$M$3:$M$502,"APPROVED"),""))</f>
        <v/>
      </c>
      <c r="W489" s="2" t="str">
        <f t="shared" si="3"/>
        <v/>
      </c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 t="str">
        <f t="shared" si="2"/>
        <v/>
      </c>
      <c r="P490" s="2"/>
      <c r="Q490" s="2"/>
      <c r="R490" s="2"/>
      <c r="S490" s="2"/>
      <c r="T490" s="2"/>
      <c r="U490" s="2"/>
      <c r="V490" s="26" t="str">
        <f>IF(OR($A490="",ISERROR(SEARCH("_",$A490))),"",IFERROR(SUMIFS(Trade_Reports!$Z$3:$Z$502,Trade_Reports!$H$3:$H$502,$A490,Trade_Reports!$M$3:$M$502,"APPROVED")/SUMIFS(Trade_Reports!$U$3:$U$502,Trade_Reports!$H$3:$H$502,$A490,Trade_Reports!$M$3:$M$502,"APPROVED"),""))</f>
        <v/>
      </c>
      <c r="W490" s="2" t="str">
        <f t="shared" si="3"/>
        <v/>
      </c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 t="str">
        <f t="shared" si="2"/>
        <v/>
      </c>
      <c r="P491" s="2"/>
      <c r="Q491" s="2"/>
      <c r="R491" s="2"/>
      <c r="S491" s="2"/>
      <c r="T491" s="2"/>
      <c r="U491" s="2"/>
      <c r="V491" s="26" t="str">
        <f>IF(OR($A491="",ISERROR(SEARCH("_",$A491))),"",IFERROR(SUMIFS(Trade_Reports!$Z$3:$Z$502,Trade_Reports!$H$3:$H$502,$A491,Trade_Reports!$M$3:$M$502,"APPROVED")/SUMIFS(Trade_Reports!$U$3:$U$502,Trade_Reports!$H$3:$H$502,$A491,Trade_Reports!$M$3:$M$502,"APPROVED"),""))</f>
        <v/>
      </c>
      <c r="W491" s="2" t="str">
        <f t="shared" si="3"/>
        <v/>
      </c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 t="str">
        <f t="shared" si="2"/>
        <v/>
      </c>
      <c r="P492" s="2"/>
      <c r="Q492" s="2"/>
      <c r="R492" s="2"/>
      <c r="S492" s="2"/>
      <c r="T492" s="2"/>
      <c r="U492" s="2"/>
      <c r="V492" s="26" t="str">
        <f>IF(OR($A492="",ISERROR(SEARCH("_",$A492))),"",IFERROR(SUMIFS(Trade_Reports!$Z$3:$Z$502,Trade_Reports!$H$3:$H$502,$A492,Trade_Reports!$M$3:$M$502,"APPROVED")/SUMIFS(Trade_Reports!$U$3:$U$502,Trade_Reports!$H$3:$H$502,$A492,Trade_Reports!$M$3:$M$502,"APPROVED"),""))</f>
        <v/>
      </c>
      <c r="W492" s="2" t="str">
        <f t="shared" si="3"/>
        <v/>
      </c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 t="str">
        <f t="shared" si="2"/>
        <v/>
      </c>
      <c r="P493" s="2"/>
      <c r="Q493" s="2"/>
      <c r="R493" s="2"/>
      <c r="S493" s="2"/>
      <c r="T493" s="2"/>
      <c r="U493" s="2"/>
      <c r="V493" s="26" t="str">
        <f>IF(OR($A493="",ISERROR(SEARCH("_",$A493))),"",IFERROR(SUMIFS(Trade_Reports!$Z$3:$Z$502,Trade_Reports!$H$3:$H$502,$A493,Trade_Reports!$M$3:$M$502,"APPROVED")/SUMIFS(Trade_Reports!$U$3:$U$502,Trade_Reports!$H$3:$H$502,$A493,Trade_Reports!$M$3:$M$502,"APPROVED"),""))</f>
        <v/>
      </c>
      <c r="W493" s="2" t="str">
        <f t="shared" si="3"/>
        <v/>
      </c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 t="str">
        <f t="shared" si="2"/>
        <v/>
      </c>
      <c r="P494" s="2"/>
      <c r="Q494" s="2"/>
      <c r="R494" s="2"/>
      <c r="S494" s="2"/>
      <c r="T494" s="2"/>
      <c r="U494" s="2"/>
      <c r="V494" s="26" t="str">
        <f>IF(OR($A494="",ISERROR(SEARCH("_",$A494))),"",IFERROR(SUMIFS(Trade_Reports!$Z$3:$Z$502,Trade_Reports!$H$3:$H$502,$A494,Trade_Reports!$M$3:$M$502,"APPROVED")/SUMIFS(Trade_Reports!$U$3:$U$502,Trade_Reports!$H$3:$H$502,$A494,Trade_Reports!$M$3:$M$502,"APPROVED"),""))</f>
        <v/>
      </c>
      <c r="W494" s="2" t="str">
        <f t="shared" si="3"/>
        <v/>
      </c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 t="str">
        <f t="shared" si="2"/>
        <v/>
      </c>
      <c r="P495" s="2"/>
      <c r="Q495" s="2"/>
      <c r="R495" s="2"/>
      <c r="S495" s="2"/>
      <c r="T495" s="2"/>
      <c r="U495" s="2"/>
      <c r="V495" s="26" t="str">
        <f>IF(OR($A495="",ISERROR(SEARCH("_",$A495))),"",IFERROR(SUMIFS(Trade_Reports!$Z$3:$Z$502,Trade_Reports!$H$3:$H$502,$A495,Trade_Reports!$M$3:$M$502,"APPROVED")/SUMIFS(Trade_Reports!$U$3:$U$502,Trade_Reports!$H$3:$H$502,$A495,Trade_Reports!$M$3:$M$502,"APPROVED"),""))</f>
        <v/>
      </c>
      <c r="W495" s="2" t="str">
        <f t="shared" si="3"/>
        <v/>
      </c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 t="str">
        <f t="shared" si="2"/>
        <v/>
      </c>
      <c r="P496" s="2"/>
      <c r="Q496" s="2"/>
      <c r="R496" s="2"/>
      <c r="S496" s="2"/>
      <c r="T496" s="2"/>
      <c r="U496" s="2"/>
      <c r="V496" s="26" t="str">
        <f>IF(OR($A496="",ISERROR(SEARCH("_",$A496))),"",IFERROR(SUMIFS(Trade_Reports!$Z$3:$Z$502,Trade_Reports!$H$3:$H$502,$A496,Trade_Reports!$M$3:$M$502,"APPROVED")/SUMIFS(Trade_Reports!$U$3:$U$502,Trade_Reports!$H$3:$H$502,$A496,Trade_Reports!$M$3:$M$502,"APPROVED"),""))</f>
        <v/>
      </c>
      <c r="W496" s="2" t="str">
        <f t="shared" si="3"/>
        <v/>
      </c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 t="str">
        <f t="shared" si="2"/>
        <v/>
      </c>
      <c r="P497" s="2"/>
      <c r="Q497" s="2"/>
      <c r="R497" s="2"/>
      <c r="S497" s="2"/>
      <c r="T497" s="2"/>
      <c r="U497" s="2"/>
      <c r="V497" s="26" t="str">
        <f>IF(OR($A497="",ISERROR(SEARCH("_",$A497))),"",IFERROR(SUMIFS(Trade_Reports!$Z$3:$Z$502,Trade_Reports!$H$3:$H$502,$A497,Trade_Reports!$M$3:$M$502,"APPROVED")/SUMIFS(Trade_Reports!$U$3:$U$502,Trade_Reports!$H$3:$H$502,$A497,Trade_Reports!$M$3:$M$502,"APPROVED"),""))</f>
        <v/>
      </c>
      <c r="W497" s="2" t="str">
        <f t="shared" si="3"/>
        <v/>
      </c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 t="str">
        <f t="shared" si="2"/>
        <v/>
      </c>
      <c r="P498" s="2"/>
      <c r="Q498" s="2"/>
      <c r="R498" s="2"/>
      <c r="S498" s="2"/>
      <c r="T498" s="2"/>
      <c r="U498" s="2"/>
      <c r="V498" s="26" t="str">
        <f>IF(OR($A498="",ISERROR(SEARCH("_",$A498))),"",IFERROR(SUMIFS(Trade_Reports!$Z$3:$Z$502,Trade_Reports!$H$3:$H$502,$A498,Trade_Reports!$M$3:$M$502,"APPROVED")/SUMIFS(Trade_Reports!$U$3:$U$502,Trade_Reports!$H$3:$H$502,$A498,Trade_Reports!$M$3:$M$502,"APPROVED"),""))</f>
        <v/>
      </c>
      <c r="W498" s="2" t="str">
        <f t="shared" si="3"/>
        <v/>
      </c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 t="str">
        <f t="shared" si="2"/>
        <v/>
      </c>
      <c r="P499" s="2"/>
      <c r="Q499" s="2"/>
      <c r="R499" s="2"/>
      <c r="S499" s="2"/>
      <c r="T499" s="2"/>
      <c r="U499" s="2"/>
      <c r="V499" s="26" t="str">
        <f>IF(OR($A499="",ISERROR(SEARCH("_",$A499))),"",IFERROR(SUMIFS(Trade_Reports!$Z$3:$Z$502,Trade_Reports!$H$3:$H$502,$A499,Trade_Reports!$M$3:$M$502,"APPROVED")/SUMIFS(Trade_Reports!$U$3:$U$502,Trade_Reports!$H$3:$H$502,$A499,Trade_Reports!$M$3:$M$502,"APPROVED"),""))</f>
        <v/>
      </c>
      <c r="W499" s="2" t="str">
        <f t="shared" si="3"/>
        <v/>
      </c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 t="str">
        <f t="shared" si="2"/>
        <v/>
      </c>
      <c r="P500" s="2"/>
      <c r="Q500" s="2"/>
      <c r="R500" s="2"/>
      <c r="S500" s="2"/>
      <c r="T500" s="2"/>
      <c r="U500" s="2"/>
      <c r="V500" s="26" t="str">
        <f>IF(OR($A500="",ISERROR(SEARCH("_",$A500))),"",IFERROR(SUMIFS(Trade_Reports!$Z$3:$Z$502,Trade_Reports!$H$3:$H$502,$A500,Trade_Reports!$M$3:$M$502,"APPROVED")/SUMIFS(Trade_Reports!$U$3:$U$502,Trade_Reports!$H$3:$H$502,$A500,Trade_Reports!$M$3:$M$502,"APPROVED"),""))</f>
        <v/>
      </c>
      <c r="W500" s="2" t="str">
        <f t="shared" si="3"/>
        <v/>
      </c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 t="str">
        <f t="shared" si="2"/>
        <v/>
      </c>
      <c r="P501" s="2"/>
      <c r="Q501" s="2"/>
      <c r="R501" s="2"/>
      <c r="S501" s="2"/>
      <c r="T501" s="2"/>
      <c r="U501" s="2"/>
      <c r="V501" s="26" t="str">
        <f>IF(OR($A501="",ISERROR(SEARCH("_",$A501))),"",IFERROR(SUMIFS(Trade_Reports!$Z$3:$Z$502,Trade_Reports!$H$3:$H$502,$A501,Trade_Reports!$M$3:$M$502,"APPROVED")/SUMIFS(Trade_Reports!$U$3:$U$502,Trade_Reports!$H$3:$H$502,$A501,Trade_Reports!$M$3:$M$502,"APPROVED"),""))</f>
        <v/>
      </c>
      <c r="W501" s="2" t="str">
        <f t="shared" si="3"/>
        <v/>
      </c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 t="str">
        <f t="shared" si="2"/>
        <v/>
      </c>
      <c r="P502" s="2"/>
      <c r="Q502" s="2"/>
      <c r="R502" s="2"/>
      <c r="S502" s="2"/>
      <c r="T502" s="2"/>
      <c r="U502" s="2"/>
      <c r="V502" s="26" t="str">
        <f>IF(OR($A502="",ISERROR(SEARCH("_",$A502))),"",IFERROR(SUMIFS(Trade_Reports!$Z$3:$Z$502,Trade_Reports!$H$3:$H$502,$A502,Trade_Reports!$M$3:$M$502,"APPROVED")/SUMIFS(Trade_Reports!$U$3:$U$502,Trade_Reports!$H$3:$H$502,$A502,Trade_Reports!$M$3:$M$502,"APPROVED"),""))</f>
        <v/>
      </c>
      <c r="W502" s="2" t="str">
        <f t="shared" si="3"/>
        <v/>
      </c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 t="str">
        <f t="shared" si="2"/>
        <v/>
      </c>
      <c r="P503" s="2"/>
      <c r="Q503" s="2"/>
      <c r="R503" s="2"/>
      <c r="S503" s="2"/>
      <c r="T503" s="2"/>
      <c r="U503" s="2"/>
      <c r="V503" s="26" t="str">
        <f>IF(OR($A503="",ISERROR(SEARCH("_",$A503))),"",IFERROR(SUMIFS(Trade_Reports!$Z$3:$Z$502,Trade_Reports!$H$3:$H$502,$A503,Trade_Reports!$M$3:$M$502,"APPROVED")/SUMIFS(Trade_Reports!$U$3:$U$502,Trade_Reports!$H$3:$H$502,$A503,Trade_Reports!$M$3:$M$502,"APPROVED"),""))</f>
        <v/>
      </c>
      <c r="W503" s="2" t="str">
        <f t="shared" si="3"/>
        <v/>
      </c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 t="str">
        <f t="shared" si="2"/>
        <v/>
      </c>
      <c r="P504" s="2"/>
      <c r="Q504" s="2"/>
      <c r="R504" s="2"/>
      <c r="S504" s="2"/>
      <c r="T504" s="2"/>
      <c r="U504" s="2"/>
      <c r="V504" s="26" t="str">
        <f>IF(OR($A504="",ISERROR(SEARCH("_",$A504))),"",IFERROR(SUMIFS(Trade_Reports!$Z$3:$Z$502,Trade_Reports!$H$3:$H$502,$A504,Trade_Reports!$M$3:$M$502,"APPROVED")/SUMIFS(Trade_Reports!$U$3:$U$502,Trade_Reports!$H$3:$H$502,$A504,Trade_Reports!$M$3:$M$502,"APPROVED"),""))</f>
        <v/>
      </c>
      <c r="W504" s="2" t="str">
        <f t="shared" si="3"/>
        <v/>
      </c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 t="str">
        <f t="shared" si="2"/>
        <v/>
      </c>
      <c r="P505" s="2"/>
      <c r="Q505" s="2"/>
      <c r="R505" s="2"/>
      <c r="S505" s="2"/>
      <c r="T505" s="2"/>
      <c r="U505" s="2"/>
      <c r="V505" s="26" t="str">
        <f>IF(OR($A505="",ISERROR(SEARCH("_",$A505))),"",IFERROR(SUMIFS(Trade_Reports!$Z$3:$Z$502,Trade_Reports!$H$3:$H$502,$A505,Trade_Reports!$M$3:$M$502,"APPROVED")/SUMIFS(Trade_Reports!$U$3:$U$502,Trade_Reports!$H$3:$H$502,$A505,Trade_Reports!$M$3:$M$502,"APPROVED"),""))</f>
        <v/>
      </c>
      <c r="W505" s="2" t="str">
        <f t="shared" si="3"/>
        <v/>
      </c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 t="str">
        <f t="shared" si="2"/>
        <v/>
      </c>
      <c r="P506" s="2"/>
      <c r="Q506" s="2"/>
      <c r="R506" s="2"/>
      <c r="S506" s="2"/>
      <c r="T506" s="2"/>
      <c r="U506" s="2"/>
      <c r="V506" s="26" t="str">
        <f>IF(OR($A506="",ISERROR(SEARCH("_",$A506))),"",IFERROR(SUMIFS(Trade_Reports!$Z$3:$Z$502,Trade_Reports!$H$3:$H$502,$A506,Trade_Reports!$M$3:$M$502,"APPROVED")/SUMIFS(Trade_Reports!$U$3:$U$502,Trade_Reports!$H$3:$H$502,$A506,Trade_Reports!$M$3:$M$502,"APPROVED"),""))</f>
        <v/>
      </c>
      <c r="W506" s="2" t="str">
        <f t="shared" si="3"/>
        <v/>
      </c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 t="str">
        <f t="shared" si="2"/>
        <v/>
      </c>
      <c r="P507" s="2"/>
      <c r="Q507" s="2"/>
      <c r="R507" s="2"/>
      <c r="S507" s="2"/>
      <c r="T507" s="2"/>
      <c r="U507" s="2"/>
      <c r="V507" s="26" t="str">
        <f>IF(OR($A507="",ISERROR(SEARCH("_",$A507))),"",IFERROR(SUMIFS(Trade_Reports!$Z$3:$Z$502,Trade_Reports!$H$3:$H$502,$A507,Trade_Reports!$M$3:$M$502,"APPROVED")/SUMIFS(Trade_Reports!$U$3:$U$502,Trade_Reports!$H$3:$H$502,$A507,Trade_Reports!$M$3:$M$502,"APPROVED"),""))</f>
        <v/>
      </c>
      <c r="W507" s="2" t="str">
        <f t="shared" si="3"/>
        <v/>
      </c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 t="str">
        <f t="shared" si="2"/>
        <v/>
      </c>
      <c r="P508" s="2"/>
      <c r="Q508" s="2"/>
      <c r="R508" s="2"/>
      <c r="S508" s="2"/>
      <c r="T508" s="2"/>
      <c r="U508" s="2"/>
      <c r="V508" s="26" t="str">
        <f>IF(OR($A508="",ISERROR(SEARCH("_",$A508))),"",IFERROR(SUMIFS(Trade_Reports!$Z$3:$Z$502,Trade_Reports!$H$3:$H$502,$A508,Trade_Reports!$M$3:$M$502,"APPROVED")/SUMIFS(Trade_Reports!$U$3:$U$502,Trade_Reports!$H$3:$H$502,$A508,Trade_Reports!$M$3:$M$502,"APPROVED"),""))</f>
        <v/>
      </c>
      <c r="W508" s="2" t="str">
        <f t="shared" si="3"/>
        <v/>
      </c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 t="str">
        <f t="shared" si="2"/>
        <v/>
      </c>
      <c r="P509" s="2"/>
      <c r="Q509" s="2"/>
      <c r="R509" s="2"/>
      <c r="S509" s="2"/>
      <c r="T509" s="2"/>
      <c r="U509" s="2"/>
      <c r="V509" s="26" t="str">
        <f>IF(OR($A509="",ISERROR(SEARCH("_",$A509))),"",IFERROR(SUMIFS(Trade_Reports!$Z$3:$Z$502,Trade_Reports!$H$3:$H$502,$A509,Trade_Reports!$M$3:$M$502,"APPROVED")/SUMIFS(Trade_Reports!$U$3:$U$502,Trade_Reports!$H$3:$H$502,$A509,Trade_Reports!$M$3:$M$502,"APPROVED"),""))</f>
        <v/>
      </c>
      <c r="W509" s="2" t="str">
        <f t="shared" si="3"/>
        <v/>
      </c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 t="str">
        <f t="shared" si="2"/>
        <v/>
      </c>
      <c r="P510" s="2"/>
      <c r="Q510" s="2"/>
      <c r="R510" s="2"/>
      <c r="S510" s="2"/>
      <c r="T510" s="2"/>
      <c r="U510" s="2"/>
      <c r="V510" s="26" t="str">
        <f>IF(OR($A510="",ISERROR(SEARCH("_",$A510))),"",IFERROR(SUMIFS(Trade_Reports!$Z$3:$Z$502,Trade_Reports!$H$3:$H$502,$A510,Trade_Reports!$M$3:$M$502,"APPROVED")/SUMIFS(Trade_Reports!$U$3:$U$502,Trade_Reports!$H$3:$H$502,$A510,Trade_Reports!$M$3:$M$502,"APPROVED"),""))</f>
        <v/>
      </c>
      <c r="W510" s="2" t="str">
        <f t="shared" si="3"/>
        <v/>
      </c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 t="str">
        <f t="shared" si="2"/>
        <v/>
      </c>
      <c r="P511" s="2"/>
      <c r="Q511" s="2"/>
      <c r="R511" s="2"/>
      <c r="S511" s="2"/>
      <c r="T511" s="2"/>
      <c r="U511" s="2"/>
      <c r="V511" s="26" t="str">
        <f>IF(OR($A511="",ISERROR(SEARCH("_",$A511))),"",IFERROR(SUMIFS(Trade_Reports!$Z$3:$Z$502,Trade_Reports!$H$3:$H$502,$A511,Trade_Reports!$M$3:$M$502,"APPROVED")/SUMIFS(Trade_Reports!$U$3:$U$502,Trade_Reports!$H$3:$H$502,$A511,Trade_Reports!$M$3:$M$502,"APPROVED"),""))</f>
        <v/>
      </c>
      <c r="W511" s="2" t="str">
        <f t="shared" si="3"/>
        <v/>
      </c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 t="str">
        <f t="shared" si="2"/>
        <v/>
      </c>
      <c r="P512" s="2"/>
      <c r="Q512" s="2"/>
      <c r="R512" s="2"/>
      <c r="S512" s="2"/>
      <c r="T512" s="2"/>
      <c r="U512" s="2"/>
      <c r="V512" s="26" t="str">
        <f>IF(OR($A512="",ISERROR(SEARCH("_",$A512))),"",IFERROR(SUMIFS(Trade_Reports!$Z$3:$Z$502,Trade_Reports!$H$3:$H$502,$A512,Trade_Reports!$M$3:$M$502,"APPROVED")/SUMIFS(Trade_Reports!$U$3:$U$502,Trade_Reports!$H$3:$H$502,$A512,Trade_Reports!$M$3:$M$502,"APPROVED"),""))</f>
        <v/>
      </c>
      <c r="W512" s="2" t="str">
        <f t="shared" si="3"/>
        <v/>
      </c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 t="str">
        <f t="shared" ref="O513:O767" si="4">IF(OR($A513="",ISERROR(SEARCH("_",$A513))),"", $W513)</f>
        <v/>
      </c>
      <c r="P513" s="2"/>
      <c r="Q513" s="2"/>
      <c r="R513" s="2"/>
      <c r="S513" s="2"/>
      <c r="T513" s="2"/>
      <c r="U513" s="2"/>
      <c r="V513" s="26" t="str">
        <f>IF(OR($A513="",ISERROR(SEARCH("_",$A513))),"",IFERROR(SUMIFS(Trade_Reports!$Z$3:$Z$502,Trade_Reports!$H$3:$H$502,$A513,Trade_Reports!$M$3:$M$502,"APPROVED")/SUMIFS(Trade_Reports!$U$3:$U$502,Trade_Reports!$H$3:$H$502,$A513,Trade_Reports!$M$3:$M$502,"APPROVED"),""))</f>
        <v/>
      </c>
      <c r="W513" s="2" t="str">
        <f t="shared" ref="W513:W767" si="5">IF($V513="","",IF($V513&lt;1.75,"LOW",IF($V513&lt;2.5,"MID","HIGH")))</f>
        <v/>
      </c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 t="str">
        <f t="shared" si="4"/>
        <v/>
      </c>
      <c r="P514" s="2"/>
      <c r="Q514" s="2"/>
      <c r="R514" s="2"/>
      <c r="S514" s="2"/>
      <c r="T514" s="2"/>
      <c r="U514" s="2"/>
      <c r="V514" s="26" t="str">
        <f>IF(OR($A514="",ISERROR(SEARCH("_",$A514))),"",IFERROR(SUMIFS(Trade_Reports!$Z$3:$Z$502,Trade_Reports!$H$3:$H$502,$A514,Trade_Reports!$M$3:$M$502,"APPROVED")/SUMIFS(Trade_Reports!$U$3:$U$502,Trade_Reports!$H$3:$H$502,$A514,Trade_Reports!$M$3:$M$502,"APPROVED"),""))</f>
        <v/>
      </c>
      <c r="W514" s="2" t="str">
        <f t="shared" si="5"/>
        <v/>
      </c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 t="str">
        <f t="shared" si="4"/>
        <v/>
      </c>
      <c r="P515" s="2"/>
      <c r="Q515" s="2"/>
      <c r="R515" s="2"/>
      <c r="S515" s="2"/>
      <c r="T515" s="2"/>
      <c r="U515" s="2"/>
      <c r="V515" s="26" t="str">
        <f>IF(OR($A515="",ISERROR(SEARCH("_",$A515))),"",IFERROR(SUMIFS(Trade_Reports!$Z$3:$Z$502,Trade_Reports!$H$3:$H$502,$A515,Trade_Reports!$M$3:$M$502,"APPROVED")/SUMIFS(Trade_Reports!$U$3:$U$502,Trade_Reports!$H$3:$H$502,$A515,Trade_Reports!$M$3:$M$502,"APPROVED"),""))</f>
        <v/>
      </c>
      <c r="W515" s="2" t="str">
        <f t="shared" si="5"/>
        <v/>
      </c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 t="str">
        <f t="shared" si="4"/>
        <v/>
      </c>
      <c r="P516" s="2"/>
      <c r="Q516" s="2"/>
      <c r="R516" s="2"/>
      <c r="S516" s="2"/>
      <c r="T516" s="2"/>
      <c r="U516" s="2"/>
      <c r="V516" s="26" t="str">
        <f>IF(OR($A516="",ISERROR(SEARCH("_",$A516))),"",IFERROR(SUMIFS(Trade_Reports!$Z$3:$Z$502,Trade_Reports!$H$3:$H$502,$A516,Trade_Reports!$M$3:$M$502,"APPROVED")/SUMIFS(Trade_Reports!$U$3:$U$502,Trade_Reports!$H$3:$H$502,$A516,Trade_Reports!$M$3:$M$502,"APPROVED"),""))</f>
        <v/>
      </c>
      <c r="W516" s="2" t="str">
        <f t="shared" si="5"/>
        <v/>
      </c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 t="str">
        <f t="shared" si="4"/>
        <v/>
      </c>
      <c r="P517" s="2"/>
      <c r="Q517" s="2"/>
      <c r="R517" s="2"/>
      <c r="S517" s="2"/>
      <c r="T517" s="2"/>
      <c r="U517" s="2"/>
      <c r="V517" s="26" t="str">
        <f>IF(OR($A517="",ISERROR(SEARCH("_",$A517))),"",IFERROR(SUMIFS(Trade_Reports!$Z$3:$Z$502,Trade_Reports!$H$3:$H$502,$A517,Trade_Reports!$M$3:$M$502,"APPROVED")/SUMIFS(Trade_Reports!$U$3:$U$502,Trade_Reports!$H$3:$H$502,$A517,Trade_Reports!$M$3:$M$502,"APPROVED"),""))</f>
        <v/>
      </c>
      <c r="W517" s="2" t="str">
        <f t="shared" si="5"/>
        <v/>
      </c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 t="str">
        <f t="shared" si="4"/>
        <v/>
      </c>
      <c r="P518" s="2"/>
      <c r="Q518" s="2"/>
      <c r="R518" s="2"/>
      <c r="S518" s="2"/>
      <c r="T518" s="2"/>
      <c r="U518" s="2"/>
      <c r="V518" s="26" t="str">
        <f>IF(OR($A518="",ISERROR(SEARCH("_",$A518))),"",IFERROR(SUMIFS(Trade_Reports!$Z$3:$Z$502,Trade_Reports!$H$3:$H$502,$A518,Trade_Reports!$M$3:$M$502,"APPROVED")/SUMIFS(Trade_Reports!$U$3:$U$502,Trade_Reports!$H$3:$H$502,$A518,Trade_Reports!$M$3:$M$502,"APPROVED"),""))</f>
        <v/>
      </c>
      <c r="W518" s="2" t="str">
        <f t="shared" si="5"/>
        <v/>
      </c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 t="str">
        <f t="shared" si="4"/>
        <v/>
      </c>
      <c r="P519" s="2"/>
      <c r="Q519" s="2"/>
      <c r="R519" s="2"/>
      <c r="S519" s="2"/>
      <c r="T519" s="2"/>
      <c r="U519" s="2"/>
      <c r="V519" s="26" t="str">
        <f>IF(OR($A519="",ISERROR(SEARCH("_",$A519))),"",IFERROR(SUMIFS(Trade_Reports!$Z$3:$Z$502,Trade_Reports!$H$3:$H$502,$A519,Trade_Reports!$M$3:$M$502,"APPROVED")/SUMIFS(Trade_Reports!$U$3:$U$502,Trade_Reports!$H$3:$H$502,$A519,Trade_Reports!$M$3:$M$502,"APPROVED"),""))</f>
        <v/>
      </c>
      <c r="W519" s="2" t="str">
        <f t="shared" si="5"/>
        <v/>
      </c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 t="str">
        <f t="shared" si="4"/>
        <v/>
      </c>
      <c r="P520" s="2"/>
      <c r="Q520" s="2"/>
      <c r="R520" s="2"/>
      <c r="S520" s="2"/>
      <c r="T520" s="2"/>
      <c r="U520" s="2"/>
      <c r="V520" s="26" t="str">
        <f>IF(OR($A520="",ISERROR(SEARCH("_",$A520))),"",IFERROR(SUMIFS(Trade_Reports!$Z$3:$Z$502,Trade_Reports!$H$3:$H$502,$A520,Trade_Reports!$M$3:$M$502,"APPROVED")/SUMIFS(Trade_Reports!$U$3:$U$502,Trade_Reports!$H$3:$H$502,$A520,Trade_Reports!$M$3:$M$502,"APPROVED"),""))</f>
        <v/>
      </c>
      <c r="W520" s="2" t="str">
        <f t="shared" si="5"/>
        <v/>
      </c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 t="str">
        <f t="shared" si="4"/>
        <v/>
      </c>
      <c r="P521" s="2"/>
      <c r="Q521" s="2"/>
      <c r="R521" s="2"/>
      <c r="S521" s="2"/>
      <c r="T521" s="2"/>
      <c r="U521" s="2"/>
      <c r="V521" s="26" t="str">
        <f>IF(OR($A521="",ISERROR(SEARCH("_",$A521))),"",IFERROR(SUMIFS(Trade_Reports!$Z$3:$Z$502,Trade_Reports!$H$3:$H$502,$A521,Trade_Reports!$M$3:$M$502,"APPROVED")/SUMIFS(Trade_Reports!$U$3:$U$502,Trade_Reports!$H$3:$H$502,$A521,Trade_Reports!$M$3:$M$502,"APPROVED"),""))</f>
        <v/>
      </c>
      <c r="W521" s="2" t="str">
        <f t="shared" si="5"/>
        <v/>
      </c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 t="str">
        <f t="shared" si="4"/>
        <v/>
      </c>
      <c r="P522" s="2"/>
      <c r="Q522" s="2"/>
      <c r="R522" s="2"/>
      <c r="S522" s="2"/>
      <c r="T522" s="2"/>
      <c r="U522" s="2"/>
      <c r="V522" s="26" t="str">
        <f>IF(OR($A522="",ISERROR(SEARCH("_",$A522))),"",IFERROR(SUMIFS(Trade_Reports!$Z$3:$Z$502,Trade_Reports!$H$3:$H$502,$A522,Trade_Reports!$M$3:$M$502,"APPROVED")/SUMIFS(Trade_Reports!$U$3:$U$502,Trade_Reports!$H$3:$H$502,$A522,Trade_Reports!$M$3:$M$502,"APPROVED"),""))</f>
        <v/>
      </c>
      <c r="W522" s="2" t="str">
        <f t="shared" si="5"/>
        <v/>
      </c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 t="str">
        <f t="shared" si="4"/>
        <v/>
      </c>
      <c r="P523" s="2"/>
      <c r="Q523" s="2"/>
      <c r="R523" s="2"/>
      <c r="S523" s="2"/>
      <c r="T523" s="2"/>
      <c r="U523" s="2"/>
      <c r="V523" s="26" t="str">
        <f>IF(OR($A523="",ISERROR(SEARCH("_",$A523))),"",IFERROR(SUMIFS(Trade_Reports!$Z$3:$Z$502,Trade_Reports!$H$3:$H$502,$A523,Trade_Reports!$M$3:$M$502,"APPROVED")/SUMIFS(Trade_Reports!$U$3:$U$502,Trade_Reports!$H$3:$H$502,$A523,Trade_Reports!$M$3:$M$502,"APPROVED"),""))</f>
        <v/>
      </c>
      <c r="W523" s="2" t="str">
        <f t="shared" si="5"/>
        <v/>
      </c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 t="str">
        <f t="shared" si="4"/>
        <v/>
      </c>
      <c r="P524" s="2"/>
      <c r="Q524" s="2"/>
      <c r="R524" s="2"/>
      <c r="S524" s="2"/>
      <c r="T524" s="2"/>
      <c r="U524" s="2"/>
      <c r="V524" s="26" t="str">
        <f>IF(OR($A524="",ISERROR(SEARCH("_",$A524))),"",IFERROR(SUMIFS(Trade_Reports!$Z$3:$Z$502,Trade_Reports!$H$3:$H$502,$A524,Trade_Reports!$M$3:$M$502,"APPROVED")/SUMIFS(Trade_Reports!$U$3:$U$502,Trade_Reports!$H$3:$H$502,$A524,Trade_Reports!$M$3:$M$502,"APPROVED"),""))</f>
        <v/>
      </c>
      <c r="W524" s="2" t="str">
        <f t="shared" si="5"/>
        <v/>
      </c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 t="str">
        <f t="shared" si="4"/>
        <v/>
      </c>
      <c r="P525" s="2"/>
      <c r="Q525" s="2"/>
      <c r="R525" s="2"/>
      <c r="S525" s="2"/>
      <c r="T525" s="2"/>
      <c r="U525" s="2"/>
      <c r="V525" s="26" t="str">
        <f>IF(OR($A525="",ISERROR(SEARCH("_",$A525))),"",IFERROR(SUMIFS(Trade_Reports!$Z$3:$Z$502,Trade_Reports!$H$3:$H$502,$A525,Trade_Reports!$M$3:$M$502,"APPROVED")/SUMIFS(Trade_Reports!$U$3:$U$502,Trade_Reports!$H$3:$H$502,$A525,Trade_Reports!$M$3:$M$502,"APPROVED"),""))</f>
        <v/>
      </c>
      <c r="W525" s="2" t="str">
        <f t="shared" si="5"/>
        <v/>
      </c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 t="str">
        <f t="shared" si="4"/>
        <v/>
      </c>
      <c r="P526" s="2"/>
      <c r="Q526" s="2"/>
      <c r="R526" s="2"/>
      <c r="S526" s="2"/>
      <c r="T526" s="2"/>
      <c r="U526" s="2"/>
      <c r="V526" s="26" t="str">
        <f>IF(OR($A526="",ISERROR(SEARCH("_",$A526))),"",IFERROR(SUMIFS(Trade_Reports!$Z$3:$Z$502,Trade_Reports!$H$3:$H$502,$A526,Trade_Reports!$M$3:$M$502,"APPROVED")/SUMIFS(Trade_Reports!$U$3:$U$502,Trade_Reports!$H$3:$H$502,$A526,Trade_Reports!$M$3:$M$502,"APPROVED"),""))</f>
        <v/>
      </c>
      <c r="W526" s="2" t="str">
        <f t="shared" si="5"/>
        <v/>
      </c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 t="str">
        <f t="shared" si="4"/>
        <v/>
      </c>
      <c r="P527" s="2"/>
      <c r="Q527" s="2"/>
      <c r="R527" s="2"/>
      <c r="S527" s="2"/>
      <c r="T527" s="2"/>
      <c r="U527" s="2"/>
      <c r="V527" s="26" t="str">
        <f>IF(OR($A527="",ISERROR(SEARCH("_",$A527))),"",IFERROR(SUMIFS(Trade_Reports!$Z$3:$Z$502,Trade_Reports!$H$3:$H$502,$A527,Trade_Reports!$M$3:$M$502,"APPROVED")/SUMIFS(Trade_Reports!$U$3:$U$502,Trade_Reports!$H$3:$H$502,$A527,Trade_Reports!$M$3:$M$502,"APPROVED"),""))</f>
        <v/>
      </c>
      <c r="W527" s="2" t="str">
        <f t="shared" si="5"/>
        <v/>
      </c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 t="str">
        <f t="shared" si="4"/>
        <v/>
      </c>
      <c r="P528" s="2"/>
      <c r="Q528" s="2"/>
      <c r="R528" s="2"/>
      <c r="S528" s="2"/>
      <c r="T528" s="2"/>
      <c r="U528" s="2"/>
      <c r="V528" s="26" t="str">
        <f>IF(OR($A528="",ISERROR(SEARCH("_",$A528))),"",IFERROR(SUMIFS(Trade_Reports!$Z$3:$Z$502,Trade_Reports!$H$3:$H$502,$A528,Trade_Reports!$M$3:$M$502,"APPROVED")/SUMIFS(Trade_Reports!$U$3:$U$502,Trade_Reports!$H$3:$H$502,$A528,Trade_Reports!$M$3:$M$502,"APPROVED"),""))</f>
        <v/>
      </c>
      <c r="W528" s="2" t="str">
        <f t="shared" si="5"/>
        <v/>
      </c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 t="str">
        <f t="shared" si="4"/>
        <v/>
      </c>
      <c r="P529" s="2"/>
      <c r="Q529" s="2"/>
      <c r="R529" s="2"/>
      <c r="S529" s="2"/>
      <c r="T529" s="2"/>
      <c r="U529" s="2"/>
      <c r="V529" s="26" t="str">
        <f>IF(OR($A529="",ISERROR(SEARCH("_",$A529))),"",IFERROR(SUMIFS(Trade_Reports!$Z$3:$Z$502,Trade_Reports!$H$3:$H$502,$A529,Trade_Reports!$M$3:$M$502,"APPROVED")/SUMIFS(Trade_Reports!$U$3:$U$502,Trade_Reports!$H$3:$H$502,$A529,Trade_Reports!$M$3:$M$502,"APPROVED"),""))</f>
        <v/>
      </c>
      <c r="W529" s="2" t="str">
        <f t="shared" si="5"/>
        <v/>
      </c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 t="str">
        <f t="shared" si="4"/>
        <v/>
      </c>
      <c r="P530" s="2"/>
      <c r="Q530" s="2"/>
      <c r="R530" s="2"/>
      <c r="S530" s="2"/>
      <c r="T530" s="2"/>
      <c r="U530" s="2"/>
      <c r="V530" s="26" t="str">
        <f>IF(OR($A530="",ISERROR(SEARCH("_",$A530))),"",IFERROR(SUMIFS(Trade_Reports!$Z$3:$Z$502,Trade_Reports!$H$3:$H$502,$A530,Trade_Reports!$M$3:$M$502,"APPROVED")/SUMIFS(Trade_Reports!$U$3:$U$502,Trade_Reports!$H$3:$H$502,$A530,Trade_Reports!$M$3:$M$502,"APPROVED"),""))</f>
        <v/>
      </c>
      <c r="W530" s="2" t="str">
        <f t="shared" si="5"/>
        <v/>
      </c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 t="str">
        <f t="shared" si="4"/>
        <v/>
      </c>
      <c r="P531" s="2"/>
      <c r="Q531" s="2"/>
      <c r="R531" s="2"/>
      <c r="S531" s="2"/>
      <c r="T531" s="2"/>
      <c r="U531" s="2"/>
      <c r="V531" s="26" t="str">
        <f>IF(OR($A531="",ISERROR(SEARCH("_",$A531))),"",IFERROR(SUMIFS(Trade_Reports!$Z$3:$Z$502,Trade_Reports!$H$3:$H$502,$A531,Trade_Reports!$M$3:$M$502,"APPROVED")/SUMIFS(Trade_Reports!$U$3:$U$502,Trade_Reports!$H$3:$H$502,$A531,Trade_Reports!$M$3:$M$502,"APPROVED"),""))</f>
        <v/>
      </c>
      <c r="W531" s="2" t="str">
        <f t="shared" si="5"/>
        <v/>
      </c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 t="str">
        <f t="shared" si="4"/>
        <v/>
      </c>
      <c r="P532" s="2"/>
      <c r="Q532" s="2"/>
      <c r="R532" s="2"/>
      <c r="S532" s="2"/>
      <c r="T532" s="2"/>
      <c r="U532" s="2"/>
      <c r="V532" s="26" t="str">
        <f>IF(OR($A532="",ISERROR(SEARCH("_",$A532))),"",IFERROR(SUMIFS(Trade_Reports!$Z$3:$Z$502,Trade_Reports!$H$3:$H$502,$A532,Trade_Reports!$M$3:$M$502,"APPROVED")/SUMIFS(Trade_Reports!$U$3:$U$502,Trade_Reports!$H$3:$H$502,$A532,Trade_Reports!$M$3:$M$502,"APPROVED"),""))</f>
        <v/>
      </c>
      <c r="W532" s="2" t="str">
        <f t="shared" si="5"/>
        <v/>
      </c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 t="str">
        <f t="shared" si="4"/>
        <v/>
      </c>
      <c r="P533" s="2"/>
      <c r="Q533" s="2"/>
      <c r="R533" s="2"/>
      <c r="S533" s="2"/>
      <c r="T533" s="2"/>
      <c r="U533" s="2"/>
      <c r="V533" s="26" t="str">
        <f>IF(OR($A533="",ISERROR(SEARCH("_",$A533))),"",IFERROR(SUMIFS(Trade_Reports!$Z$3:$Z$502,Trade_Reports!$H$3:$H$502,$A533,Trade_Reports!$M$3:$M$502,"APPROVED")/SUMIFS(Trade_Reports!$U$3:$U$502,Trade_Reports!$H$3:$H$502,$A533,Trade_Reports!$M$3:$M$502,"APPROVED"),""))</f>
        <v/>
      </c>
      <c r="W533" s="2" t="str">
        <f t="shared" si="5"/>
        <v/>
      </c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 t="str">
        <f t="shared" si="4"/>
        <v/>
      </c>
      <c r="P534" s="2"/>
      <c r="Q534" s="2"/>
      <c r="R534" s="2"/>
      <c r="S534" s="2"/>
      <c r="T534" s="2"/>
      <c r="U534" s="2"/>
      <c r="V534" s="26" t="str">
        <f>IF(OR($A534="",ISERROR(SEARCH("_",$A534))),"",IFERROR(SUMIFS(Trade_Reports!$Z$3:$Z$502,Trade_Reports!$H$3:$H$502,$A534,Trade_Reports!$M$3:$M$502,"APPROVED")/SUMIFS(Trade_Reports!$U$3:$U$502,Trade_Reports!$H$3:$H$502,$A534,Trade_Reports!$M$3:$M$502,"APPROVED"),""))</f>
        <v/>
      </c>
      <c r="W534" s="2" t="str">
        <f t="shared" si="5"/>
        <v/>
      </c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 t="str">
        <f t="shared" si="4"/>
        <v/>
      </c>
      <c r="P535" s="2"/>
      <c r="Q535" s="2"/>
      <c r="R535" s="2"/>
      <c r="S535" s="2"/>
      <c r="T535" s="2"/>
      <c r="U535" s="2"/>
      <c r="V535" s="26" t="str">
        <f>IF(OR($A535="",ISERROR(SEARCH("_",$A535))),"",IFERROR(SUMIFS(Trade_Reports!$Z$3:$Z$502,Trade_Reports!$H$3:$H$502,$A535,Trade_Reports!$M$3:$M$502,"APPROVED")/SUMIFS(Trade_Reports!$U$3:$U$502,Trade_Reports!$H$3:$H$502,$A535,Trade_Reports!$M$3:$M$502,"APPROVED"),""))</f>
        <v/>
      </c>
      <c r="W535" s="2" t="str">
        <f t="shared" si="5"/>
        <v/>
      </c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 t="str">
        <f t="shared" si="4"/>
        <v/>
      </c>
      <c r="P536" s="2"/>
      <c r="Q536" s="2"/>
      <c r="R536" s="2"/>
      <c r="S536" s="2"/>
      <c r="T536" s="2"/>
      <c r="U536" s="2"/>
      <c r="V536" s="26" t="str">
        <f>IF(OR($A536="",ISERROR(SEARCH("_",$A536))),"",IFERROR(SUMIFS(Trade_Reports!$Z$3:$Z$502,Trade_Reports!$H$3:$H$502,$A536,Trade_Reports!$M$3:$M$502,"APPROVED")/SUMIFS(Trade_Reports!$U$3:$U$502,Trade_Reports!$H$3:$H$502,$A536,Trade_Reports!$M$3:$M$502,"APPROVED"),""))</f>
        <v/>
      </c>
      <c r="W536" s="2" t="str">
        <f t="shared" si="5"/>
        <v/>
      </c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 t="str">
        <f t="shared" si="4"/>
        <v/>
      </c>
      <c r="P537" s="2"/>
      <c r="Q537" s="2"/>
      <c r="R537" s="2"/>
      <c r="S537" s="2"/>
      <c r="T537" s="2"/>
      <c r="U537" s="2"/>
      <c r="V537" s="26" t="str">
        <f>IF(OR($A537="",ISERROR(SEARCH("_",$A537))),"",IFERROR(SUMIFS(Trade_Reports!$Z$3:$Z$502,Trade_Reports!$H$3:$H$502,$A537,Trade_Reports!$M$3:$M$502,"APPROVED")/SUMIFS(Trade_Reports!$U$3:$U$502,Trade_Reports!$H$3:$H$502,$A537,Trade_Reports!$M$3:$M$502,"APPROVED"),""))</f>
        <v/>
      </c>
      <c r="W537" s="2" t="str">
        <f t="shared" si="5"/>
        <v/>
      </c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 t="str">
        <f t="shared" si="4"/>
        <v/>
      </c>
      <c r="P538" s="2"/>
      <c r="Q538" s="2"/>
      <c r="R538" s="2"/>
      <c r="S538" s="2"/>
      <c r="T538" s="2"/>
      <c r="U538" s="2"/>
      <c r="V538" s="26" t="str">
        <f>IF(OR($A538="",ISERROR(SEARCH("_",$A538))),"",IFERROR(SUMIFS(Trade_Reports!$Z$3:$Z$502,Trade_Reports!$H$3:$H$502,$A538,Trade_Reports!$M$3:$M$502,"APPROVED")/SUMIFS(Trade_Reports!$U$3:$U$502,Trade_Reports!$H$3:$H$502,$A538,Trade_Reports!$M$3:$M$502,"APPROVED"),""))</f>
        <v/>
      </c>
      <c r="W538" s="2" t="str">
        <f t="shared" si="5"/>
        <v/>
      </c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 t="str">
        <f t="shared" si="4"/>
        <v/>
      </c>
      <c r="P539" s="2"/>
      <c r="Q539" s="2"/>
      <c r="R539" s="2"/>
      <c r="S539" s="2"/>
      <c r="T539" s="2"/>
      <c r="U539" s="2"/>
      <c r="V539" s="26" t="str">
        <f>IF(OR($A539="",ISERROR(SEARCH("_",$A539))),"",IFERROR(SUMIFS(Trade_Reports!$Z$3:$Z$502,Trade_Reports!$H$3:$H$502,$A539,Trade_Reports!$M$3:$M$502,"APPROVED")/SUMIFS(Trade_Reports!$U$3:$U$502,Trade_Reports!$H$3:$H$502,$A539,Trade_Reports!$M$3:$M$502,"APPROVED"),""))</f>
        <v/>
      </c>
      <c r="W539" s="2" t="str">
        <f t="shared" si="5"/>
        <v/>
      </c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 t="str">
        <f t="shared" si="4"/>
        <v/>
      </c>
      <c r="P540" s="2"/>
      <c r="Q540" s="2"/>
      <c r="R540" s="2"/>
      <c r="S540" s="2"/>
      <c r="T540" s="2"/>
      <c r="U540" s="2"/>
      <c r="V540" s="26" t="str">
        <f>IF(OR($A540="",ISERROR(SEARCH("_",$A540))),"",IFERROR(SUMIFS(Trade_Reports!$Z$3:$Z$502,Trade_Reports!$H$3:$H$502,$A540,Trade_Reports!$M$3:$M$502,"APPROVED")/SUMIFS(Trade_Reports!$U$3:$U$502,Trade_Reports!$H$3:$H$502,$A540,Trade_Reports!$M$3:$M$502,"APPROVED"),""))</f>
        <v/>
      </c>
      <c r="W540" s="2" t="str">
        <f t="shared" si="5"/>
        <v/>
      </c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 t="str">
        <f t="shared" si="4"/>
        <v/>
      </c>
      <c r="P541" s="2"/>
      <c r="Q541" s="2"/>
      <c r="R541" s="2"/>
      <c r="S541" s="2"/>
      <c r="T541" s="2"/>
      <c r="U541" s="2"/>
      <c r="V541" s="26" t="str">
        <f>IF(OR($A541="",ISERROR(SEARCH("_",$A541))),"",IFERROR(SUMIFS(Trade_Reports!$Z$3:$Z$502,Trade_Reports!$H$3:$H$502,$A541,Trade_Reports!$M$3:$M$502,"APPROVED")/SUMIFS(Trade_Reports!$U$3:$U$502,Trade_Reports!$H$3:$H$502,$A541,Trade_Reports!$M$3:$M$502,"APPROVED"),""))</f>
        <v/>
      </c>
      <c r="W541" s="2" t="str">
        <f t="shared" si="5"/>
        <v/>
      </c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 t="str">
        <f t="shared" si="4"/>
        <v/>
      </c>
      <c r="P542" s="2"/>
      <c r="Q542" s="2"/>
      <c r="R542" s="2"/>
      <c r="S542" s="2"/>
      <c r="T542" s="2"/>
      <c r="U542" s="2"/>
      <c r="V542" s="26" t="str">
        <f>IF(OR($A542="",ISERROR(SEARCH("_",$A542))),"",IFERROR(SUMIFS(Trade_Reports!$Z$3:$Z$502,Trade_Reports!$H$3:$H$502,$A542,Trade_Reports!$M$3:$M$502,"APPROVED")/SUMIFS(Trade_Reports!$U$3:$U$502,Trade_Reports!$H$3:$H$502,$A542,Trade_Reports!$M$3:$M$502,"APPROVED"),""))</f>
        <v/>
      </c>
      <c r="W542" s="2" t="str">
        <f t="shared" si="5"/>
        <v/>
      </c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 t="str">
        <f t="shared" si="4"/>
        <v/>
      </c>
      <c r="P543" s="2"/>
      <c r="Q543" s="2"/>
      <c r="R543" s="2"/>
      <c r="S543" s="2"/>
      <c r="T543" s="2"/>
      <c r="U543" s="2"/>
      <c r="V543" s="26" t="str">
        <f>IF(OR($A543="",ISERROR(SEARCH("_",$A543))),"",IFERROR(SUMIFS(Trade_Reports!$Z$3:$Z$502,Trade_Reports!$H$3:$H$502,$A543,Trade_Reports!$M$3:$M$502,"APPROVED")/SUMIFS(Trade_Reports!$U$3:$U$502,Trade_Reports!$H$3:$H$502,$A543,Trade_Reports!$M$3:$M$502,"APPROVED"),""))</f>
        <v/>
      </c>
      <c r="W543" s="2" t="str">
        <f t="shared" si="5"/>
        <v/>
      </c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 t="str">
        <f t="shared" si="4"/>
        <v/>
      </c>
      <c r="P544" s="2"/>
      <c r="Q544" s="2"/>
      <c r="R544" s="2"/>
      <c r="S544" s="2"/>
      <c r="T544" s="2"/>
      <c r="U544" s="2"/>
      <c r="V544" s="26" t="str">
        <f>IF(OR($A544="",ISERROR(SEARCH("_",$A544))),"",IFERROR(SUMIFS(Trade_Reports!$Z$3:$Z$502,Trade_Reports!$H$3:$H$502,$A544,Trade_Reports!$M$3:$M$502,"APPROVED")/SUMIFS(Trade_Reports!$U$3:$U$502,Trade_Reports!$H$3:$H$502,$A544,Trade_Reports!$M$3:$M$502,"APPROVED"),""))</f>
        <v/>
      </c>
      <c r="W544" s="2" t="str">
        <f t="shared" si="5"/>
        <v/>
      </c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 t="str">
        <f t="shared" si="4"/>
        <v/>
      </c>
      <c r="P545" s="2"/>
      <c r="Q545" s="2"/>
      <c r="R545" s="2"/>
      <c r="S545" s="2"/>
      <c r="T545" s="2"/>
      <c r="U545" s="2"/>
      <c r="V545" s="26" t="str">
        <f>IF(OR($A545="",ISERROR(SEARCH("_",$A545))),"",IFERROR(SUMIFS(Trade_Reports!$Z$3:$Z$502,Trade_Reports!$H$3:$H$502,$A545,Trade_Reports!$M$3:$M$502,"APPROVED")/SUMIFS(Trade_Reports!$U$3:$U$502,Trade_Reports!$H$3:$H$502,$A545,Trade_Reports!$M$3:$M$502,"APPROVED"),""))</f>
        <v/>
      </c>
      <c r="W545" s="2" t="str">
        <f t="shared" si="5"/>
        <v/>
      </c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 t="str">
        <f t="shared" si="4"/>
        <v/>
      </c>
      <c r="P546" s="2"/>
      <c r="Q546" s="2"/>
      <c r="R546" s="2"/>
      <c r="S546" s="2"/>
      <c r="T546" s="2"/>
      <c r="U546" s="2"/>
      <c r="V546" s="26" t="str">
        <f>IF(OR($A546="",ISERROR(SEARCH("_",$A546))),"",IFERROR(SUMIFS(Trade_Reports!$Z$3:$Z$502,Trade_Reports!$H$3:$H$502,$A546,Trade_Reports!$M$3:$M$502,"APPROVED")/SUMIFS(Trade_Reports!$U$3:$U$502,Trade_Reports!$H$3:$H$502,$A546,Trade_Reports!$M$3:$M$502,"APPROVED"),""))</f>
        <v/>
      </c>
      <c r="W546" s="2" t="str">
        <f t="shared" si="5"/>
        <v/>
      </c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 t="str">
        <f t="shared" si="4"/>
        <v/>
      </c>
      <c r="P547" s="2"/>
      <c r="Q547" s="2"/>
      <c r="R547" s="2"/>
      <c r="S547" s="2"/>
      <c r="T547" s="2"/>
      <c r="U547" s="2"/>
      <c r="V547" s="26" t="str">
        <f>IF(OR($A547="",ISERROR(SEARCH("_",$A547))),"",IFERROR(SUMIFS(Trade_Reports!$Z$3:$Z$502,Trade_Reports!$H$3:$H$502,$A547,Trade_Reports!$M$3:$M$502,"APPROVED")/SUMIFS(Trade_Reports!$U$3:$U$502,Trade_Reports!$H$3:$H$502,$A547,Trade_Reports!$M$3:$M$502,"APPROVED"),""))</f>
        <v/>
      </c>
      <c r="W547" s="2" t="str">
        <f t="shared" si="5"/>
        <v/>
      </c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 t="str">
        <f t="shared" si="4"/>
        <v/>
      </c>
      <c r="P548" s="2"/>
      <c r="Q548" s="2"/>
      <c r="R548" s="2"/>
      <c r="S548" s="2"/>
      <c r="T548" s="2"/>
      <c r="U548" s="2"/>
      <c r="V548" s="26" t="str">
        <f>IF(OR($A548="",ISERROR(SEARCH("_",$A548))),"",IFERROR(SUMIFS(Trade_Reports!$Z$3:$Z$502,Trade_Reports!$H$3:$H$502,$A548,Trade_Reports!$M$3:$M$502,"APPROVED")/SUMIFS(Trade_Reports!$U$3:$U$502,Trade_Reports!$H$3:$H$502,$A548,Trade_Reports!$M$3:$M$502,"APPROVED"),""))</f>
        <v/>
      </c>
      <c r="W548" s="2" t="str">
        <f t="shared" si="5"/>
        <v/>
      </c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 t="str">
        <f t="shared" si="4"/>
        <v/>
      </c>
      <c r="P549" s="2"/>
      <c r="Q549" s="2"/>
      <c r="R549" s="2"/>
      <c r="S549" s="2"/>
      <c r="T549" s="2"/>
      <c r="U549" s="2"/>
      <c r="V549" s="26" t="str">
        <f>IF(OR($A549="",ISERROR(SEARCH("_",$A549))),"",IFERROR(SUMIFS(Trade_Reports!$Z$3:$Z$502,Trade_Reports!$H$3:$H$502,$A549,Trade_Reports!$M$3:$M$502,"APPROVED")/SUMIFS(Trade_Reports!$U$3:$U$502,Trade_Reports!$H$3:$H$502,$A549,Trade_Reports!$M$3:$M$502,"APPROVED"),""))</f>
        <v/>
      </c>
      <c r="W549" s="2" t="str">
        <f t="shared" si="5"/>
        <v/>
      </c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 t="str">
        <f t="shared" si="4"/>
        <v/>
      </c>
      <c r="P550" s="2"/>
      <c r="Q550" s="2"/>
      <c r="R550" s="2"/>
      <c r="S550" s="2"/>
      <c r="T550" s="2"/>
      <c r="U550" s="2"/>
      <c r="V550" s="26" t="str">
        <f>IF(OR($A550="",ISERROR(SEARCH("_",$A550))),"",IFERROR(SUMIFS(Trade_Reports!$Z$3:$Z$502,Trade_Reports!$H$3:$H$502,$A550,Trade_Reports!$M$3:$M$502,"APPROVED")/SUMIFS(Trade_Reports!$U$3:$U$502,Trade_Reports!$H$3:$H$502,$A550,Trade_Reports!$M$3:$M$502,"APPROVED"),""))</f>
        <v/>
      </c>
      <c r="W550" s="2" t="str">
        <f t="shared" si="5"/>
        <v/>
      </c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 t="str">
        <f t="shared" si="4"/>
        <v/>
      </c>
      <c r="P551" s="2"/>
      <c r="Q551" s="2"/>
      <c r="R551" s="2"/>
      <c r="S551" s="2"/>
      <c r="T551" s="2"/>
      <c r="U551" s="2"/>
      <c r="V551" s="26" t="str">
        <f>IF(OR($A551="",ISERROR(SEARCH("_",$A551))),"",IFERROR(SUMIFS(Trade_Reports!$Z$3:$Z$502,Trade_Reports!$H$3:$H$502,$A551,Trade_Reports!$M$3:$M$502,"APPROVED")/SUMIFS(Trade_Reports!$U$3:$U$502,Trade_Reports!$H$3:$H$502,$A551,Trade_Reports!$M$3:$M$502,"APPROVED"),""))</f>
        <v/>
      </c>
      <c r="W551" s="2" t="str">
        <f t="shared" si="5"/>
        <v/>
      </c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 t="str">
        <f t="shared" si="4"/>
        <v/>
      </c>
      <c r="P552" s="2"/>
      <c r="Q552" s="2"/>
      <c r="R552" s="2"/>
      <c r="S552" s="2"/>
      <c r="T552" s="2"/>
      <c r="U552" s="2"/>
      <c r="V552" s="26" t="str">
        <f>IF(OR($A552="",ISERROR(SEARCH("_",$A552))),"",IFERROR(SUMIFS(Trade_Reports!$Z$3:$Z$502,Trade_Reports!$H$3:$H$502,$A552,Trade_Reports!$M$3:$M$502,"APPROVED")/SUMIFS(Trade_Reports!$U$3:$U$502,Trade_Reports!$H$3:$H$502,$A552,Trade_Reports!$M$3:$M$502,"APPROVED"),""))</f>
        <v/>
      </c>
      <c r="W552" s="2" t="str">
        <f t="shared" si="5"/>
        <v/>
      </c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 t="str">
        <f t="shared" si="4"/>
        <v/>
      </c>
      <c r="P553" s="2"/>
      <c r="Q553" s="2"/>
      <c r="R553" s="2"/>
      <c r="S553" s="2"/>
      <c r="T553" s="2"/>
      <c r="U553" s="2"/>
      <c r="V553" s="26" t="str">
        <f>IF(OR($A553="",ISERROR(SEARCH("_",$A553))),"",IFERROR(SUMIFS(Trade_Reports!$Z$3:$Z$502,Trade_Reports!$H$3:$H$502,$A553,Trade_Reports!$M$3:$M$502,"APPROVED")/SUMIFS(Trade_Reports!$U$3:$U$502,Trade_Reports!$H$3:$H$502,$A553,Trade_Reports!$M$3:$M$502,"APPROVED"),""))</f>
        <v/>
      </c>
      <c r="W553" s="2" t="str">
        <f t="shared" si="5"/>
        <v/>
      </c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 t="str">
        <f t="shared" si="4"/>
        <v/>
      </c>
      <c r="P554" s="2"/>
      <c r="Q554" s="2"/>
      <c r="R554" s="2"/>
      <c r="S554" s="2"/>
      <c r="T554" s="2"/>
      <c r="U554" s="2"/>
      <c r="V554" s="26" t="str">
        <f>IF(OR($A554="",ISERROR(SEARCH("_",$A554))),"",IFERROR(SUMIFS(Trade_Reports!$Z$3:$Z$502,Trade_Reports!$H$3:$H$502,$A554,Trade_Reports!$M$3:$M$502,"APPROVED")/SUMIFS(Trade_Reports!$U$3:$U$502,Trade_Reports!$H$3:$H$502,$A554,Trade_Reports!$M$3:$M$502,"APPROVED"),""))</f>
        <v/>
      </c>
      <c r="W554" s="2" t="str">
        <f t="shared" si="5"/>
        <v/>
      </c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 t="str">
        <f t="shared" si="4"/>
        <v/>
      </c>
      <c r="P555" s="2"/>
      <c r="Q555" s="2"/>
      <c r="R555" s="2"/>
      <c r="S555" s="2"/>
      <c r="T555" s="2"/>
      <c r="U555" s="2"/>
      <c r="V555" s="26" t="str">
        <f>IF(OR($A555="",ISERROR(SEARCH("_",$A555))),"",IFERROR(SUMIFS(Trade_Reports!$Z$3:$Z$502,Trade_Reports!$H$3:$H$502,$A555,Trade_Reports!$M$3:$M$502,"APPROVED")/SUMIFS(Trade_Reports!$U$3:$U$502,Trade_Reports!$H$3:$H$502,$A555,Trade_Reports!$M$3:$M$502,"APPROVED"),""))</f>
        <v/>
      </c>
      <c r="W555" s="2" t="str">
        <f t="shared" si="5"/>
        <v/>
      </c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 t="str">
        <f t="shared" si="4"/>
        <v/>
      </c>
      <c r="P556" s="2"/>
      <c r="Q556" s="2"/>
      <c r="R556" s="2"/>
      <c r="S556" s="2"/>
      <c r="T556" s="2"/>
      <c r="U556" s="2"/>
      <c r="V556" s="26" t="str">
        <f>IF(OR($A556="",ISERROR(SEARCH("_",$A556))),"",IFERROR(SUMIFS(Trade_Reports!$Z$3:$Z$502,Trade_Reports!$H$3:$H$502,$A556,Trade_Reports!$M$3:$M$502,"APPROVED")/SUMIFS(Trade_Reports!$U$3:$U$502,Trade_Reports!$H$3:$H$502,$A556,Trade_Reports!$M$3:$M$502,"APPROVED"),""))</f>
        <v/>
      </c>
      <c r="W556" s="2" t="str">
        <f t="shared" si="5"/>
        <v/>
      </c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 t="str">
        <f t="shared" si="4"/>
        <v/>
      </c>
      <c r="P557" s="2"/>
      <c r="Q557" s="2"/>
      <c r="R557" s="2"/>
      <c r="S557" s="2"/>
      <c r="T557" s="2"/>
      <c r="U557" s="2"/>
      <c r="V557" s="26" t="str">
        <f>IF(OR($A557="",ISERROR(SEARCH("_",$A557))),"",IFERROR(SUMIFS(Trade_Reports!$Z$3:$Z$502,Trade_Reports!$H$3:$H$502,$A557,Trade_Reports!$M$3:$M$502,"APPROVED")/SUMIFS(Trade_Reports!$U$3:$U$502,Trade_Reports!$H$3:$H$502,$A557,Trade_Reports!$M$3:$M$502,"APPROVED"),""))</f>
        <v/>
      </c>
      <c r="W557" s="2" t="str">
        <f t="shared" si="5"/>
        <v/>
      </c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 t="str">
        <f t="shared" si="4"/>
        <v/>
      </c>
      <c r="P558" s="2"/>
      <c r="Q558" s="2"/>
      <c r="R558" s="2"/>
      <c r="S558" s="2"/>
      <c r="T558" s="2"/>
      <c r="U558" s="2"/>
      <c r="V558" s="26" t="str">
        <f>IF(OR($A558="",ISERROR(SEARCH("_",$A558))),"",IFERROR(SUMIFS(Trade_Reports!$Z$3:$Z$502,Trade_Reports!$H$3:$H$502,$A558,Trade_Reports!$M$3:$M$502,"APPROVED")/SUMIFS(Trade_Reports!$U$3:$U$502,Trade_Reports!$H$3:$H$502,$A558,Trade_Reports!$M$3:$M$502,"APPROVED"),""))</f>
        <v/>
      </c>
      <c r="W558" s="2" t="str">
        <f t="shared" si="5"/>
        <v/>
      </c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 t="str">
        <f t="shared" si="4"/>
        <v/>
      </c>
      <c r="P559" s="2"/>
      <c r="Q559" s="2"/>
      <c r="R559" s="2"/>
      <c r="S559" s="2"/>
      <c r="T559" s="2"/>
      <c r="U559" s="2"/>
      <c r="V559" s="26" t="str">
        <f>IF(OR($A559="",ISERROR(SEARCH("_",$A559))),"",IFERROR(SUMIFS(Trade_Reports!$Z$3:$Z$502,Trade_Reports!$H$3:$H$502,$A559,Trade_Reports!$M$3:$M$502,"APPROVED")/SUMIFS(Trade_Reports!$U$3:$U$502,Trade_Reports!$H$3:$H$502,$A559,Trade_Reports!$M$3:$M$502,"APPROVED"),""))</f>
        <v/>
      </c>
      <c r="W559" s="2" t="str">
        <f t="shared" si="5"/>
        <v/>
      </c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 t="str">
        <f t="shared" si="4"/>
        <v/>
      </c>
      <c r="P560" s="2"/>
      <c r="Q560" s="2"/>
      <c r="R560" s="2"/>
      <c r="S560" s="2"/>
      <c r="T560" s="2"/>
      <c r="U560" s="2"/>
      <c r="V560" s="26" t="str">
        <f>IF(OR($A560="",ISERROR(SEARCH("_",$A560))),"",IFERROR(SUMIFS(Trade_Reports!$Z$3:$Z$502,Trade_Reports!$H$3:$H$502,$A560,Trade_Reports!$M$3:$M$502,"APPROVED")/SUMIFS(Trade_Reports!$U$3:$U$502,Trade_Reports!$H$3:$H$502,$A560,Trade_Reports!$M$3:$M$502,"APPROVED"),""))</f>
        <v/>
      </c>
      <c r="W560" s="2" t="str">
        <f t="shared" si="5"/>
        <v/>
      </c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 t="str">
        <f t="shared" si="4"/>
        <v/>
      </c>
      <c r="P561" s="2"/>
      <c r="Q561" s="2"/>
      <c r="R561" s="2"/>
      <c r="S561" s="2"/>
      <c r="T561" s="2"/>
      <c r="U561" s="2"/>
      <c r="V561" s="26" t="str">
        <f>IF(OR($A561="",ISERROR(SEARCH("_",$A561))),"",IFERROR(SUMIFS(Trade_Reports!$Z$3:$Z$502,Trade_Reports!$H$3:$H$502,$A561,Trade_Reports!$M$3:$M$502,"APPROVED")/SUMIFS(Trade_Reports!$U$3:$U$502,Trade_Reports!$H$3:$H$502,$A561,Trade_Reports!$M$3:$M$502,"APPROVED"),""))</f>
        <v/>
      </c>
      <c r="W561" s="2" t="str">
        <f t="shared" si="5"/>
        <v/>
      </c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 t="str">
        <f t="shared" si="4"/>
        <v/>
      </c>
      <c r="P562" s="2"/>
      <c r="Q562" s="2"/>
      <c r="R562" s="2"/>
      <c r="S562" s="2"/>
      <c r="T562" s="2"/>
      <c r="U562" s="2"/>
      <c r="V562" s="26" t="str">
        <f>IF(OR($A562="",ISERROR(SEARCH("_",$A562))),"",IFERROR(SUMIFS(Trade_Reports!$Z$3:$Z$502,Trade_Reports!$H$3:$H$502,$A562,Trade_Reports!$M$3:$M$502,"APPROVED")/SUMIFS(Trade_Reports!$U$3:$U$502,Trade_Reports!$H$3:$H$502,$A562,Trade_Reports!$M$3:$M$502,"APPROVED"),""))</f>
        <v/>
      </c>
      <c r="W562" s="2" t="str">
        <f t="shared" si="5"/>
        <v/>
      </c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 t="str">
        <f t="shared" si="4"/>
        <v/>
      </c>
      <c r="P563" s="2"/>
      <c r="Q563" s="2"/>
      <c r="R563" s="2"/>
      <c r="S563" s="2"/>
      <c r="T563" s="2"/>
      <c r="U563" s="2"/>
      <c r="V563" s="26" t="str">
        <f>IF(OR($A563="",ISERROR(SEARCH("_",$A563))),"",IFERROR(SUMIFS(Trade_Reports!$Z$3:$Z$502,Trade_Reports!$H$3:$H$502,$A563,Trade_Reports!$M$3:$M$502,"APPROVED")/SUMIFS(Trade_Reports!$U$3:$U$502,Trade_Reports!$H$3:$H$502,$A563,Trade_Reports!$M$3:$M$502,"APPROVED"),""))</f>
        <v/>
      </c>
      <c r="W563" s="2" t="str">
        <f t="shared" si="5"/>
        <v/>
      </c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 t="str">
        <f t="shared" si="4"/>
        <v/>
      </c>
      <c r="P564" s="2"/>
      <c r="Q564" s="2"/>
      <c r="R564" s="2"/>
      <c r="S564" s="2"/>
      <c r="T564" s="2"/>
      <c r="U564" s="2"/>
      <c r="V564" s="26" t="str">
        <f>IF(OR($A564="",ISERROR(SEARCH("_",$A564))),"",IFERROR(SUMIFS(Trade_Reports!$Z$3:$Z$502,Trade_Reports!$H$3:$H$502,$A564,Trade_Reports!$M$3:$M$502,"APPROVED")/SUMIFS(Trade_Reports!$U$3:$U$502,Trade_Reports!$H$3:$H$502,$A564,Trade_Reports!$M$3:$M$502,"APPROVED"),""))</f>
        <v/>
      </c>
      <c r="W564" s="2" t="str">
        <f t="shared" si="5"/>
        <v/>
      </c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 t="str">
        <f t="shared" si="4"/>
        <v/>
      </c>
      <c r="P565" s="2"/>
      <c r="Q565" s="2"/>
      <c r="R565" s="2"/>
      <c r="S565" s="2"/>
      <c r="T565" s="2"/>
      <c r="U565" s="2"/>
      <c r="V565" s="26" t="str">
        <f>IF(OR($A565="",ISERROR(SEARCH("_",$A565))),"",IFERROR(SUMIFS(Trade_Reports!$Z$3:$Z$502,Trade_Reports!$H$3:$H$502,$A565,Trade_Reports!$M$3:$M$502,"APPROVED")/SUMIFS(Trade_Reports!$U$3:$U$502,Trade_Reports!$H$3:$H$502,$A565,Trade_Reports!$M$3:$M$502,"APPROVED"),""))</f>
        <v/>
      </c>
      <c r="W565" s="2" t="str">
        <f t="shared" si="5"/>
        <v/>
      </c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 t="str">
        <f t="shared" si="4"/>
        <v/>
      </c>
      <c r="P566" s="2"/>
      <c r="Q566" s="2"/>
      <c r="R566" s="2"/>
      <c r="S566" s="2"/>
      <c r="T566" s="2"/>
      <c r="U566" s="2"/>
      <c r="V566" s="26" t="str">
        <f>IF(OR($A566="",ISERROR(SEARCH("_",$A566))),"",IFERROR(SUMIFS(Trade_Reports!$Z$3:$Z$502,Trade_Reports!$H$3:$H$502,$A566,Trade_Reports!$M$3:$M$502,"APPROVED")/SUMIFS(Trade_Reports!$U$3:$U$502,Trade_Reports!$H$3:$H$502,$A566,Trade_Reports!$M$3:$M$502,"APPROVED"),""))</f>
        <v/>
      </c>
      <c r="W566" s="2" t="str">
        <f t="shared" si="5"/>
        <v/>
      </c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 t="str">
        <f t="shared" si="4"/>
        <v/>
      </c>
      <c r="P567" s="2"/>
      <c r="Q567" s="2"/>
      <c r="R567" s="2"/>
      <c r="S567" s="2"/>
      <c r="T567" s="2"/>
      <c r="U567" s="2"/>
      <c r="V567" s="26" t="str">
        <f>IF(OR($A567="",ISERROR(SEARCH("_",$A567))),"",IFERROR(SUMIFS(Trade_Reports!$Z$3:$Z$502,Trade_Reports!$H$3:$H$502,$A567,Trade_Reports!$M$3:$M$502,"APPROVED")/SUMIFS(Trade_Reports!$U$3:$U$502,Trade_Reports!$H$3:$H$502,$A567,Trade_Reports!$M$3:$M$502,"APPROVED"),""))</f>
        <v/>
      </c>
      <c r="W567" s="2" t="str">
        <f t="shared" si="5"/>
        <v/>
      </c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 t="str">
        <f t="shared" si="4"/>
        <v/>
      </c>
      <c r="P568" s="2"/>
      <c r="Q568" s="2"/>
      <c r="R568" s="2"/>
      <c r="S568" s="2"/>
      <c r="T568" s="2"/>
      <c r="U568" s="2"/>
      <c r="V568" s="26" t="str">
        <f>IF(OR($A568="",ISERROR(SEARCH("_",$A568))),"",IFERROR(SUMIFS(Trade_Reports!$Z$3:$Z$502,Trade_Reports!$H$3:$H$502,$A568,Trade_Reports!$M$3:$M$502,"APPROVED")/SUMIFS(Trade_Reports!$U$3:$U$502,Trade_Reports!$H$3:$H$502,$A568,Trade_Reports!$M$3:$M$502,"APPROVED"),""))</f>
        <v/>
      </c>
      <c r="W568" s="2" t="str">
        <f t="shared" si="5"/>
        <v/>
      </c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 t="str">
        <f t="shared" si="4"/>
        <v/>
      </c>
      <c r="P569" s="2"/>
      <c r="Q569" s="2"/>
      <c r="R569" s="2"/>
      <c r="S569" s="2"/>
      <c r="T569" s="2"/>
      <c r="U569" s="2"/>
      <c r="V569" s="26" t="str">
        <f>IF(OR($A569="",ISERROR(SEARCH("_",$A569))),"",IFERROR(SUMIFS(Trade_Reports!$Z$3:$Z$502,Trade_Reports!$H$3:$H$502,$A569,Trade_Reports!$M$3:$M$502,"APPROVED")/SUMIFS(Trade_Reports!$U$3:$U$502,Trade_Reports!$H$3:$H$502,$A569,Trade_Reports!$M$3:$M$502,"APPROVED"),""))</f>
        <v/>
      </c>
      <c r="W569" s="2" t="str">
        <f t="shared" si="5"/>
        <v/>
      </c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 t="str">
        <f t="shared" si="4"/>
        <v/>
      </c>
      <c r="P570" s="2"/>
      <c r="Q570" s="2"/>
      <c r="R570" s="2"/>
      <c r="S570" s="2"/>
      <c r="T570" s="2"/>
      <c r="U570" s="2"/>
      <c r="V570" s="26" t="str">
        <f>IF(OR($A570="",ISERROR(SEARCH("_",$A570))),"",IFERROR(SUMIFS(Trade_Reports!$Z$3:$Z$502,Trade_Reports!$H$3:$H$502,$A570,Trade_Reports!$M$3:$M$502,"APPROVED")/SUMIFS(Trade_Reports!$U$3:$U$502,Trade_Reports!$H$3:$H$502,$A570,Trade_Reports!$M$3:$M$502,"APPROVED"),""))</f>
        <v/>
      </c>
      <c r="W570" s="2" t="str">
        <f t="shared" si="5"/>
        <v/>
      </c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 t="str">
        <f t="shared" si="4"/>
        <v/>
      </c>
      <c r="P571" s="2"/>
      <c r="Q571" s="2"/>
      <c r="R571" s="2"/>
      <c r="S571" s="2"/>
      <c r="T571" s="2"/>
      <c r="U571" s="2"/>
      <c r="V571" s="26" t="str">
        <f>IF(OR($A571="",ISERROR(SEARCH("_",$A571))),"",IFERROR(SUMIFS(Trade_Reports!$Z$3:$Z$502,Trade_Reports!$H$3:$H$502,$A571,Trade_Reports!$M$3:$M$502,"APPROVED")/SUMIFS(Trade_Reports!$U$3:$U$502,Trade_Reports!$H$3:$H$502,$A571,Trade_Reports!$M$3:$M$502,"APPROVED"),""))</f>
        <v/>
      </c>
      <c r="W571" s="2" t="str">
        <f t="shared" si="5"/>
        <v/>
      </c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 t="str">
        <f t="shared" si="4"/>
        <v/>
      </c>
      <c r="P572" s="2"/>
      <c r="Q572" s="2"/>
      <c r="R572" s="2"/>
      <c r="S572" s="2"/>
      <c r="T572" s="2"/>
      <c r="U572" s="2"/>
      <c r="V572" s="26" t="str">
        <f>IF(OR($A572="",ISERROR(SEARCH("_",$A572))),"",IFERROR(SUMIFS(Trade_Reports!$Z$3:$Z$502,Trade_Reports!$H$3:$H$502,$A572,Trade_Reports!$M$3:$M$502,"APPROVED")/SUMIFS(Trade_Reports!$U$3:$U$502,Trade_Reports!$H$3:$H$502,$A572,Trade_Reports!$M$3:$M$502,"APPROVED"),""))</f>
        <v/>
      </c>
      <c r="W572" s="2" t="str">
        <f t="shared" si="5"/>
        <v/>
      </c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 t="str">
        <f t="shared" si="4"/>
        <v/>
      </c>
      <c r="P573" s="2"/>
      <c r="Q573" s="2"/>
      <c r="R573" s="2"/>
      <c r="S573" s="2"/>
      <c r="T573" s="2"/>
      <c r="U573" s="2"/>
      <c r="V573" s="26" t="str">
        <f>IF(OR($A573="",ISERROR(SEARCH("_",$A573))),"",IFERROR(SUMIFS(Trade_Reports!$Z$3:$Z$502,Trade_Reports!$H$3:$H$502,$A573,Trade_Reports!$M$3:$M$502,"APPROVED")/SUMIFS(Trade_Reports!$U$3:$U$502,Trade_Reports!$H$3:$H$502,$A573,Trade_Reports!$M$3:$M$502,"APPROVED"),""))</f>
        <v/>
      </c>
      <c r="W573" s="2" t="str">
        <f t="shared" si="5"/>
        <v/>
      </c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 t="str">
        <f t="shared" si="4"/>
        <v/>
      </c>
      <c r="P574" s="2"/>
      <c r="Q574" s="2"/>
      <c r="R574" s="2"/>
      <c r="S574" s="2"/>
      <c r="T574" s="2"/>
      <c r="U574" s="2"/>
      <c r="V574" s="26" t="str">
        <f>IF(OR($A574="",ISERROR(SEARCH("_",$A574))),"",IFERROR(SUMIFS(Trade_Reports!$Z$3:$Z$502,Trade_Reports!$H$3:$H$502,$A574,Trade_Reports!$M$3:$M$502,"APPROVED")/SUMIFS(Trade_Reports!$U$3:$U$502,Trade_Reports!$H$3:$H$502,$A574,Trade_Reports!$M$3:$M$502,"APPROVED"),""))</f>
        <v/>
      </c>
      <c r="W574" s="2" t="str">
        <f t="shared" si="5"/>
        <v/>
      </c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 t="str">
        <f t="shared" si="4"/>
        <v/>
      </c>
      <c r="P575" s="2"/>
      <c r="Q575" s="2"/>
      <c r="R575" s="2"/>
      <c r="S575" s="2"/>
      <c r="T575" s="2"/>
      <c r="U575" s="2"/>
      <c r="V575" s="26" t="str">
        <f>IF(OR($A575="",ISERROR(SEARCH("_",$A575))),"",IFERROR(SUMIFS(Trade_Reports!$Z$3:$Z$502,Trade_Reports!$H$3:$H$502,$A575,Trade_Reports!$M$3:$M$502,"APPROVED")/SUMIFS(Trade_Reports!$U$3:$U$502,Trade_Reports!$H$3:$H$502,$A575,Trade_Reports!$M$3:$M$502,"APPROVED"),""))</f>
        <v/>
      </c>
      <c r="W575" s="2" t="str">
        <f t="shared" si="5"/>
        <v/>
      </c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 t="str">
        <f t="shared" si="4"/>
        <v/>
      </c>
      <c r="P576" s="2"/>
      <c r="Q576" s="2"/>
      <c r="R576" s="2"/>
      <c r="S576" s="2"/>
      <c r="T576" s="2"/>
      <c r="U576" s="2"/>
      <c r="V576" s="26" t="str">
        <f>IF(OR($A576="",ISERROR(SEARCH("_",$A576))),"",IFERROR(SUMIFS(Trade_Reports!$Z$3:$Z$502,Trade_Reports!$H$3:$H$502,$A576,Trade_Reports!$M$3:$M$502,"APPROVED")/SUMIFS(Trade_Reports!$U$3:$U$502,Trade_Reports!$H$3:$H$502,$A576,Trade_Reports!$M$3:$M$502,"APPROVED"),""))</f>
        <v/>
      </c>
      <c r="W576" s="2" t="str">
        <f t="shared" si="5"/>
        <v/>
      </c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 t="str">
        <f t="shared" si="4"/>
        <v/>
      </c>
      <c r="P577" s="2"/>
      <c r="Q577" s="2"/>
      <c r="R577" s="2"/>
      <c r="S577" s="2"/>
      <c r="T577" s="2"/>
      <c r="U577" s="2"/>
      <c r="V577" s="26" t="str">
        <f>IF(OR($A577="",ISERROR(SEARCH("_",$A577))),"",IFERROR(SUMIFS(Trade_Reports!$Z$3:$Z$502,Trade_Reports!$H$3:$H$502,$A577,Trade_Reports!$M$3:$M$502,"APPROVED")/SUMIFS(Trade_Reports!$U$3:$U$502,Trade_Reports!$H$3:$H$502,$A577,Trade_Reports!$M$3:$M$502,"APPROVED"),""))</f>
        <v/>
      </c>
      <c r="W577" s="2" t="str">
        <f t="shared" si="5"/>
        <v/>
      </c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 t="str">
        <f t="shared" si="4"/>
        <v/>
      </c>
      <c r="P578" s="2"/>
      <c r="Q578" s="2"/>
      <c r="R578" s="2"/>
      <c r="S578" s="2"/>
      <c r="T578" s="2"/>
      <c r="U578" s="2"/>
      <c r="V578" s="26" t="str">
        <f>IF(OR($A578="",ISERROR(SEARCH("_",$A578))),"",IFERROR(SUMIFS(Trade_Reports!$Z$3:$Z$502,Trade_Reports!$H$3:$H$502,$A578,Trade_Reports!$M$3:$M$502,"APPROVED")/SUMIFS(Trade_Reports!$U$3:$U$502,Trade_Reports!$H$3:$H$502,$A578,Trade_Reports!$M$3:$M$502,"APPROVED"),""))</f>
        <v/>
      </c>
      <c r="W578" s="2" t="str">
        <f t="shared" si="5"/>
        <v/>
      </c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 t="str">
        <f t="shared" si="4"/>
        <v/>
      </c>
      <c r="P579" s="2"/>
      <c r="Q579" s="2"/>
      <c r="R579" s="2"/>
      <c r="S579" s="2"/>
      <c r="T579" s="2"/>
      <c r="U579" s="2"/>
      <c r="V579" s="26" t="str">
        <f>IF(OR($A579="",ISERROR(SEARCH("_",$A579))),"",IFERROR(SUMIFS(Trade_Reports!$Z$3:$Z$502,Trade_Reports!$H$3:$H$502,$A579,Trade_Reports!$M$3:$M$502,"APPROVED")/SUMIFS(Trade_Reports!$U$3:$U$502,Trade_Reports!$H$3:$H$502,$A579,Trade_Reports!$M$3:$M$502,"APPROVED"),""))</f>
        <v/>
      </c>
      <c r="W579" s="2" t="str">
        <f t="shared" si="5"/>
        <v/>
      </c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 t="str">
        <f t="shared" si="4"/>
        <v/>
      </c>
      <c r="P580" s="2"/>
      <c r="Q580" s="2"/>
      <c r="R580" s="2"/>
      <c r="S580" s="2"/>
      <c r="T580" s="2"/>
      <c r="U580" s="2"/>
      <c r="V580" s="26" t="str">
        <f>IF(OR($A580="",ISERROR(SEARCH("_",$A580))),"",IFERROR(SUMIFS(Trade_Reports!$Z$3:$Z$502,Trade_Reports!$H$3:$H$502,$A580,Trade_Reports!$M$3:$M$502,"APPROVED")/SUMIFS(Trade_Reports!$U$3:$U$502,Trade_Reports!$H$3:$H$502,$A580,Trade_Reports!$M$3:$M$502,"APPROVED"),""))</f>
        <v/>
      </c>
      <c r="W580" s="2" t="str">
        <f t="shared" si="5"/>
        <v/>
      </c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 t="str">
        <f t="shared" si="4"/>
        <v/>
      </c>
      <c r="P581" s="2"/>
      <c r="Q581" s="2"/>
      <c r="R581" s="2"/>
      <c r="S581" s="2"/>
      <c r="T581" s="2"/>
      <c r="U581" s="2"/>
      <c r="V581" s="26" t="str">
        <f>IF(OR($A581="",ISERROR(SEARCH("_",$A581))),"",IFERROR(SUMIFS(Trade_Reports!$Z$3:$Z$502,Trade_Reports!$H$3:$H$502,$A581,Trade_Reports!$M$3:$M$502,"APPROVED")/SUMIFS(Trade_Reports!$U$3:$U$502,Trade_Reports!$H$3:$H$502,$A581,Trade_Reports!$M$3:$M$502,"APPROVED"),""))</f>
        <v/>
      </c>
      <c r="W581" s="2" t="str">
        <f t="shared" si="5"/>
        <v/>
      </c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 t="str">
        <f t="shared" si="4"/>
        <v/>
      </c>
      <c r="P582" s="2"/>
      <c r="Q582" s="2"/>
      <c r="R582" s="2"/>
      <c r="S582" s="2"/>
      <c r="T582" s="2"/>
      <c r="U582" s="2"/>
      <c r="V582" s="26" t="str">
        <f>IF(OR($A582="",ISERROR(SEARCH("_",$A582))),"",IFERROR(SUMIFS(Trade_Reports!$Z$3:$Z$502,Trade_Reports!$H$3:$H$502,$A582,Trade_Reports!$M$3:$M$502,"APPROVED")/SUMIFS(Trade_Reports!$U$3:$U$502,Trade_Reports!$H$3:$H$502,$A582,Trade_Reports!$M$3:$M$502,"APPROVED"),""))</f>
        <v/>
      </c>
      <c r="W582" s="2" t="str">
        <f t="shared" si="5"/>
        <v/>
      </c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 t="str">
        <f t="shared" si="4"/>
        <v/>
      </c>
      <c r="P583" s="2"/>
      <c r="Q583" s="2"/>
      <c r="R583" s="2"/>
      <c r="S583" s="2"/>
      <c r="T583" s="2"/>
      <c r="U583" s="2"/>
      <c r="V583" s="26" t="str">
        <f>IF(OR($A583="",ISERROR(SEARCH("_",$A583))),"",IFERROR(SUMIFS(Trade_Reports!$Z$3:$Z$502,Trade_Reports!$H$3:$H$502,$A583,Trade_Reports!$M$3:$M$502,"APPROVED")/SUMIFS(Trade_Reports!$U$3:$U$502,Trade_Reports!$H$3:$H$502,$A583,Trade_Reports!$M$3:$M$502,"APPROVED"),""))</f>
        <v/>
      </c>
      <c r="W583" s="2" t="str">
        <f t="shared" si="5"/>
        <v/>
      </c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 t="str">
        <f t="shared" si="4"/>
        <v/>
      </c>
      <c r="P584" s="2"/>
      <c r="Q584" s="2"/>
      <c r="R584" s="2"/>
      <c r="S584" s="2"/>
      <c r="T584" s="2"/>
      <c r="U584" s="2"/>
      <c r="V584" s="26" t="str">
        <f>IF(OR($A584="",ISERROR(SEARCH("_",$A584))),"",IFERROR(SUMIFS(Trade_Reports!$Z$3:$Z$502,Trade_Reports!$H$3:$H$502,$A584,Trade_Reports!$M$3:$M$502,"APPROVED")/SUMIFS(Trade_Reports!$U$3:$U$502,Trade_Reports!$H$3:$H$502,$A584,Trade_Reports!$M$3:$M$502,"APPROVED"),""))</f>
        <v/>
      </c>
      <c r="W584" s="2" t="str">
        <f t="shared" si="5"/>
        <v/>
      </c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 t="str">
        <f t="shared" si="4"/>
        <v/>
      </c>
      <c r="P585" s="2"/>
      <c r="Q585" s="2"/>
      <c r="R585" s="2"/>
      <c r="S585" s="2"/>
      <c r="T585" s="2"/>
      <c r="U585" s="2"/>
      <c r="V585" s="26" t="str">
        <f>IF(OR($A585="",ISERROR(SEARCH("_",$A585))),"",IFERROR(SUMIFS(Trade_Reports!$Z$3:$Z$502,Trade_Reports!$H$3:$H$502,$A585,Trade_Reports!$M$3:$M$502,"APPROVED")/SUMIFS(Trade_Reports!$U$3:$U$502,Trade_Reports!$H$3:$H$502,$A585,Trade_Reports!$M$3:$M$502,"APPROVED"),""))</f>
        <v/>
      </c>
      <c r="W585" s="2" t="str">
        <f t="shared" si="5"/>
        <v/>
      </c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 t="str">
        <f t="shared" si="4"/>
        <v/>
      </c>
      <c r="P586" s="2"/>
      <c r="Q586" s="2"/>
      <c r="R586" s="2"/>
      <c r="S586" s="2"/>
      <c r="T586" s="2"/>
      <c r="U586" s="2"/>
      <c r="V586" s="26" t="str">
        <f>IF(OR($A586="",ISERROR(SEARCH("_",$A586))),"",IFERROR(SUMIFS(Trade_Reports!$Z$3:$Z$502,Trade_Reports!$H$3:$H$502,$A586,Trade_Reports!$M$3:$M$502,"APPROVED")/SUMIFS(Trade_Reports!$U$3:$U$502,Trade_Reports!$H$3:$H$502,$A586,Trade_Reports!$M$3:$M$502,"APPROVED"),""))</f>
        <v/>
      </c>
      <c r="W586" s="2" t="str">
        <f t="shared" si="5"/>
        <v/>
      </c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 t="str">
        <f t="shared" si="4"/>
        <v/>
      </c>
      <c r="P587" s="2"/>
      <c r="Q587" s="2"/>
      <c r="R587" s="2"/>
      <c r="S587" s="2"/>
      <c r="T587" s="2"/>
      <c r="U587" s="2"/>
      <c r="V587" s="26" t="str">
        <f>IF(OR($A587="",ISERROR(SEARCH("_",$A587))),"",IFERROR(SUMIFS(Trade_Reports!$Z$3:$Z$502,Trade_Reports!$H$3:$H$502,$A587,Trade_Reports!$M$3:$M$502,"APPROVED")/SUMIFS(Trade_Reports!$U$3:$U$502,Trade_Reports!$H$3:$H$502,$A587,Trade_Reports!$M$3:$M$502,"APPROVED"),""))</f>
        <v/>
      </c>
      <c r="W587" s="2" t="str">
        <f t="shared" si="5"/>
        <v/>
      </c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 t="str">
        <f t="shared" si="4"/>
        <v/>
      </c>
      <c r="P588" s="2"/>
      <c r="Q588" s="2"/>
      <c r="R588" s="2"/>
      <c r="S588" s="2"/>
      <c r="T588" s="2"/>
      <c r="U588" s="2"/>
      <c r="V588" s="26" t="str">
        <f>IF(OR($A588="",ISERROR(SEARCH("_",$A588))),"",IFERROR(SUMIFS(Trade_Reports!$Z$3:$Z$502,Trade_Reports!$H$3:$H$502,$A588,Trade_Reports!$M$3:$M$502,"APPROVED")/SUMIFS(Trade_Reports!$U$3:$U$502,Trade_Reports!$H$3:$H$502,$A588,Trade_Reports!$M$3:$M$502,"APPROVED"),""))</f>
        <v/>
      </c>
      <c r="W588" s="2" t="str">
        <f t="shared" si="5"/>
        <v/>
      </c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 t="str">
        <f t="shared" si="4"/>
        <v/>
      </c>
      <c r="P589" s="2"/>
      <c r="Q589" s="2"/>
      <c r="R589" s="2"/>
      <c r="S589" s="2"/>
      <c r="T589" s="2"/>
      <c r="U589" s="2"/>
      <c r="V589" s="26" t="str">
        <f>IF(OR($A589="",ISERROR(SEARCH("_",$A589))),"",IFERROR(SUMIFS(Trade_Reports!$Z$3:$Z$502,Trade_Reports!$H$3:$H$502,$A589,Trade_Reports!$M$3:$M$502,"APPROVED")/SUMIFS(Trade_Reports!$U$3:$U$502,Trade_Reports!$H$3:$H$502,$A589,Trade_Reports!$M$3:$M$502,"APPROVED"),""))</f>
        <v/>
      </c>
      <c r="W589" s="2" t="str">
        <f t="shared" si="5"/>
        <v/>
      </c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 t="str">
        <f t="shared" si="4"/>
        <v/>
      </c>
      <c r="P590" s="2"/>
      <c r="Q590" s="2"/>
      <c r="R590" s="2"/>
      <c r="S590" s="2"/>
      <c r="T590" s="2"/>
      <c r="U590" s="2"/>
      <c r="V590" s="26" t="str">
        <f>IF(OR($A590="",ISERROR(SEARCH("_",$A590))),"",IFERROR(SUMIFS(Trade_Reports!$Z$3:$Z$502,Trade_Reports!$H$3:$H$502,$A590,Trade_Reports!$M$3:$M$502,"APPROVED")/SUMIFS(Trade_Reports!$U$3:$U$502,Trade_Reports!$H$3:$H$502,$A590,Trade_Reports!$M$3:$M$502,"APPROVED"),""))</f>
        <v/>
      </c>
      <c r="W590" s="2" t="str">
        <f t="shared" si="5"/>
        <v/>
      </c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 t="str">
        <f t="shared" si="4"/>
        <v/>
      </c>
      <c r="P591" s="2"/>
      <c r="Q591" s="2"/>
      <c r="R591" s="2"/>
      <c r="S591" s="2"/>
      <c r="T591" s="2"/>
      <c r="U591" s="2"/>
      <c r="V591" s="26" t="str">
        <f>IF(OR($A591="",ISERROR(SEARCH("_",$A591))),"",IFERROR(SUMIFS(Trade_Reports!$Z$3:$Z$502,Trade_Reports!$H$3:$H$502,$A591,Trade_Reports!$M$3:$M$502,"APPROVED")/SUMIFS(Trade_Reports!$U$3:$U$502,Trade_Reports!$H$3:$H$502,$A591,Trade_Reports!$M$3:$M$502,"APPROVED"),""))</f>
        <v/>
      </c>
      <c r="W591" s="2" t="str">
        <f t="shared" si="5"/>
        <v/>
      </c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 t="str">
        <f t="shared" si="4"/>
        <v/>
      </c>
      <c r="P592" s="2"/>
      <c r="Q592" s="2"/>
      <c r="R592" s="2"/>
      <c r="S592" s="2"/>
      <c r="T592" s="2"/>
      <c r="U592" s="2"/>
      <c r="V592" s="26" t="str">
        <f>IF(OR($A592="",ISERROR(SEARCH("_",$A592))),"",IFERROR(SUMIFS(Trade_Reports!$Z$3:$Z$502,Trade_Reports!$H$3:$H$502,$A592,Trade_Reports!$M$3:$M$502,"APPROVED")/SUMIFS(Trade_Reports!$U$3:$U$502,Trade_Reports!$H$3:$H$502,$A592,Trade_Reports!$M$3:$M$502,"APPROVED"),""))</f>
        <v/>
      </c>
      <c r="W592" s="2" t="str">
        <f t="shared" si="5"/>
        <v/>
      </c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 t="str">
        <f t="shared" si="4"/>
        <v/>
      </c>
      <c r="P593" s="2"/>
      <c r="Q593" s="2"/>
      <c r="R593" s="2"/>
      <c r="S593" s="2"/>
      <c r="T593" s="2"/>
      <c r="U593" s="2"/>
      <c r="V593" s="26" t="str">
        <f>IF(OR($A593="",ISERROR(SEARCH("_",$A593))),"",IFERROR(SUMIFS(Trade_Reports!$Z$3:$Z$502,Trade_Reports!$H$3:$H$502,$A593,Trade_Reports!$M$3:$M$502,"APPROVED")/SUMIFS(Trade_Reports!$U$3:$U$502,Trade_Reports!$H$3:$H$502,$A593,Trade_Reports!$M$3:$M$502,"APPROVED"),""))</f>
        <v/>
      </c>
      <c r="W593" s="2" t="str">
        <f t="shared" si="5"/>
        <v/>
      </c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 t="str">
        <f t="shared" si="4"/>
        <v/>
      </c>
      <c r="P594" s="2"/>
      <c r="Q594" s="2"/>
      <c r="R594" s="2"/>
      <c r="S594" s="2"/>
      <c r="T594" s="2"/>
      <c r="U594" s="2"/>
      <c r="V594" s="26" t="str">
        <f>IF(OR($A594="",ISERROR(SEARCH("_",$A594))),"",IFERROR(SUMIFS(Trade_Reports!$Z$3:$Z$502,Trade_Reports!$H$3:$H$502,$A594,Trade_Reports!$M$3:$M$502,"APPROVED")/SUMIFS(Trade_Reports!$U$3:$U$502,Trade_Reports!$H$3:$H$502,$A594,Trade_Reports!$M$3:$M$502,"APPROVED"),""))</f>
        <v/>
      </c>
      <c r="W594" s="2" t="str">
        <f t="shared" si="5"/>
        <v/>
      </c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 t="str">
        <f t="shared" si="4"/>
        <v/>
      </c>
      <c r="P595" s="2"/>
      <c r="Q595" s="2"/>
      <c r="R595" s="2"/>
      <c r="S595" s="2"/>
      <c r="T595" s="2"/>
      <c r="U595" s="2"/>
      <c r="V595" s="26" t="str">
        <f>IF(OR($A595="",ISERROR(SEARCH("_",$A595))),"",IFERROR(SUMIFS(Trade_Reports!$Z$3:$Z$502,Trade_Reports!$H$3:$H$502,$A595,Trade_Reports!$M$3:$M$502,"APPROVED")/SUMIFS(Trade_Reports!$U$3:$U$502,Trade_Reports!$H$3:$H$502,$A595,Trade_Reports!$M$3:$M$502,"APPROVED"),""))</f>
        <v/>
      </c>
      <c r="W595" s="2" t="str">
        <f t="shared" si="5"/>
        <v/>
      </c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 t="str">
        <f t="shared" si="4"/>
        <v/>
      </c>
      <c r="P596" s="2"/>
      <c r="Q596" s="2"/>
      <c r="R596" s="2"/>
      <c r="S596" s="2"/>
      <c r="T596" s="2"/>
      <c r="U596" s="2"/>
      <c r="V596" s="26" t="str">
        <f>IF(OR($A596="",ISERROR(SEARCH("_",$A596))),"",IFERROR(SUMIFS(Trade_Reports!$Z$3:$Z$502,Trade_Reports!$H$3:$H$502,$A596,Trade_Reports!$M$3:$M$502,"APPROVED")/SUMIFS(Trade_Reports!$U$3:$U$502,Trade_Reports!$H$3:$H$502,$A596,Trade_Reports!$M$3:$M$502,"APPROVED"),""))</f>
        <v/>
      </c>
      <c r="W596" s="2" t="str">
        <f t="shared" si="5"/>
        <v/>
      </c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 t="str">
        <f t="shared" si="4"/>
        <v/>
      </c>
      <c r="P597" s="2"/>
      <c r="Q597" s="2"/>
      <c r="R597" s="2"/>
      <c r="S597" s="2"/>
      <c r="T597" s="2"/>
      <c r="U597" s="2"/>
      <c r="V597" s="26" t="str">
        <f>IF(OR($A597="",ISERROR(SEARCH("_",$A597))),"",IFERROR(SUMIFS(Trade_Reports!$Z$3:$Z$502,Trade_Reports!$H$3:$H$502,$A597,Trade_Reports!$M$3:$M$502,"APPROVED")/SUMIFS(Trade_Reports!$U$3:$U$502,Trade_Reports!$H$3:$H$502,$A597,Trade_Reports!$M$3:$M$502,"APPROVED"),""))</f>
        <v/>
      </c>
      <c r="W597" s="2" t="str">
        <f t="shared" si="5"/>
        <v/>
      </c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 t="str">
        <f t="shared" si="4"/>
        <v/>
      </c>
      <c r="P598" s="2"/>
      <c r="Q598" s="2"/>
      <c r="R598" s="2"/>
      <c r="S598" s="2"/>
      <c r="T598" s="2"/>
      <c r="U598" s="2"/>
      <c r="V598" s="26" t="str">
        <f>IF(OR($A598="",ISERROR(SEARCH("_",$A598))),"",IFERROR(SUMIFS(Trade_Reports!$Z$3:$Z$502,Trade_Reports!$H$3:$H$502,$A598,Trade_Reports!$M$3:$M$502,"APPROVED")/SUMIFS(Trade_Reports!$U$3:$U$502,Trade_Reports!$H$3:$H$502,$A598,Trade_Reports!$M$3:$M$502,"APPROVED"),""))</f>
        <v/>
      </c>
      <c r="W598" s="2" t="str">
        <f t="shared" si="5"/>
        <v/>
      </c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 t="str">
        <f t="shared" si="4"/>
        <v/>
      </c>
      <c r="P599" s="2"/>
      <c r="Q599" s="2"/>
      <c r="R599" s="2"/>
      <c r="S599" s="2"/>
      <c r="T599" s="2"/>
      <c r="U599" s="2"/>
      <c r="V599" s="26" t="str">
        <f>IF(OR($A599="",ISERROR(SEARCH("_",$A599))),"",IFERROR(SUMIFS(Trade_Reports!$Z$3:$Z$502,Trade_Reports!$H$3:$H$502,$A599,Trade_Reports!$M$3:$M$502,"APPROVED")/SUMIFS(Trade_Reports!$U$3:$U$502,Trade_Reports!$H$3:$H$502,$A599,Trade_Reports!$M$3:$M$502,"APPROVED"),""))</f>
        <v/>
      </c>
      <c r="W599" s="2" t="str">
        <f t="shared" si="5"/>
        <v/>
      </c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 t="str">
        <f t="shared" si="4"/>
        <v/>
      </c>
      <c r="P600" s="2"/>
      <c r="Q600" s="2"/>
      <c r="R600" s="2"/>
      <c r="S600" s="2"/>
      <c r="T600" s="2"/>
      <c r="U600" s="2"/>
      <c r="V600" s="26" t="str">
        <f>IF(OR($A600="",ISERROR(SEARCH("_",$A600))),"",IFERROR(SUMIFS(Trade_Reports!$Z$3:$Z$502,Trade_Reports!$H$3:$H$502,$A600,Trade_Reports!$M$3:$M$502,"APPROVED")/SUMIFS(Trade_Reports!$U$3:$U$502,Trade_Reports!$H$3:$H$502,$A600,Trade_Reports!$M$3:$M$502,"APPROVED"),""))</f>
        <v/>
      </c>
      <c r="W600" s="2" t="str">
        <f t="shared" si="5"/>
        <v/>
      </c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 t="str">
        <f t="shared" si="4"/>
        <v/>
      </c>
      <c r="P601" s="2"/>
      <c r="Q601" s="2"/>
      <c r="R601" s="2"/>
      <c r="S601" s="2"/>
      <c r="T601" s="2"/>
      <c r="U601" s="2"/>
      <c r="V601" s="26" t="str">
        <f>IF(OR($A601="",ISERROR(SEARCH("_",$A601))),"",IFERROR(SUMIFS(Trade_Reports!$Z$3:$Z$502,Trade_Reports!$H$3:$H$502,$A601,Trade_Reports!$M$3:$M$502,"APPROVED")/SUMIFS(Trade_Reports!$U$3:$U$502,Trade_Reports!$H$3:$H$502,$A601,Trade_Reports!$M$3:$M$502,"APPROVED"),""))</f>
        <v/>
      </c>
      <c r="W601" s="2" t="str">
        <f t="shared" si="5"/>
        <v/>
      </c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 t="str">
        <f t="shared" si="4"/>
        <v/>
      </c>
      <c r="P602" s="2"/>
      <c r="Q602" s="2"/>
      <c r="R602" s="2"/>
      <c r="S602" s="2"/>
      <c r="T602" s="2"/>
      <c r="U602" s="2"/>
      <c r="V602" s="26" t="str">
        <f>IF(OR($A602="",ISERROR(SEARCH("_",$A602))),"",IFERROR(SUMIFS(Trade_Reports!$Z$3:$Z$502,Trade_Reports!$H$3:$H$502,$A602,Trade_Reports!$M$3:$M$502,"APPROVED")/SUMIFS(Trade_Reports!$U$3:$U$502,Trade_Reports!$H$3:$H$502,$A602,Trade_Reports!$M$3:$M$502,"APPROVED"),""))</f>
        <v/>
      </c>
      <c r="W602" s="2" t="str">
        <f t="shared" si="5"/>
        <v/>
      </c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 t="str">
        <f t="shared" si="4"/>
        <v/>
      </c>
      <c r="P603" s="2"/>
      <c r="Q603" s="2"/>
      <c r="R603" s="2"/>
      <c r="S603" s="2"/>
      <c r="T603" s="2"/>
      <c r="U603" s="2"/>
      <c r="V603" s="26" t="str">
        <f>IF(OR($A603="",ISERROR(SEARCH("_",$A603))),"",IFERROR(SUMIFS(Trade_Reports!$Z$3:$Z$502,Trade_Reports!$H$3:$H$502,$A603,Trade_Reports!$M$3:$M$502,"APPROVED")/SUMIFS(Trade_Reports!$U$3:$U$502,Trade_Reports!$H$3:$H$502,$A603,Trade_Reports!$M$3:$M$502,"APPROVED"),""))</f>
        <v/>
      </c>
      <c r="W603" s="2" t="str">
        <f t="shared" si="5"/>
        <v/>
      </c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 t="str">
        <f t="shared" si="4"/>
        <v/>
      </c>
      <c r="P604" s="2"/>
      <c r="Q604" s="2"/>
      <c r="R604" s="2"/>
      <c r="S604" s="2"/>
      <c r="T604" s="2"/>
      <c r="U604" s="2"/>
      <c r="V604" s="26" t="str">
        <f>IF(OR($A604="",ISERROR(SEARCH("_",$A604))),"",IFERROR(SUMIFS(Trade_Reports!$Z$3:$Z$502,Trade_Reports!$H$3:$H$502,$A604,Trade_Reports!$M$3:$M$502,"APPROVED")/SUMIFS(Trade_Reports!$U$3:$U$502,Trade_Reports!$H$3:$H$502,$A604,Trade_Reports!$M$3:$M$502,"APPROVED"),""))</f>
        <v/>
      </c>
      <c r="W604" s="2" t="str">
        <f t="shared" si="5"/>
        <v/>
      </c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 t="str">
        <f t="shared" si="4"/>
        <v/>
      </c>
      <c r="P605" s="2"/>
      <c r="Q605" s="2"/>
      <c r="R605" s="2"/>
      <c r="S605" s="2"/>
      <c r="T605" s="2"/>
      <c r="U605" s="2"/>
      <c r="V605" s="26" t="str">
        <f>IF(OR($A605="",ISERROR(SEARCH("_",$A605))),"",IFERROR(SUMIFS(Trade_Reports!$Z$3:$Z$502,Trade_Reports!$H$3:$H$502,$A605,Trade_Reports!$M$3:$M$502,"APPROVED")/SUMIFS(Trade_Reports!$U$3:$U$502,Trade_Reports!$H$3:$H$502,$A605,Trade_Reports!$M$3:$M$502,"APPROVED"),""))</f>
        <v/>
      </c>
      <c r="W605" s="2" t="str">
        <f t="shared" si="5"/>
        <v/>
      </c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 t="str">
        <f t="shared" si="4"/>
        <v/>
      </c>
      <c r="P606" s="2"/>
      <c r="Q606" s="2"/>
      <c r="R606" s="2"/>
      <c r="S606" s="2"/>
      <c r="T606" s="2"/>
      <c r="U606" s="2"/>
      <c r="V606" s="26" t="str">
        <f>IF(OR($A606="",ISERROR(SEARCH("_",$A606))),"",IFERROR(SUMIFS(Trade_Reports!$Z$3:$Z$502,Trade_Reports!$H$3:$H$502,$A606,Trade_Reports!$M$3:$M$502,"APPROVED")/SUMIFS(Trade_Reports!$U$3:$U$502,Trade_Reports!$H$3:$H$502,$A606,Trade_Reports!$M$3:$M$502,"APPROVED"),""))</f>
        <v/>
      </c>
      <c r="W606" s="2" t="str">
        <f t="shared" si="5"/>
        <v/>
      </c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 t="str">
        <f t="shared" si="4"/>
        <v/>
      </c>
      <c r="P607" s="2"/>
      <c r="Q607" s="2"/>
      <c r="R607" s="2"/>
      <c r="S607" s="2"/>
      <c r="T607" s="2"/>
      <c r="U607" s="2"/>
      <c r="V607" s="26" t="str">
        <f>IF(OR($A607="",ISERROR(SEARCH("_",$A607))),"",IFERROR(SUMIFS(Trade_Reports!$Z$3:$Z$502,Trade_Reports!$H$3:$H$502,$A607,Trade_Reports!$M$3:$M$502,"APPROVED")/SUMIFS(Trade_Reports!$U$3:$U$502,Trade_Reports!$H$3:$H$502,$A607,Trade_Reports!$M$3:$M$502,"APPROVED"),""))</f>
        <v/>
      </c>
      <c r="W607" s="2" t="str">
        <f t="shared" si="5"/>
        <v/>
      </c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 t="str">
        <f t="shared" si="4"/>
        <v/>
      </c>
      <c r="P608" s="2"/>
      <c r="Q608" s="2"/>
      <c r="R608" s="2"/>
      <c r="S608" s="2"/>
      <c r="T608" s="2"/>
      <c r="U608" s="2"/>
      <c r="V608" s="26" t="str">
        <f>IF(OR($A608="",ISERROR(SEARCH("_",$A608))),"",IFERROR(SUMIFS(Trade_Reports!$Z$3:$Z$502,Trade_Reports!$H$3:$H$502,$A608,Trade_Reports!$M$3:$M$502,"APPROVED")/SUMIFS(Trade_Reports!$U$3:$U$502,Trade_Reports!$H$3:$H$502,$A608,Trade_Reports!$M$3:$M$502,"APPROVED"),""))</f>
        <v/>
      </c>
      <c r="W608" s="2" t="str">
        <f t="shared" si="5"/>
        <v/>
      </c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 t="str">
        <f t="shared" si="4"/>
        <v/>
      </c>
      <c r="P609" s="2"/>
      <c r="Q609" s="2"/>
      <c r="R609" s="2"/>
      <c r="S609" s="2"/>
      <c r="T609" s="2"/>
      <c r="U609" s="2"/>
      <c r="V609" s="26" t="str">
        <f>IF(OR($A609="",ISERROR(SEARCH("_",$A609))),"",IFERROR(SUMIFS(Trade_Reports!$Z$3:$Z$502,Trade_Reports!$H$3:$H$502,$A609,Trade_Reports!$M$3:$M$502,"APPROVED")/SUMIFS(Trade_Reports!$U$3:$U$502,Trade_Reports!$H$3:$H$502,$A609,Trade_Reports!$M$3:$M$502,"APPROVED"),""))</f>
        <v/>
      </c>
      <c r="W609" s="2" t="str">
        <f t="shared" si="5"/>
        <v/>
      </c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 t="str">
        <f t="shared" si="4"/>
        <v/>
      </c>
      <c r="P610" s="2"/>
      <c r="Q610" s="2"/>
      <c r="R610" s="2"/>
      <c r="S610" s="2"/>
      <c r="T610" s="2"/>
      <c r="U610" s="2"/>
      <c r="V610" s="26" t="str">
        <f>IF(OR($A610="",ISERROR(SEARCH("_",$A610))),"",IFERROR(SUMIFS(Trade_Reports!$Z$3:$Z$502,Trade_Reports!$H$3:$H$502,$A610,Trade_Reports!$M$3:$M$502,"APPROVED")/SUMIFS(Trade_Reports!$U$3:$U$502,Trade_Reports!$H$3:$H$502,$A610,Trade_Reports!$M$3:$M$502,"APPROVED"),""))</f>
        <v/>
      </c>
      <c r="W610" s="2" t="str">
        <f t="shared" si="5"/>
        <v/>
      </c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 t="str">
        <f t="shared" si="4"/>
        <v/>
      </c>
      <c r="P611" s="2"/>
      <c r="Q611" s="2"/>
      <c r="R611" s="2"/>
      <c r="S611" s="2"/>
      <c r="T611" s="2"/>
      <c r="U611" s="2"/>
      <c r="V611" s="26" t="str">
        <f>IF(OR($A611="",ISERROR(SEARCH("_",$A611))),"",IFERROR(SUMIFS(Trade_Reports!$Z$3:$Z$502,Trade_Reports!$H$3:$H$502,$A611,Trade_Reports!$M$3:$M$502,"APPROVED")/SUMIFS(Trade_Reports!$U$3:$U$502,Trade_Reports!$H$3:$H$502,$A611,Trade_Reports!$M$3:$M$502,"APPROVED"),""))</f>
        <v/>
      </c>
      <c r="W611" s="2" t="str">
        <f t="shared" si="5"/>
        <v/>
      </c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 t="str">
        <f t="shared" si="4"/>
        <v/>
      </c>
      <c r="P612" s="2"/>
      <c r="Q612" s="2"/>
      <c r="R612" s="2"/>
      <c r="S612" s="2"/>
      <c r="T612" s="2"/>
      <c r="U612" s="2"/>
      <c r="V612" s="26" t="str">
        <f>IF(OR($A612="",ISERROR(SEARCH("_",$A612))),"",IFERROR(SUMIFS(Trade_Reports!$Z$3:$Z$502,Trade_Reports!$H$3:$H$502,$A612,Trade_Reports!$M$3:$M$502,"APPROVED")/SUMIFS(Trade_Reports!$U$3:$U$502,Trade_Reports!$H$3:$H$502,$A612,Trade_Reports!$M$3:$M$502,"APPROVED"),""))</f>
        <v/>
      </c>
      <c r="W612" s="2" t="str">
        <f t="shared" si="5"/>
        <v/>
      </c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 t="str">
        <f t="shared" si="4"/>
        <v/>
      </c>
      <c r="P613" s="2"/>
      <c r="Q613" s="2"/>
      <c r="R613" s="2"/>
      <c r="S613" s="2"/>
      <c r="T613" s="2"/>
      <c r="U613" s="2"/>
      <c r="V613" s="26" t="str">
        <f>IF(OR($A613="",ISERROR(SEARCH("_",$A613))),"",IFERROR(SUMIFS(Trade_Reports!$Z$3:$Z$502,Trade_Reports!$H$3:$H$502,$A613,Trade_Reports!$M$3:$M$502,"APPROVED")/SUMIFS(Trade_Reports!$U$3:$U$502,Trade_Reports!$H$3:$H$502,$A613,Trade_Reports!$M$3:$M$502,"APPROVED"),""))</f>
        <v/>
      </c>
      <c r="W613" s="2" t="str">
        <f t="shared" si="5"/>
        <v/>
      </c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 t="str">
        <f t="shared" si="4"/>
        <v/>
      </c>
      <c r="P614" s="2"/>
      <c r="Q614" s="2"/>
      <c r="R614" s="2"/>
      <c r="S614" s="2"/>
      <c r="T614" s="2"/>
      <c r="U614" s="2"/>
      <c r="V614" s="26" t="str">
        <f>IF(OR($A614="",ISERROR(SEARCH("_",$A614))),"",IFERROR(SUMIFS(Trade_Reports!$Z$3:$Z$502,Trade_Reports!$H$3:$H$502,$A614,Trade_Reports!$M$3:$M$502,"APPROVED")/SUMIFS(Trade_Reports!$U$3:$U$502,Trade_Reports!$H$3:$H$502,$A614,Trade_Reports!$M$3:$M$502,"APPROVED"),""))</f>
        <v/>
      </c>
      <c r="W614" s="2" t="str">
        <f t="shared" si="5"/>
        <v/>
      </c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 t="str">
        <f t="shared" si="4"/>
        <v/>
      </c>
      <c r="P615" s="2"/>
      <c r="Q615" s="2"/>
      <c r="R615" s="2"/>
      <c r="S615" s="2"/>
      <c r="T615" s="2"/>
      <c r="U615" s="2"/>
      <c r="V615" s="26" t="str">
        <f>IF(OR($A615="",ISERROR(SEARCH("_",$A615))),"",IFERROR(SUMIFS(Trade_Reports!$Z$3:$Z$502,Trade_Reports!$H$3:$H$502,$A615,Trade_Reports!$M$3:$M$502,"APPROVED")/SUMIFS(Trade_Reports!$U$3:$U$502,Trade_Reports!$H$3:$H$502,$A615,Trade_Reports!$M$3:$M$502,"APPROVED"),""))</f>
        <v/>
      </c>
      <c r="W615" s="2" t="str">
        <f t="shared" si="5"/>
        <v/>
      </c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 t="str">
        <f t="shared" si="4"/>
        <v/>
      </c>
      <c r="P616" s="2"/>
      <c r="Q616" s="2"/>
      <c r="R616" s="2"/>
      <c r="S616" s="2"/>
      <c r="T616" s="2"/>
      <c r="U616" s="2"/>
      <c r="V616" s="26" t="str">
        <f>IF(OR($A616="",ISERROR(SEARCH("_",$A616))),"",IFERROR(SUMIFS(Trade_Reports!$Z$3:$Z$502,Trade_Reports!$H$3:$H$502,$A616,Trade_Reports!$M$3:$M$502,"APPROVED")/SUMIFS(Trade_Reports!$U$3:$U$502,Trade_Reports!$H$3:$H$502,$A616,Trade_Reports!$M$3:$M$502,"APPROVED"),""))</f>
        <v/>
      </c>
      <c r="W616" s="2" t="str">
        <f t="shared" si="5"/>
        <v/>
      </c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 t="str">
        <f t="shared" si="4"/>
        <v/>
      </c>
      <c r="P617" s="2"/>
      <c r="Q617" s="2"/>
      <c r="R617" s="2"/>
      <c r="S617" s="2"/>
      <c r="T617" s="2"/>
      <c r="U617" s="2"/>
      <c r="V617" s="26" t="str">
        <f>IF(OR($A617="",ISERROR(SEARCH("_",$A617))),"",IFERROR(SUMIFS(Trade_Reports!$Z$3:$Z$502,Trade_Reports!$H$3:$H$502,$A617,Trade_Reports!$M$3:$M$502,"APPROVED")/SUMIFS(Trade_Reports!$U$3:$U$502,Trade_Reports!$H$3:$H$502,$A617,Trade_Reports!$M$3:$M$502,"APPROVED"),""))</f>
        <v/>
      </c>
      <c r="W617" s="2" t="str">
        <f t="shared" si="5"/>
        <v/>
      </c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 t="str">
        <f t="shared" si="4"/>
        <v/>
      </c>
      <c r="P618" s="2"/>
      <c r="Q618" s="2"/>
      <c r="R618" s="2"/>
      <c r="S618" s="2"/>
      <c r="T618" s="2"/>
      <c r="U618" s="2"/>
      <c r="V618" s="26" t="str">
        <f>IF(OR($A618="",ISERROR(SEARCH("_",$A618))),"",IFERROR(SUMIFS(Trade_Reports!$Z$3:$Z$502,Trade_Reports!$H$3:$H$502,$A618,Trade_Reports!$M$3:$M$502,"APPROVED")/SUMIFS(Trade_Reports!$U$3:$U$502,Trade_Reports!$H$3:$H$502,$A618,Trade_Reports!$M$3:$M$502,"APPROVED"),""))</f>
        <v/>
      </c>
      <c r="W618" s="2" t="str">
        <f t="shared" si="5"/>
        <v/>
      </c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 t="str">
        <f t="shared" si="4"/>
        <v/>
      </c>
      <c r="P619" s="2"/>
      <c r="Q619" s="2"/>
      <c r="R619" s="2"/>
      <c r="S619" s="2"/>
      <c r="T619" s="2"/>
      <c r="U619" s="2"/>
      <c r="V619" s="26" t="str">
        <f>IF(OR($A619="",ISERROR(SEARCH("_",$A619))),"",IFERROR(SUMIFS(Trade_Reports!$Z$3:$Z$502,Trade_Reports!$H$3:$H$502,$A619,Trade_Reports!$M$3:$M$502,"APPROVED")/SUMIFS(Trade_Reports!$U$3:$U$502,Trade_Reports!$H$3:$H$502,$A619,Trade_Reports!$M$3:$M$502,"APPROVED"),""))</f>
        <v/>
      </c>
      <c r="W619" s="2" t="str">
        <f t="shared" si="5"/>
        <v/>
      </c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 t="str">
        <f t="shared" si="4"/>
        <v/>
      </c>
      <c r="P620" s="2"/>
      <c r="Q620" s="2"/>
      <c r="R620" s="2"/>
      <c r="S620" s="2"/>
      <c r="T620" s="2"/>
      <c r="U620" s="2"/>
      <c r="V620" s="26" t="str">
        <f>IF(OR($A620="",ISERROR(SEARCH("_",$A620))),"",IFERROR(SUMIFS(Trade_Reports!$Z$3:$Z$502,Trade_Reports!$H$3:$H$502,$A620,Trade_Reports!$M$3:$M$502,"APPROVED")/SUMIFS(Trade_Reports!$U$3:$U$502,Trade_Reports!$H$3:$H$502,$A620,Trade_Reports!$M$3:$M$502,"APPROVED"),""))</f>
        <v/>
      </c>
      <c r="W620" s="2" t="str">
        <f t="shared" si="5"/>
        <v/>
      </c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 t="str">
        <f t="shared" si="4"/>
        <v/>
      </c>
      <c r="P621" s="2"/>
      <c r="Q621" s="2"/>
      <c r="R621" s="2"/>
      <c r="S621" s="2"/>
      <c r="T621" s="2"/>
      <c r="U621" s="2"/>
      <c r="V621" s="26" t="str">
        <f>IF(OR($A621="",ISERROR(SEARCH("_",$A621))),"",IFERROR(SUMIFS(Trade_Reports!$Z$3:$Z$502,Trade_Reports!$H$3:$H$502,$A621,Trade_Reports!$M$3:$M$502,"APPROVED")/SUMIFS(Trade_Reports!$U$3:$U$502,Trade_Reports!$H$3:$H$502,$A621,Trade_Reports!$M$3:$M$502,"APPROVED"),""))</f>
        <v/>
      </c>
      <c r="W621" s="2" t="str">
        <f t="shared" si="5"/>
        <v/>
      </c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 t="str">
        <f t="shared" si="4"/>
        <v/>
      </c>
      <c r="P622" s="2"/>
      <c r="Q622" s="2"/>
      <c r="R622" s="2"/>
      <c r="S622" s="2"/>
      <c r="T622" s="2"/>
      <c r="U622" s="2"/>
      <c r="V622" s="26" t="str">
        <f>IF(OR($A622="",ISERROR(SEARCH("_",$A622))),"",IFERROR(SUMIFS(Trade_Reports!$Z$3:$Z$502,Trade_Reports!$H$3:$H$502,$A622,Trade_Reports!$M$3:$M$502,"APPROVED")/SUMIFS(Trade_Reports!$U$3:$U$502,Trade_Reports!$H$3:$H$502,$A622,Trade_Reports!$M$3:$M$502,"APPROVED"),""))</f>
        <v/>
      </c>
      <c r="W622" s="2" t="str">
        <f t="shared" si="5"/>
        <v/>
      </c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 t="str">
        <f t="shared" si="4"/>
        <v/>
      </c>
      <c r="P623" s="2"/>
      <c r="Q623" s="2"/>
      <c r="R623" s="2"/>
      <c r="S623" s="2"/>
      <c r="T623" s="2"/>
      <c r="U623" s="2"/>
      <c r="V623" s="26" t="str">
        <f>IF(OR($A623="",ISERROR(SEARCH("_",$A623))),"",IFERROR(SUMIFS(Trade_Reports!$Z$3:$Z$502,Trade_Reports!$H$3:$H$502,$A623,Trade_Reports!$M$3:$M$502,"APPROVED")/SUMIFS(Trade_Reports!$U$3:$U$502,Trade_Reports!$H$3:$H$502,$A623,Trade_Reports!$M$3:$M$502,"APPROVED"),""))</f>
        <v/>
      </c>
      <c r="W623" s="2" t="str">
        <f t="shared" si="5"/>
        <v/>
      </c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 t="str">
        <f t="shared" si="4"/>
        <v/>
      </c>
      <c r="P624" s="2"/>
      <c r="Q624" s="2"/>
      <c r="R624" s="2"/>
      <c r="S624" s="2"/>
      <c r="T624" s="2"/>
      <c r="U624" s="2"/>
      <c r="V624" s="26" t="str">
        <f>IF(OR($A624="",ISERROR(SEARCH("_",$A624))),"",IFERROR(SUMIFS(Trade_Reports!$Z$3:$Z$502,Trade_Reports!$H$3:$H$502,$A624,Trade_Reports!$M$3:$M$502,"APPROVED")/SUMIFS(Trade_Reports!$U$3:$U$502,Trade_Reports!$H$3:$H$502,$A624,Trade_Reports!$M$3:$M$502,"APPROVED"),""))</f>
        <v/>
      </c>
      <c r="W624" s="2" t="str">
        <f t="shared" si="5"/>
        <v/>
      </c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 t="str">
        <f t="shared" si="4"/>
        <v/>
      </c>
      <c r="P625" s="2"/>
      <c r="Q625" s="2"/>
      <c r="R625" s="2"/>
      <c r="S625" s="2"/>
      <c r="T625" s="2"/>
      <c r="U625" s="2"/>
      <c r="V625" s="26" t="str">
        <f>IF(OR($A625="",ISERROR(SEARCH("_",$A625))),"",IFERROR(SUMIFS(Trade_Reports!$Z$3:$Z$502,Trade_Reports!$H$3:$H$502,$A625,Trade_Reports!$M$3:$M$502,"APPROVED")/SUMIFS(Trade_Reports!$U$3:$U$502,Trade_Reports!$H$3:$H$502,$A625,Trade_Reports!$M$3:$M$502,"APPROVED"),""))</f>
        <v/>
      </c>
      <c r="W625" s="2" t="str">
        <f t="shared" si="5"/>
        <v/>
      </c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 t="str">
        <f t="shared" si="4"/>
        <v/>
      </c>
      <c r="P626" s="2"/>
      <c r="Q626" s="2"/>
      <c r="R626" s="2"/>
      <c r="S626" s="2"/>
      <c r="T626" s="2"/>
      <c r="U626" s="2"/>
      <c r="V626" s="26" t="str">
        <f>IF(OR($A626="",ISERROR(SEARCH("_",$A626))),"",IFERROR(SUMIFS(Trade_Reports!$Z$3:$Z$502,Trade_Reports!$H$3:$H$502,$A626,Trade_Reports!$M$3:$M$502,"APPROVED")/SUMIFS(Trade_Reports!$U$3:$U$502,Trade_Reports!$H$3:$H$502,$A626,Trade_Reports!$M$3:$M$502,"APPROVED"),""))</f>
        <v/>
      </c>
      <c r="W626" s="2" t="str">
        <f t="shared" si="5"/>
        <v/>
      </c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 t="str">
        <f t="shared" si="4"/>
        <v/>
      </c>
      <c r="P627" s="2"/>
      <c r="Q627" s="2"/>
      <c r="R627" s="2"/>
      <c r="S627" s="2"/>
      <c r="T627" s="2"/>
      <c r="U627" s="2"/>
      <c r="V627" s="26" t="str">
        <f>IF(OR($A627="",ISERROR(SEARCH("_",$A627))),"",IFERROR(SUMIFS(Trade_Reports!$Z$3:$Z$502,Trade_Reports!$H$3:$H$502,$A627,Trade_Reports!$M$3:$M$502,"APPROVED")/SUMIFS(Trade_Reports!$U$3:$U$502,Trade_Reports!$H$3:$H$502,$A627,Trade_Reports!$M$3:$M$502,"APPROVED"),""))</f>
        <v/>
      </c>
      <c r="W627" s="2" t="str">
        <f t="shared" si="5"/>
        <v/>
      </c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 t="str">
        <f t="shared" si="4"/>
        <v/>
      </c>
      <c r="P628" s="2"/>
      <c r="Q628" s="2"/>
      <c r="R628" s="2"/>
      <c r="S628" s="2"/>
      <c r="T628" s="2"/>
      <c r="U628" s="2"/>
      <c r="V628" s="26" t="str">
        <f>IF(OR($A628="",ISERROR(SEARCH("_",$A628))),"",IFERROR(SUMIFS(Trade_Reports!$Z$3:$Z$502,Trade_Reports!$H$3:$H$502,$A628,Trade_Reports!$M$3:$M$502,"APPROVED")/SUMIFS(Trade_Reports!$U$3:$U$502,Trade_Reports!$H$3:$H$502,$A628,Trade_Reports!$M$3:$M$502,"APPROVED"),""))</f>
        <v/>
      </c>
      <c r="W628" s="2" t="str">
        <f t="shared" si="5"/>
        <v/>
      </c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 t="str">
        <f t="shared" si="4"/>
        <v/>
      </c>
      <c r="P629" s="2"/>
      <c r="Q629" s="2"/>
      <c r="R629" s="2"/>
      <c r="S629" s="2"/>
      <c r="T629" s="2"/>
      <c r="U629" s="2"/>
      <c r="V629" s="26" t="str">
        <f>IF(OR($A629="",ISERROR(SEARCH("_",$A629))),"",IFERROR(SUMIFS(Trade_Reports!$Z$3:$Z$502,Trade_Reports!$H$3:$H$502,$A629,Trade_Reports!$M$3:$M$502,"APPROVED")/SUMIFS(Trade_Reports!$U$3:$U$502,Trade_Reports!$H$3:$H$502,$A629,Trade_Reports!$M$3:$M$502,"APPROVED"),""))</f>
        <v/>
      </c>
      <c r="W629" s="2" t="str">
        <f t="shared" si="5"/>
        <v/>
      </c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 t="str">
        <f t="shared" si="4"/>
        <v/>
      </c>
      <c r="P630" s="2"/>
      <c r="Q630" s="2"/>
      <c r="R630" s="2"/>
      <c r="S630" s="2"/>
      <c r="T630" s="2"/>
      <c r="U630" s="2"/>
      <c r="V630" s="26" t="str">
        <f>IF(OR($A630="",ISERROR(SEARCH("_",$A630))),"",IFERROR(SUMIFS(Trade_Reports!$Z$3:$Z$502,Trade_Reports!$H$3:$H$502,$A630,Trade_Reports!$M$3:$M$502,"APPROVED")/SUMIFS(Trade_Reports!$U$3:$U$502,Trade_Reports!$H$3:$H$502,$A630,Trade_Reports!$M$3:$M$502,"APPROVED"),""))</f>
        <v/>
      </c>
      <c r="W630" s="2" t="str">
        <f t="shared" si="5"/>
        <v/>
      </c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 t="str">
        <f t="shared" si="4"/>
        <v/>
      </c>
      <c r="P631" s="2"/>
      <c r="Q631" s="2"/>
      <c r="R631" s="2"/>
      <c r="S631" s="2"/>
      <c r="T631" s="2"/>
      <c r="U631" s="2"/>
      <c r="V631" s="26" t="str">
        <f>IF(OR($A631="",ISERROR(SEARCH("_",$A631))),"",IFERROR(SUMIFS(Trade_Reports!$Z$3:$Z$502,Trade_Reports!$H$3:$H$502,$A631,Trade_Reports!$M$3:$M$502,"APPROVED")/SUMIFS(Trade_Reports!$U$3:$U$502,Trade_Reports!$H$3:$H$502,$A631,Trade_Reports!$M$3:$M$502,"APPROVED"),""))</f>
        <v/>
      </c>
      <c r="W631" s="2" t="str">
        <f t="shared" si="5"/>
        <v/>
      </c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 t="str">
        <f t="shared" si="4"/>
        <v/>
      </c>
      <c r="P632" s="2"/>
      <c r="Q632" s="2"/>
      <c r="R632" s="2"/>
      <c r="S632" s="2"/>
      <c r="T632" s="2"/>
      <c r="U632" s="2"/>
      <c r="V632" s="26" t="str">
        <f>IF(OR($A632="",ISERROR(SEARCH("_",$A632))),"",IFERROR(SUMIFS(Trade_Reports!$Z$3:$Z$502,Trade_Reports!$H$3:$H$502,$A632,Trade_Reports!$M$3:$M$502,"APPROVED")/SUMIFS(Trade_Reports!$U$3:$U$502,Trade_Reports!$H$3:$H$502,$A632,Trade_Reports!$M$3:$M$502,"APPROVED"),""))</f>
        <v/>
      </c>
      <c r="W632" s="2" t="str">
        <f t="shared" si="5"/>
        <v/>
      </c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 t="str">
        <f t="shared" si="4"/>
        <v/>
      </c>
      <c r="P633" s="2"/>
      <c r="Q633" s="2"/>
      <c r="R633" s="2"/>
      <c r="S633" s="2"/>
      <c r="T633" s="2"/>
      <c r="U633" s="2"/>
      <c r="V633" s="26" t="str">
        <f>IF(OR($A633="",ISERROR(SEARCH("_",$A633))),"",IFERROR(SUMIFS(Trade_Reports!$Z$3:$Z$502,Trade_Reports!$H$3:$H$502,$A633,Trade_Reports!$M$3:$M$502,"APPROVED")/SUMIFS(Trade_Reports!$U$3:$U$502,Trade_Reports!$H$3:$H$502,$A633,Trade_Reports!$M$3:$M$502,"APPROVED"),""))</f>
        <v/>
      </c>
      <c r="W633" s="2" t="str">
        <f t="shared" si="5"/>
        <v/>
      </c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 t="str">
        <f t="shared" si="4"/>
        <v/>
      </c>
      <c r="P634" s="2"/>
      <c r="Q634" s="2"/>
      <c r="R634" s="2"/>
      <c r="S634" s="2"/>
      <c r="T634" s="2"/>
      <c r="U634" s="2"/>
      <c r="V634" s="26" t="str">
        <f>IF(OR($A634="",ISERROR(SEARCH("_",$A634))),"",IFERROR(SUMIFS(Trade_Reports!$Z$3:$Z$502,Trade_Reports!$H$3:$H$502,$A634,Trade_Reports!$M$3:$M$502,"APPROVED")/SUMIFS(Trade_Reports!$U$3:$U$502,Trade_Reports!$H$3:$H$502,$A634,Trade_Reports!$M$3:$M$502,"APPROVED"),""))</f>
        <v/>
      </c>
      <c r="W634" s="2" t="str">
        <f t="shared" si="5"/>
        <v/>
      </c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 t="str">
        <f t="shared" si="4"/>
        <v/>
      </c>
      <c r="P635" s="2"/>
      <c r="Q635" s="2"/>
      <c r="R635" s="2"/>
      <c r="S635" s="2"/>
      <c r="T635" s="2"/>
      <c r="U635" s="2"/>
      <c r="V635" s="26" t="str">
        <f>IF(OR($A635="",ISERROR(SEARCH("_",$A635))),"",IFERROR(SUMIFS(Trade_Reports!$Z$3:$Z$502,Trade_Reports!$H$3:$H$502,$A635,Trade_Reports!$M$3:$M$502,"APPROVED")/SUMIFS(Trade_Reports!$U$3:$U$502,Trade_Reports!$H$3:$H$502,$A635,Trade_Reports!$M$3:$M$502,"APPROVED"),""))</f>
        <v/>
      </c>
      <c r="W635" s="2" t="str">
        <f t="shared" si="5"/>
        <v/>
      </c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 t="str">
        <f t="shared" si="4"/>
        <v/>
      </c>
      <c r="P636" s="2"/>
      <c r="Q636" s="2"/>
      <c r="R636" s="2"/>
      <c r="S636" s="2"/>
      <c r="T636" s="2"/>
      <c r="U636" s="2"/>
      <c r="V636" s="26" t="str">
        <f>IF(OR($A636="",ISERROR(SEARCH("_",$A636))),"",IFERROR(SUMIFS(Trade_Reports!$Z$3:$Z$502,Trade_Reports!$H$3:$H$502,$A636,Trade_Reports!$M$3:$M$502,"APPROVED")/SUMIFS(Trade_Reports!$U$3:$U$502,Trade_Reports!$H$3:$H$502,$A636,Trade_Reports!$M$3:$M$502,"APPROVED"),""))</f>
        <v/>
      </c>
      <c r="W636" s="2" t="str">
        <f t="shared" si="5"/>
        <v/>
      </c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 t="str">
        <f t="shared" si="4"/>
        <v/>
      </c>
      <c r="P637" s="2"/>
      <c r="Q637" s="2"/>
      <c r="R637" s="2"/>
      <c r="S637" s="2"/>
      <c r="T637" s="2"/>
      <c r="U637" s="2"/>
      <c r="V637" s="26" t="str">
        <f>IF(OR($A637="",ISERROR(SEARCH("_",$A637))),"",IFERROR(SUMIFS(Trade_Reports!$Z$3:$Z$502,Trade_Reports!$H$3:$H$502,$A637,Trade_Reports!$M$3:$M$502,"APPROVED")/SUMIFS(Trade_Reports!$U$3:$U$502,Trade_Reports!$H$3:$H$502,$A637,Trade_Reports!$M$3:$M$502,"APPROVED"),""))</f>
        <v/>
      </c>
      <c r="W637" s="2" t="str">
        <f t="shared" si="5"/>
        <v/>
      </c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 t="str">
        <f t="shared" si="4"/>
        <v/>
      </c>
      <c r="P638" s="2"/>
      <c r="Q638" s="2"/>
      <c r="R638" s="2"/>
      <c r="S638" s="2"/>
      <c r="T638" s="2"/>
      <c r="U638" s="2"/>
      <c r="V638" s="26" t="str">
        <f>IF(OR($A638="",ISERROR(SEARCH("_",$A638))),"",IFERROR(SUMIFS(Trade_Reports!$Z$3:$Z$502,Trade_Reports!$H$3:$H$502,$A638,Trade_Reports!$M$3:$M$502,"APPROVED")/SUMIFS(Trade_Reports!$U$3:$U$502,Trade_Reports!$H$3:$H$502,$A638,Trade_Reports!$M$3:$M$502,"APPROVED"),""))</f>
        <v/>
      </c>
      <c r="W638" s="2" t="str">
        <f t="shared" si="5"/>
        <v/>
      </c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 t="str">
        <f t="shared" si="4"/>
        <v/>
      </c>
      <c r="P639" s="2"/>
      <c r="Q639" s="2"/>
      <c r="R639" s="2"/>
      <c r="S639" s="2"/>
      <c r="T639" s="2"/>
      <c r="U639" s="2"/>
      <c r="V639" s="26" t="str">
        <f>IF(OR($A639="",ISERROR(SEARCH("_",$A639))),"",IFERROR(SUMIFS(Trade_Reports!$Z$3:$Z$502,Trade_Reports!$H$3:$H$502,$A639,Trade_Reports!$M$3:$M$502,"APPROVED")/SUMIFS(Trade_Reports!$U$3:$U$502,Trade_Reports!$H$3:$H$502,$A639,Trade_Reports!$M$3:$M$502,"APPROVED"),""))</f>
        <v/>
      </c>
      <c r="W639" s="2" t="str">
        <f t="shared" si="5"/>
        <v/>
      </c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 t="str">
        <f t="shared" si="4"/>
        <v/>
      </c>
      <c r="P640" s="2"/>
      <c r="Q640" s="2"/>
      <c r="R640" s="2"/>
      <c r="S640" s="2"/>
      <c r="T640" s="2"/>
      <c r="U640" s="2"/>
      <c r="V640" s="26" t="str">
        <f>IF(OR($A640="",ISERROR(SEARCH("_",$A640))),"",IFERROR(SUMIFS(Trade_Reports!$Z$3:$Z$502,Trade_Reports!$H$3:$H$502,$A640,Trade_Reports!$M$3:$M$502,"APPROVED")/SUMIFS(Trade_Reports!$U$3:$U$502,Trade_Reports!$H$3:$H$502,$A640,Trade_Reports!$M$3:$M$502,"APPROVED"),""))</f>
        <v/>
      </c>
      <c r="W640" s="2" t="str">
        <f t="shared" si="5"/>
        <v/>
      </c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 t="str">
        <f t="shared" si="4"/>
        <v/>
      </c>
      <c r="P641" s="2"/>
      <c r="Q641" s="2"/>
      <c r="R641" s="2"/>
      <c r="S641" s="2"/>
      <c r="T641" s="2"/>
      <c r="U641" s="2"/>
      <c r="V641" s="26" t="str">
        <f>IF(OR($A641="",ISERROR(SEARCH("_",$A641))),"",IFERROR(SUMIFS(Trade_Reports!$Z$3:$Z$502,Trade_Reports!$H$3:$H$502,$A641,Trade_Reports!$M$3:$M$502,"APPROVED")/SUMIFS(Trade_Reports!$U$3:$U$502,Trade_Reports!$H$3:$H$502,$A641,Trade_Reports!$M$3:$M$502,"APPROVED"),""))</f>
        <v/>
      </c>
      <c r="W641" s="2" t="str">
        <f t="shared" si="5"/>
        <v/>
      </c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 t="str">
        <f t="shared" si="4"/>
        <v/>
      </c>
      <c r="P642" s="2"/>
      <c r="Q642" s="2"/>
      <c r="R642" s="2"/>
      <c r="S642" s="2"/>
      <c r="T642" s="2"/>
      <c r="U642" s="2"/>
      <c r="V642" s="26" t="str">
        <f>IF(OR($A642="",ISERROR(SEARCH("_",$A642))),"",IFERROR(SUMIFS(Trade_Reports!$Z$3:$Z$502,Trade_Reports!$H$3:$H$502,$A642,Trade_Reports!$M$3:$M$502,"APPROVED")/SUMIFS(Trade_Reports!$U$3:$U$502,Trade_Reports!$H$3:$H$502,$A642,Trade_Reports!$M$3:$M$502,"APPROVED"),""))</f>
        <v/>
      </c>
      <c r="W642" s="2" t="str">
        <f t="shared" si="5"/>
        <v/>
      </c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 t="str">
        <f t="shared" si="4"/>
        <v/>
      </c>
      <c r="P643" s="2"/>
      <c r="Q643" s="2"/>
      <c r="R643" s="2"/>
      <c r="S643" s="2"/>
      <c r="T643" s="2"/>
      <c r="U643" s="2"/>
      <c r="V643" s="26" t="str">
        <f>IF(OR($A643="",ISERROR(SEARCH("_",$A643))),"",IFERROR(SUMIFS(Trade_Reports!$Z$3:$Z$502,Trade_Reports!$H$3:$H$502,$A643,Trade_Reports!$M$3:$M$502,"APPROVED")/SUMIFS(Trade_Reports!$U$3:$U$502,Trade_Reports!$H$3:$H$502,$A643,Trade_Reports!$M$3:$M$502,"APPROVED"),""))</f>
        <v/>
      </c>
      <c r="W643" s="2" t="str">
        <f t="shared" si="5"/>
        <v/>
      </c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 t="str">
        <f t="shared" si="4"/>
        <v/>
      </c>
      <c r="P644" s="2"/>
      <c r="Q644" s="2"/>
      <c r="R644" s="2"/>
      <c r="S644" s="2"/>
      <c r="T644" s="2"/>
      <c r="U644" s="2"/>
      <c r="V644" s="26" t="str">
        <f>IF(OR($A644="",ISERROR(SEARCH("_",$A644))),"",IFERROR(SUMIFS(Trade_Reports!$Z$3:$Z$502,Trade_Reports!$H$3:$H$502,$A644,Trade_Reports!$M$3:$M$502,"APPROVED")/SUMIFS(Trade_Reports!$U$3:$U$502,Trade_Reports!$H$3:$H$502,$A644,Trade_Reports!$M$3:$M$502,"APPROVED"),""))</f>
        <v/>
      </c>
      <c r="W644" s="2" t="str">
        <f t="shared" si="5"/>
        <v/>
      </c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 t="str">
        <f t="shared" si="4"/>
        <v/>
      </c>
      <c r="P645" s="2"/>
      <c r="Q645" s="2"/>
      <c r="R645" s="2"/>
      <c r="S645" s="2"/>
      <c r="T645" s="2"/>
      <c r="U645" s="2"/>
      <c r="V645" s="26" t="str">
        <f>IF(OR($A645="",ISERROR(SEARCH("_",$A645))),"",IFERROR(SUMIFS(Trade_Reports!$Z$3:$Z$502,Trade_Reports!$H$3:$H$502,$A645,Trade_Reports!$M$3:$M$502,"APPROVED")/SUMIFS(Trade_Reports!$U$3:$U$502,Trade_Reports!$H$3:$H$502,$A645,Trade_Reports!$M$3:$M$502,"APPROVED"),""))</f>
        <v/>
      </c>
      <c r="W645" s="2" t="str">
        <f t="shared" si="5"/>
        <v/>
      </c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 t="str">
        <f t="shared" si="4"/>
        <v/>
      </c>
      <c r="P646" s="2"/>
      <c r="Q646" s="2"/>
      <c r="R646" s="2"/>
      <c r="S646" s="2"/>
      <c r="T646" s="2"/>
      <c r="U646" s="2"/>
      <c r="V646" s="26" t="str">
        <f>IF(OR($A646="",ISERROR(SEARCH("_",$A646))),"",IFERROR(SUMIFS(Trade_Reports!$Z$3:$Z$502,Trade_Reports!$H$3:$H$502,$A646,Trade_Reports!$M$3:$M$502,"APPROVED")/SUMIFS(Trade_Reports!$U$3:$U$502,Trade_Reports!$H$3:$H$502,$A646,Trade_Reports!$M$3:$M$502,"APPROVED"),""))</f>
        <v/>
      </c>
      <c r="W646" s="2" t="str">
        <f t="shared" si="5"/>
        <v/>
      </c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 t="str">
        <f t="shared" si="4"/>
        <v/>
      </c>
      <c r="P647" s="2"/>
      <c r="Q647" s="2"/>
      <c r="R647" s="2"/>
      <c r="S647" s="2"/>
      <c r="T647" s="2"/>
      <c r="U647" s="2"/>
      <c r="V647" s="26" t="str">
        <f>IF(OR($A647="",ISERROR(SEARCH("_",$A647))),"",IFERROR(SUMIFS(Trade_Reports!$Z$3:$Z$502,Trade_Reports!$H$3:$H$502,$A647,Trade_Reports!$M$3:$M$502,"APPROVED")/SUMIFS(Trade_Reports!$U$3:$U$502,Trade_Reports!$H$3:$H$502,$A647,Trade_Reports!$M$3:$M$502,"APPROVED"),""))</f>
        <v/>
      </c>
      <c r="W647" s="2" t="str">
        <f t="shared" si="5"/>
        <v/>
      </c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 t="str">
        <f t="shared" si="4"/>
        <v/>
      </c>
      <c r="P648" s="2"/>
      <c r="Q648" s="2"/>
      <c r="R648" s="2"/>
      <c r="S648" s="2"/>
      <c r="T648" s="2"/>
      <c r="U648" s="2"/>
      <c r="V648" s="26" t="str">
        <f>IF(OR($A648="",ISERROR(SEARCH("_",$A648))),"",IFERROR(SUMIFS(Trade_Reports!$Z$3:$Z$502,Trade_Reports!$H$3:$H$502,$A648,Trade_Reports!$M$3:$M$502,"APPROVED")/SUMIFS(Trade_Reports!$U$3:$U$502,Trade_Reports!$H$3:$H$502,$A648,Trade_Reports!$M$3:$M$502,"APPROVED"),""))</f>
        <v/>
      </c>
      <c r="W648" s="2" t="str">
        <f t="shared" si="5"/>
        <v/>
      </c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 t="str">
        <f t="shared" si="4"/>
        <v/>
      </c>
      <c r="P649" s="2"/>
      <c r="Q649" s="2"/>
      <c r="R649" s="2"/>
      <c r="S649" s="2"/>
      <c r="T649" s="2"/>
      <c r="U649" s="2"/>
      <c r="V649" s="26" t="str">
        <f>IF(OR($A649="",ISERROR(SEARCH("_",$A649))),"",IFERROR(SUMIFS(Trade_Reports!$Z$3:$Z$502,Trade_Reports!$H$3:$H$502,$A649,Trade_Reports!$M$3:$M$502,"APPROVED")/SUMIFS(Trade_Reports!$U$3:$U$502,Trade_Reports!$H$3:$H$502,$A649,Trade_Reports!$M$3:$M$502,"APPROVED"),""))</f>
        <v/>
      </c>
      <c r="W649" s="2" t="str">
        <f t="shared" si="5"/>
        <v/>
      </c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 t="str">
        <f t="shared" si="4"/>
        <v/>
      </c>
      <c r="P650" s="2"/>
      <c r="Q650" s="2"/>
      <c r="R650" s="2"/>
      <c r="S650" s="2"/>
      <c r="T650" s="2"/>
      <c r="U650" s="2"/>
      <c r="V650" s="26" t="str">
        <f>IF(OR($A650="",ISERROR(SEARCH("_",$A650))),"",IFERROR(SUMIFS(Trade_Reports!$Z$3:$Z$502,Trade_Reports!$H$3:$H$502,$A650,Trade_Reports!$M$3:$M$502,"APPROVED")/SUMIFS(Trade_Reports!$U$3:$U$502,Trade_Reports!$H$3:$H$502,$A650,Trade_Reports!$M$3:$M$502,"APPROVED"),""))</f>
        <v/>
      </c>
      <c r="W650" s="2" t="str">
        <f t="shared" si="5"/>
        <v/>
      </c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 t="str">
        <f t="shared" si="4"/>
        <v/>
      </c>
      <c r="P651" s="2"/>
      <c r="Q651" s="2"/>
      <c r="R651" s="2"/>
      <c r="S651" s="2"/>
      <c r="T651" s="2"/>
      <c r="U651" s="2"/>
      <c r="V651" s="26" t="str">
        <f>IF(OR($A651="",ISERROR(SEARCH("_",$A651))),"",IFERROR(SUMIFS(Trade_Reports!$Z$3:$Z$502,Trade_Reports!$H$3:$H$502,$A651,Trade_Reports!$M$3:$M$502,"APPROVED")/SUMIFS(Trade_Reports!$U$3:$U$502,Trade_Reports!$H$3:$H$502,$A651,Trade_Reports!$M$3:$M$502,"APPROVED"),""))</f>
        <v/>
      </c>
      <c r="W651" s="2" t="str">
        <f t="shared" si="5"/>
        <v/>
      </c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 t="str">
        <f t="shared" si="4"/>
        <v/>
      </c>
      <c r="P652" s="2"/>
      <c r="Q652" s="2"/>
      <c r="R652" s="2"/>
      <c r="S652" s="2"/>
      <c r="T652" s="2"/>
      <c r="U652" s="2"/>
      <c r="V652" s="26" t="str">
        <f>IF(OR($A652="",ISERROR(SEARCH("_",$A652))),"",IFERROR(SUMIFS(Trade_Reports!$Z$3:$Z$502,Trade_Reports!$H$3:$H$502,$A652,Trade_Reports!$M$3:$M$502,"APPROVED")/SUMIFS(Trade_Reports!$U$3:$U$502,Trade_Reports!$H$3:$H$502,$A652,Trade_Reports!$M$3:$M$502,"APPROVED"),""))</f>
        <v/>
      </c>
      <c r="W652" s="2" t="str">
        <f t="shared" si="5"/>
        <v/>
      </c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 t="str">
        <f t="shared" si="4"/>
        <v/>
      </c>
      <c r="P653" s="2"/>
      <c r="Q653" s="2"/>
      <c r="R653" s="2"/>
      <c r="S653" s="2"/>
      <c r="T653" s="2"/>
      <c r="U653" s="2"/>
      <c r="V653" s="26" t="str">
        <f>IF(OR($A653="",ISERROR(SEARCH("_",$A653))),"",IFERROR(SUMIFS(Trade_Reports!$Z$3:$Z$502,Trade_Reports!$H$3:$H$502,$A653,Trade_Reports!$M$3:$M$502,"APPROVED")/SUMIFS(Trade_Reports!$U$3:$U$502,Trade_Reports!$H$3:$H$502,$A653,Trade_Reports!$M$3:$M$502,"APPROVED"),""))</f>
        <v/>
      </c>
      <c r="W653" s="2" t="str">
        <f t="shared" si="5"/>
        <v/>
      </c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 t="str">
        <f t="shared" si="4"/>
        <v/>
      </c>
      <c r="P654" s="2"/>
      <c r="Q654" s="2"/>
      <c r="R654" s="2"/>
      <c r="S654" s="2"/>
      <c r="T654" s="2"/>
      <c r="U654" s="2"/>
      <c r="V654" s="26" t="str">
        <f>IF(OR($A654="",ISERROR(SEARCH("_",$A654))),"",IFERROR(SUMIFS(Trade_Reports!$Z$3:$Z$502,Trade_Reports!$H$3:$H$502,$A654,Trade_Reports!$M$3:$M$502,"APPROVED")/SUMIFS(Trade_Reports!$U$3:$U$502,Trade_Reports!$H$3:$H$502,$A654,Trade_Reports!$M$3:$M$502,"APPROVED"),""))</f>
        <v/>
      </c>
      <c r="W654" s="2" t="str">
        <f t="shared" si="5"/>
        <v/>
      </c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 t="str">
        <f t="shared" si="4"/>
        <v/>
      </c>
      <c r="P655" s="2"/>
      <c r="Q655" s="2"/>
      <c r="R655" s="2"/>
      <c r="S655" s="2"/>
      <c r="T655" s="2"/>
      <c r="U655" s="2"/>
      <c r="V655" s="26" t="str">
        <f>IF(OR($A655="",ISERROR(SEARCH("_",$A655))),"",IFERROR(SUMIFS(Trade_Reports!$Z$3:$Z$502,Trade_Reports!$H$3:$H$502,$A655,Trade_Reports!$M$3:$M$502,"APPROVED")/SUMIFS(Trade_Reports!$U$3:$U$502,Trade_Reports!$H$3:$H$502,$A655,Trade_Reports!$M$3:$M$502,"APPROVED"),""))</f>
        <v/>
      </c>
      <c r="W655" s="2" t="str">
        <f t="shared" si="5"/>
        <v/>
      </c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 t="str">
        <f t="shared" si="4"/>
        <v/>
      </c>
      <c r="P656" s="2"/>
      <c r="Q656" s="2"/>
      <c r="R656" s="2"/>
      <c r="S656" s="2"/>
      <c r="T656" s="2"/>
      <c r="U656" s="2"/>
      <c r="V656" s="26" t="str">
        <f>IF(OR($A656="",ISERROR(SEARCH("_",$A656))),"",IFERROR(SUMIFS(Trade_Reports!$Z$3:$Z$502,Trade_Reports!$H$3:$H$502,$A656,Trade_Reports!$M$3:$M$502,"APPROVED")/SUMIFS(Trade_Reports!$U$3:$U$502,Trade_Reports!$H$3:$H$502,$A656,Trade_Reports!$M$3:$M$502,"APPROVED"),""))</f>
        <v/>
      </c>
      <c r="W656" s="2" t="str">
        <f t="shared" si="5"/>
        <v/>
      </c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 t="str">
        <f t="shared" si="4"/>
        <v/>
      </c>
      <c r="P657" s="2"/>
      <c r="Q657" s="2"/>
      <c r="R657" s="2"/>
      <c r="S657" s="2"/>
      <c r="T657" s="2"/>
      <c r="U657" s="2"/>
      <c r="V657" s="26" t="str">
        <f>IF(OR($A657="",ISERROR(SEARCH("_",$A657))),"",IFERROR(SUMIFS(Trade_Reports!$Z$3:$Z$502,Trade_Reports!$H$3:$H$502,$A657,Trade_Reports!$M$3:$M$502,"APPROVED")/SUMIFS(Trade_Reports!$U$3:$U$502,Trade_Reports!$H$3:$H$502,$A657,Trade_Reports!$M$3:$M$502,"APPROVED"),""))</f>
        <v/>
      </c>
      <c r="W657" s="2" t="str">
        <f t="shared" si="5"/>
        <v/>
      </c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 t="str">
        <f t="shared" si="4"/>
        <v/>
      </c>
      <c r="P658" s="2"/>
      <c r="Q658" s="2"/>
      <c r="R658" s="2"/>
      <c r="S658" s="2"/>
      <c r="T658" s="2"/>
      <c r="U658" s="2"/>
      <c r="V658" s="26" t="str">
        <f>IF(OR($A658="",ISERROR(SEARCH("_",$A658))),"",IFERROR(SUMIFS(Trade_Reports!$Z$3:$Z$502,Trade_Reports!$H$3:$H$502,$A658,Trade_Reports!$M$3:$M$502,"APPROVED")/SUMIFS(Trade_Reports!$U$3:$U$502,Trade_Reports!$H$3:$H$502,$A658,Trade_Reports!$M$3:$M$502,"APPROVED"),""))</f>
        <v/>
      </c>
      <c r="W658" s="2" t="str">
        <f t="shared" si="5"/>
        <v/>
      </c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 t="str">
        <f t="shared" si="4"/>
        <v/>
      </c>
      <c r="P659" s="2"/>
      <c r="Q659" s="2"/>
      <c r="R659" s="2"/>
      <c r="S659" s="2"/>
      <c r="T659" s="2"/>
      <c r="U659" s="2"/>
      <c r="V659" s="26" t="str">
        <f>IF(OR($A659="",ISERROR(SEARCH("_",$A659))),"",IFERROR(SUMIFS(Trade_Reports!$Z$3:$Z$502,Trade_Reports!$H$3:$H$502,$A659,Trade_Reports!$M$3:$M$502,"APPROVED")/SUMIFS(Trade_Reports!$U$3:$U$502,Trade_Reports!$H$3:$H$502,$A659,Trade_Reports!$M$3:$M$502,"APPROVED"),""))</f>
        <v/>
      </c>
      <c r="W659" s="2" t="str">
        <f t="shared" si="5"/>
        <v/>
      </c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 t="str">
        <f t="shared" si="4"/>
        <v/>
      </c>
      <c r="P660" s="2"/>
      <c r="Q660" s="2"/>
      <c r="R660" s="2"/>
      <c r="S660" s="2"/>
      <c r="T660" s="2"/>
      <c r="U660" s="2"/>
      <c r="V660" s="26" t="str">
        <f>IF(OR($A660="",ISERROR(SEARCH("_",$A660))),"",IFERROR(SUMIFS(Trade_Reports!$Z$3:$Z$502,Trade_Reports!$H$3:$H$502,$A660,Trade_Reports!$M$3:$M$502,"APPROVED")/SUMIFS(Trade_Reports!$U$3:$U$502,Trade_Reports!$H$3:$H$502,$A660,Trade_Reports!$M$3:$M$502,"APPROVED"),""))</f>
        <v/>
      </c>
      <c r="W660" s="2" t="str">
        <f t="shared" si="5"/>
        <v/>
      </c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 t="str">
        <f t="shared" si="4"/>
        <v/>
      </c>
      <c r="P661" s="2"/>
      <c r="Q661" s="2"/>
      <c r="R661" s="2"/>
      <c r="S661" s="2"/>
      <c r="T661" s="2"/>
      <c r="U661" s="2"/>
      <c r="V661" s="26" t="str">
        <f>IF(OR($A661="",ISERROR(SEARCH("_",$A661))),"",IFERROR(SUMIFS(Trade_Reports!$Z$3:$Z$502,Trade_Reports!$H$3:$H$502,$A661,Trade_Reports!$M$3:$M$502,"APPROVED")/SUMIFS(Trade_Reports!$U$3:$U$502,Trade_Reports!$H$3:$H$502,$A661,Trade_Reports!$M$3:$M$502,"APPROVED"),""))</f>
        <v/>
      </c>
      <c r="W661" s="2" t="str">
        <f t="shared" si="5"/>
        <v/>
      </c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 t="str">
        <f t="shared" si="4"/>
        <v/>
      </c>
      <c r="P662" s="2"/>
      <c r="Q662" s="2"/>
      <c r="R662" s="2"/>
      <c r="S662" s="2"/>
      <c r="T662" s="2"/>
      <c r="U662" s="2"/>
      <c r="V662" s="26" t="str">
        <f>IF(OR($A662="",ISERROR(SEARCH("_",$A662))),"",IFERROR(SUMIFS(Trade_Reports!$Z$3:$Z$502,Trade_Reports!$H$3:$H$502,$A662,Trade_Reports!$M$3:$M$502,"APPROVED")/SUMIFS(Trade_Reports!$U$3:$U$502,Trade_Reports!$H$3:$H$502,$A662,Trade_Reports!$M$3:$M$502,"APPROVED"),""))</f>
        <v/>
      </c>
      <c r="W662" s="2" t="str">
        <f t="shared" si="5"/>
        <v/>
      </c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 t="str">
        <f t="shared" si="4"/>
        <v/>
      </c>
      <c r="P663" s="2"/>
      <c r="Q663" s="2"/>
      <c r="R663" s="2"/>
      <c r="S663" s="2"/>
      <c r="T663" s="2"/>
      <c r="U663" s="2"/>
      <c r="V663" s="26" t="str">
        <f>IF(OR($A663="",ISERROR(SEARCH("_",$A663))),"",IFERROR(SUMIFS(Trade_Reports!$Z$3:$Z$502,Trade_Reports!$H$3:$H$502,$A663,Trade_Reports!$M$3:$M$502,"APPROVED")/SUMIFS(Trade_Reports!$U$3:$U$502,Trade_Reports!$H$3:$H$502,$A663,Trade_Reports!$M$3:$M$502,"APPROVED"),""))</f>
        <v/>
      </c>
      <c r="W663" s="2" t="str">
        <f t="shared" si="5"/>
        <v/>
      </c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 t="str">
        <f t="shared" si="4"/>
        <v/>
      </c>
      <c r="P664" s="2"/>
      <c r="Q664" s="2"/>
      <c r="R664" s="2"/>
      <c r="S664" s="2"/>
      <c r="T664" s="2"/>
      <c r="U664" s="2"/>
      <c r="V664" s="26" t="str">
        <f>IF(OR($A664="",ISERROR(SEARCH("_",$A664))),"",IFERROR(SUMIFS(Trade_Reports!$Z$3:$Z$502,Trade_Reports!$H$3:$H$502,$A664,Trade_Reports!$M$3:$M$502,"APPROVED")/SUMIFS(Trade_Reports!$U$3:$U$502,Trade_Reports!$H$3:$H$502,$A664,Trade_Reports!$M$3:$M$502,"APPROVED"),""))</f>
        <v/>
      </c>
      <c r="W664" s="2" t="str">
        <f t="shared" si="5"/>
        <v/>
      </c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 t="str">
        <f t="shared" si="4"/>
        <v/>
      </c>
      <c r="P665" s="2"/>
      <c r="Q665" s="2"/>
      <c r="R665" s="2"/>
      <c r="S665" s="2"/>
      <c r="T665" s="2"/>
      <c r="U665" s="2"/>
      <c r="V665" s="26" t="str">
        <f>IF(OR($A665="",ISERROR(SEARCH("_",$A665))),"",IFERROR(SUMIFS(Trade_Reports!$Z$3:$Z$502,Trade_Reports!$H$3:$H$502,$A665,Trade_Reports!$M$3:$M$502,"APPROVED")/SUMIFS(Trade_Reports!$U$3:$U$502,Trade_Reports!$H$3:$H$502,$A665,Trade_Reports!$M$3:$M$502,"APPROVED"),""))</f>
        <v/>
      </c>
      <c r="W665" s="2" t="str">
        <f t="shared" si="5"/>
        <v/>
      </c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 t="str">
        <f t="shared" si="4"/>
        <v/>
      </c>
      <c r="P666" s="2"/>
      <c r="Q666" s="2"/>
      <c r="R666" s="2"/>
      <c r="S666" s="2"/>
      <c r="T666" s="2"/>
      <c r="U666" s="2"/>
      <c r="V666" s="26" t="str">
        <f>IF(OR($A666="",ISERROR(SEARCH("_",$A666))),"",IFERROR(SUMIFS(Trade_Reports!$Z$3:$Z$502,Trade_Reports!$H$3:$H$502,$A666,Trade_Reports!$M$3:$M$502,"APPROVED")/SUMIFS(Trade_Reports!$U$3:$U$502,Trade_Reports!$H$3:$H$502,$A666,Trade_Reports!$M$3:$M$502,"APPROVED"),""))</f>
        <v/>
      </c>
      <c r="W666" s="2" t="str">
        <f t="shared" si="5"/>
        <v/>
      </c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 t="str">
        <f t="shared" si="4"/>
        <v/>
      </c>
      <c r="P667" s="2"/>
      <c r="Q667" s="2"/>
      <c r="R667" s="2"/>
      <c r="S667" s="2"/>
      <c r="T667" s="2"/>
      <c r="U667" s="2"/>
      <c r="V667" s="26" t="str">
        <f>IF(OR($A667="",ISERROR(SEARCH("_",$A667))),"",IFERROR(SUMIFS(Trade_Reports!$Z$3:$Z$502,Trade_Reports!$H$3:$H$502,$A667,Trade_Reports!$M$3:$M$502,"APPROVED")/SUMIFS(Trade_Reports!$U$3:$U$502,Trade_Reports!$H$3:$H$502,$A667,Trade_Reports!$M$3:$M$502,"APPROVED"),""))</f>
        <v/>
      </c>
      <c r="W667" s="2" t="str">
        <f t="shared" si="5"/>
        <v/>
      </c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 t="str">
        <f t="shared" si="4"/>
        <v/>
      </c>
      <c r="P668" s="2"/>
      <c r="Q668" s="2"/>
      <c r="R668" s="2"/>
      <c r="S668" s="2"/>
      <c r="T668" s="2"/>
      <c r="U668" s="2"/>
      <c r="V668" s="26" t="str">
        <f>IF(OR($A668="",ISERROR(SEARCH("_",$A668))),"",IFERROR(SUMIFS(Trade_Reports!$Z$3:$Z$502,Trade_Reports!$H$3:$H$502,$A668,Trade_Reports!$M$3:$M$502,"APPROVED")/SUMIFS(Trade_Reports!$U$3:$U$502,Trade_Reports!$H$3:$H$502,$A668,Trade_Reports!$M$3:$M$502,"APPROVED"),""))</f>
        <v/>
      </c>
      <c r="W668" s="2" t="str">
        <f t="shared" si="5"/>
        <v/>
      </c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 t="str">
        <f t="shared" si="4"/>
        <v/>
      </c>
      <c r="P669" s="2"/>
      <c r="Q669" s="2"/>
      <c r="R669" s="2"/>
      <c r="S669" s="2"/>
      <c r="T669" s="2"/>
      <c r="U669" s="2"/>
      <c r="V669" s="26" t="str">
        <f>IF(OR($A669="",ISERROR(SEARCH("_",$A669))),"",IFERROR(SUMIFS(Trade_Reports!$Z$3:$Z$502,Trade_Reports!$H$3:$H$502,$A669,Trade_Reports!$M$3:$M$502,"APPROVED")/SUMIFS(Trade_Reports!$U$3:$U$502,Trade_Reports!$H$3:$H$502,$A669,Trade_Reports!$M$3:$M$502,"APPROVED"),""))</f>
        <v/>
      </c>
      <c r="W669" s="2" t="str">
        <f t="shared" si="5"/>
        <v/>
      </c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 t="str">
        <f t="shared" si="4"/>
        <v/>
      </c>
      <c r="P670" s="2"/>
      <c r="Q670" s="2"/>
      <c r="R670" s="2"/>
      <c r="S670" s="2"/>
      <c r="T670" s="2"/>
      <c r="U670" s="2"/>
      <c r="V670" s="26" t="str">
        <f>IF(OR($A670="",ISERROR(SEARCH("_",$A670))),"",IFERROR(SUMIFS(Trade_Reports!$Z$3:$Z$502,Trade_Reports!$H$3:$H$502,$A670,Trade_Reports!$M$3:$M$502,"APPROVED")/SUMIFS(Trade_Reports!$U$3:$U$502,Trade_Reports!$H$3:$H$502,$A670,Trade_Reports!$M$3:$M$502,"APPROVED"),""))</f>
        <v/>
      </c>
      <c r="W670" s="2" t="str">
        <f t="shared" si="5"/>
        <v/>
      </c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 t="str">
        <f t="shared" si="4"/>
        <v/>
      </c>
      <c r="P671" s="2"/>
      <c r="Q671" s="2"/>
      <c r="R671" s="2"/>
      <c r="S671" s="2"/>
      <c r="T671" s="2"/>
      <c r="U671" s="2"/>
      <c r="V671" s="26" t="str">
        <f>IF(OR($A671="",ISERROR(SEARCH("_",$A671))),"",IFERROR(SUMIFS(Trade_Reports!$Z$3:$Z$502,Trade_Reports!$H$3:$H$502,$A671,Trade_Reports!$M$3:$M$502,"APPROVED")/SUMIFS(Trade_Reports!$U$3:$U$502,Trade_Reports!$H$3:$H$502,$A671,Trade_Reports!$M$3:$M$502,"APPROVED"),""))</f>
        <v/>
      </c>
      <c r="W671" s="2" t="str">
        <f t="shared" si="5"/>
        <v/>
      </c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 t="str">
        <f t="shared" si="4"/>
        <v/>
      </c>
      <c r="P672" s="2"/>
      <c r="Q672" s="2"/>
      <c r="R672" s="2"/>
      <c r="S672" s="2"/>
      <c r="T672" s="2"/>
      <c r="U672" s="2"/>
      <c r="V672" s="26" t="str">
        <f>IF(OR($A672="",ISERROR(SEARCH("_",$A672))),"",IFERROR(SUMIFS(Trade_Reports!$Z$3:$Z$502,Trade_Reports!$H$3:$H$502,$A672,Trade_Reports!$M$3:$M$502,"APPROVED")/SUMIFS(Trade_Reports!$U$3:$U$502,Trade_Reports!$H$3:$H$502,$A672,Trade_Reports!$M$3:$M$502,"APPROVED"),""))</f>
        <v/>
      </c>
      <c r="W672" s="2" t="str">
        <f t="shared" si="5"/>
        <v/>
      </c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 t="str">
        <f t="shared" si="4"/>
        <v/>
      </c>
      <c r="P673" s="2"/>
      <c r="Q673" s="2"/>
      <c r="R673" s="2"/>
      <c r="S673" s="2"/>
      <c r="T673" s="2"/>
      <c r="U673" s="2"/>
      <c r="V673" s="26" t="str">
        <f>IF(OR($A673="",ISERROR(SEARCH("_",$A673))),"",IFERROR(SUMIFS(Trade_Reports!$Z$3:$Z$502,Trade_Reports!$H$3:$H$502,$A673,Trade_Reports!$M$3:$M$502,"APPROVED")/SUMIFS(Trade_Reports!$U$3:$U$502,Trade_Reports!$H$3:$H$502,$A673,Trade_Reports!$M$3:$M$502,"APPROVED"),""))</f>
        <v/>
      </c>
      <c r="W673" s="2" t="str">
        <f t="shared" si="5"/>
        <v/>
      </c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 t="str">
        <f t="shared" si="4"/>
        <v/>
      </c>
      <c r="P674" s="2"/>
      <c r="Q674" s="2"/>
      <c r="R674" s="2"/>
      <c r="S674" s="2"/>
      <c r="T674" s="2"/>
      <c r="U674" s="2"/>
      <c r="V674" s="26" t="str">
        <f>IF(OR($A674="",ISERROR(SEARCH("_",$A674))),"",IFERROR(SUMIFS(Trade_Reports!$Z$3:$Z$502,Trade_Reports!$H$3:$H$502,$A674,Trade_Reports!$M$3:$M$502,"APPROVED")/SUMIFS(Trade_Reports!$U$3:$U$502,Trade_Reports!$H$3:$H$502,$A674,Trade_Reports!$M$3:$M$502,"APPROVED"),""))</f>
        <v/>
      </c>
      <c r="W674" s="2" t="str">
        <f t="shared" si="5"/>
        <v/>
      </c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 t="str">
        <f t="shared" si="4"/>
        <v/>
      </c>
      <c r="P675" s="2"/>
      <c r="Q675" s="2"/>
      <c r="R675" s="2"/>
      <c r="S675" s="2"/>
      <c r="T675" s="2"/>
      <c r="U675" s="2"/>
      <c r="V675" s="26" t="str">
        <f>IF(OR($A675="",ISERROR(SEARCH("_",$A675))),"",IFERROR(SUMIFS(Trade_Reports!$Z$3:$Z$502,Trade_Reports!$H$3:$H$502,$A675,Trade_Reports!$M$3:$M$502,"APPROVED")/SUMIFS(Trade_Reports!$U$3:$U$502,Trade_Reports!$H$3:$H$502,$A675,Trade_Reports!$M$3:$M$502,"APPROVED"),""))</f>
        <v/>
      </c>
      <c r="W675" s="2" t="str">
        <f t="shared" si="5"/>
        <v/>
      </c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 t="str">
        <f t="shared" si="4"/>
        <v/>
      </c>
      <c r="P676" s="2"/>
      <c r="Q676" s="2"/>
      <c r="R676" s="2"/>
      <c r="S676" s="2"/>
      <c r="T676" s="2"/>
      <c r="U676" s="2"/>
      <c r="V676" s="26" t="str">
        <f>IF(OR($A676="",ISERROR(SEARCH("_",$A676))),"",IFERROR(SUMIFS(Trade_Reports!$Z$3:$Z$502,Trade_Reports!$H$3:$H$502,$A676,Trade_Reports!$M$3:$M$502,"APPROVED")/SUMIFS(Trade_Reports!$U$3:$U$502,Trade_Reports!$H$3:$H$502,$A676,Trade_Reports!$M$3:$M$502,"APPROVED"),""))</f>
        <v/>
      </c>
      <c r="W676" s="2" t="str">
        <f t="shared" si="5"/>
        <v/>
      </c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 t="str">
        <f t="shared" si="4"/>
        <v/>
      </c>
      <c r="P677" s="2"/>
      <c r="Q677" s="2"/>
      <c r="R677" s="2"/>
      <c r="S677" s="2"/>
      <c r="T677" s="2"/>
      <c r="U677" s="2"/>
      <c r="V677" s="26" t="str">
        <f>IF(OR($A677="",ISERROR(SEARCH("_",$A677))),"",IFERROR(SUMIFS(Trade_Reports!$Z$3:$Z$502,Trade_Reports!$H$3:$H$502,$A677,Trade_Reports!$M$3:$M$502,"APPROVED")/SUMIFS(Trade_Reports!$U$3:$U$502,Trade_Reports!$H$3:$H$502,$A677,Trade_Reports!$M$3:$M$502,"APPROVED"),""))</f>
        <v/>
      </c>
      <c r="W677" s="2" t="str">
        <f t="shared" si="5"/>
        <v/>
      </c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 t="str">
        <f t="shared" si="4"/>
        <v/>
      </c>
      <c r="P678" s="2"/>
      <c r="Q678" s="2"/>
      <c r="R678" s="2"/>
      <c r="S678" s="2"/>
      <c r="T678" s="2"/>
      <c r="U678" s="2"/>
      <c r="V678" s="26" t="str">
        <f>IF(OR($A678="",ISERROR(SEARCH("_",$A678))),"",IFERROR(SUMIFS(Trade_Reports!$Z$3:$Z$502,Trade_Reports!$H$3:$H$502,$A678,Trade_Reports!$M$3:$M$502,"APPROVED")/SUMIFS(Trade_Reports!$U$3:$U$502,Trade_Reports!$H$3:$H$502,$A678,Trade_Reports!$M$3:$M$502,"APPROVED"),""))</f>
        <v/>
      </c>
      <c r="W678" s="2" t="str">
        <f t="shared" si="5"/>
        <v/>
      </c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 t="str">
        <f t="shared" si="4"/>
        <v/>
      </c>
      <c r="P679" s="2"/>
      <c r="Q679" s="2"/>
      <c r="R679" s="2"/>
      <c r="S679" s="2"/>
      <c r="T679" s="2"/>
      <c r="U679" s="2"/>
      <c r="V679" s="26" t="str">
        <f>IF(OR($A679="",ISERROR(SEARCH("_",$A679))),"",IFERROR(SUMIFS(Trade_Reports!$Z$3:$Z$502,Trade_Reports!$H$3:$H$502,$A679,Trade_Reports!$M$3:$M$502,"APPROVED")/SUMIFS(Trade_Reports!$U$3:$U$502,Trade_Reports!$H$3:$H$502,$A679,Trade_Reports!$M$3:$M$502,"APPROVED"),""))</f>
        <v/>
      </c>
      <c r="W679" s="2" t="str">
        <f t="shared" si="5"/>
        <v/>
      </c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 t="str">
        <f t="shared" si="4"/>
        <v/>
      </c>
      <c r="P680" s="2"/>
      <c r="Q680" s="2"/>
      <c r="R680" s="2"/>
      <c r="S680" s="2"/>
      <c r="T680" s="2"/>
      <c r="U680" s="2"/>
      <c r="V680" s="26" t="str">
        <f>IF(OR($A680="",ISERROR(SEARCH("_",$A680))),"",IFERROR(SUMIFS(Trade_Reports!$Z$3:$Z$502,Trade_Reports!$H$3:$H$502,$A680,Trade_Reports!$M$3:$M$502,"APPROVED")/SUMIFS(Trade_Reports!$U$3:$U$502,Trade_Reports!$H$3:$H$502,$A680,Trade_Reports!$M$3:$M$502,"APPROVED"),""))</f>
        <v/>
      </c>
      <c r="W680" s="2" t="str">
        <f t="shared" si="5"/>
        <v/>
      </c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 t="str">
        <f t="shared" si="4"/>
        <v/>
      </c>
      <c r="P681" s="2"/>
      <c r="Q681" s="2"/>
      <c r="R681" s="2"/>
      <c r="S681" s="2"/>
      <c r="T681" s="2"/>
      <c r="U681" s="2"/>
      <c r="V681" s="26" t="str">
        <f>IF(OR($A681="",ISERROR(SEARCH("_",$A681))),"",IFERROR(SUMIFS(Trade_Reports!$Z$3:$Z$502,Trade_Reports!$H$3:$H$502,$A681,Trade_Reports!$M$3:$M$502,"APPROVED")/SUMIFS(Trade_Reports!$U$3:$U$502,Trade_Reports!$H$3:$H$502,$A681,Trade_Reports!$M$3:$M$502,"APPROVED"),""))</f>
        <v/>
      </c>
      <c r="W681" s="2" t="str">
        <f t="shared" si="5"/>
        <v/>
      </c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 t="str">
        <f t="shared" si="4"/>
        <v/>
      </c>
      <c r="P682" s="2"/>
      <c r="Q682" s="2"/>
      <c r="R682" s="2"/>
      <c r="S682" s="2"/>
      <c r="T682" s="2"/>
      <c r="U682" s="2"/>
      <c r="V682" s="26" t="str">
        <f>IF(OR($A682="",ISERROR(SEARCH("_",$A682))),"",IFERROR(SUMIFS(Trade_Reports!$Z$3:$Z$502,Trade_Reports!$H$3:$H$502,$A682,Trade_Reports!$M$3:$M$502,"APPROVED")/SUMIFS(Trade_Reports!$U$3:$U$502,Trade_Reports!$H$3:$H$502,$A682,Trade_Reports!$M$3:$M$502,"APPROVED"),""))</f>
        <v/>
      </c>
      <c r="W682" s="2" t="str">
        <f t="shared" si="5"/>
        <v/>
      </c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 t="str">
        <f t="shared" si="4"/>
        <v/>
      </c>
      <c r="P683" s="2"/>
      <c r="Q683" s="2"/>
      <c r="R683" s="2"/>
      <c r="S683" s="2"/>
      <c r="T683" s="2"/>
      <c r="U683" s="2"/>
      <c r="V683" s="26" t="str">
        <f>IF(OR($A683="",ISERROR(SEARCH("_",$A683))),"",IFERROR(SUMIFS(Trade_Reports!$Z$3:$Z$502,Trade_Reports!$H$3:$H$502,$A683,Trade_Reports!$M$3:$M$502,"APPROVED")/SUMIFS(Trade_Reports!$U$3:$U$502,Trade_Reports!$H$3:$H$502,$A683,Trade_Reports!$M$3:$M$502,"APPROVED"),""))</f>
        <v/>
      </c>
      <c r="W683" s="2" t="str">
        <f t="shared" si="5"/>
        <v/>
      </c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 t="str">
        <f t="shared" si="4"/>
        <v/>
      </c>
      <c r="P684" s="2"/>
      <c r="Q684" s="2"/>
      <c r="R684" s="2"/>
      <c r="S684" s="2"/>
      <c r="T684" s="2"/>
      <c r="U684" s="2"/>
      <c r="V684" s="26" t="str">
        <f>IF(OR($A684="",ISERROR(SEARCH("_",$A684))),"",IFERROR(SUMIFS(Trade_Reports!$Z$3:$Z$502,Trade_Reports!$H$3:$H$502,$A684,Trade_Reports!$M$3:$M$502,"APPROVED")/SUMIFS(Trade_Reports!$U$3:$U$502,Trade_Reports!$H$3:$H$502,$A684,Trade_Reports!$M$3:$M$502,"APPROVED"),""))</f>
        <v/>
      </c>
      <c r="W684" s="2" t="str">
        <f t="shared" si="5"/>
        <v/>
      </c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 t="str">
        <f t="shared" si="4"/>
        <v/>
      </c>
      <c r="P685" s="2"/>
      <c r="Q685" s="2"/>
      <c r="R685" s="2"/>
      <c r="S685" s="2"/>
      <c r="T685" s="2"/>
      <c r="U685" s="2"/>
      <c r="V685" s="26" t="str">
        <f>IF(OR($A685="",ISERROR(SEARCH("_",$A685))),"",IFERROR(SUMIFS(Trade_Reports!$Z$3:$Z$502,Trade_Reports!$H$3:$H$502,$A685,Trade_Reports!$M$3:$M$502,"APPROVED")/SUMIFS(Trade_Reports!$U$3:$U$502,Trade_Reports!$H$3:$H$502,$A685,Trade_Reports!$M$3:$M$502,"APPROVED"),""))</f>
        <v/>
      </c>
      <c r="W685" s="2" t="str">
        <f t="shared" si="5"/>
        <v/>
      </c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 t="str">
        <f t="shared" si="4"/>
        <v/>
      </c>
      <c r="P686" s="2"/>
      <c r="Q686" s="2"/>
      <c r="R686" s="2"/>
      <c r="S686" s="2"/>
      <c r="T686" s="2"/>
      <c r="U686" s="2"/>
      <c r="V686" s="26" t="str">
        <f>IF(OR($A686="",ISERROR(SEARCH("_",$A686))),"",IFERROR(SUMIFS(Trade_Reports!$Z$3:$Z$502,Trade_Reports!$H$3:$H$502,$A686,Trade_Reports!$M$3:$M$502,"APPROVED")/SUMIFS(Trade_Reports!$U$3:$U$502,Trade_Reports!$H$3:$H$502,$A686,Trade_Reports!$M$3:$M$502,"APPROVED"),""))</f>
        <v/>
      </c>
      <c r="W686" s="2" t="str">
        <f t="shared" si="5"/>
        <v/>
      </c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 t="str">
        <f t="shared" si="4"/>
        <v/>
      </c>
      <c r="P687" s="2"/>
      <c r="Q687" s="2"/>
      <c r="R687" s="2"/>
      <c r="S687" s="2"/>
      <c r="T687" s="2"/>
      <c r="U687" s="2"/>
      <c r="V687" s="26" t="str">
        <f>IF(OR($A687="",ISERROR(SEARCH("_",$A687))),"",IFERROR(SUMIFS(Trade_Reports!$Z$3:$Z$502,Trade_Reports!$H$3:$H$502,$A687,Trade_Reports!$M$3:$M$502,"APPROVED")/SUMIFS(Trade_Reports!$U$3:$U$502,Trade_Reports!$H$3:$H$502,$A687,Trade_Reports!$M$3:$M$502,"APPROVED"),""))</f>
        <v/>
      </c>
      <c r="W687" s="2" t="str">
        <f t="shared" si="5"/>
        <v/>
      </c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 t="str">
        <f t="shared" si="4"/>
        <v/>
      </c>
      <c r="P688" s="2"/>
      <c r="Q688" s="2"/>
      <c r="R688" s="2"/>
      <c r="S688" s="2"/>
      <c r="T688" s="2"/>
      <c r="U688" s="2"/>
      <c r="V688" s="26" t="str">
        <f>IF(OR($A688="",ISERROR(SEARCH("_",$A688))),"",IFERROR(SUMIFS(Trade_Reports!$Z$3:$Z$502,Trade_Reports!$H$3:$H$502,$A688,Trade_Reports!$M$3:$M$502,"APPROVED")/SUMIFS(Trade_Reports!$U$3:$U$502,Trade_Reports!$H$3:$H$502,$A688,Trade_Reports!$M$3:$M$502,"APPROVED"),""))</f>
        <v/>
      </c>
      <c r="W688" s="2" t="str">
        <f t="shared" si="5"/>
        <v/>
      </c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 t="str">
        <f t="shared" si="4"/>
        <v/>
      </c>
      <c r="P689" s="2"/>
      <c r="Q689" s="2"/>
      <c r="R689" s="2"/>
      <c r="S689" s="2"/>
      <c r="T689" s="2"/>
      <c r="U689" s="2"/>
      <c r="V689" s="26" t="str">
        <f>IF(OR($A689="",ISERROR(SEARCH("_",$A689))),"",IFERROR(SUMIFS(Trade_Reports!$Z$3:$Z$502,Trade_Reports!$H$3:$H$502,$A689,Trade_Reports!$M$3:$M$502,"APPROVED")/SUMIFS(Trade_Reports!$U$3:$U$502,Trade_Reports!$H$3:$H$502,$A689,Trade_Reports!$M$3:$M$502,"APPROVED"),""))</f>
        <v/>
      </c>
      <c r="W689" s="2" t="str">
        <f t="shared" si="5"/>
        <v/>
      </c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 t="str">
        <f t="shared" si="4"/>
        <v/>
      </c>
      <c r="P690" s="2"/>
      <c r="Q690" s="2"/>
      <c r="R690" s="2"/>
      <c r="S690" s="2"/>
      <c r="T690" s="2"/>
      <c r="U690" s="2"/>
      <c r="V690" s="26" t="str">
        <f>IF(OR($A690="",ISERROR(SEARCH("_",$A690))),"",IFERROR(SUMIFS(Trade_Reports!$Z$3:$Z$502,Trade_Reports!$H$3:$H$502,$A690,Trade_Reports!$M$3:$M$502,"APPROVED")/SUMIFS(Trade_Reports!$U$3:$U$502,Trade_Reports!$H$3:$H$502,$A690,Trade_Reports!$M$3:$M$502,"APPROVED"),""))</f>
        <v/>
      </c>
      <c r="W690" s="2" t="str">
        <f t="shared" si="5"/>
        <v/>
      </c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 t="str">
        <f t="shared" si="4"/>
        <v/>
      </c>
      <c r="P691" s="2"/>
      <c r="Q691" s="2"/>
      <c r="R691" s="2"/>
      <c r="S691" s="2"/>
      <c r="T691" s="2"/>
      <c r="U691" s="2"/>
      <c r="V691" s="26" t="str">
        <f>IF(OR($A691="",ISERROR(SEARCH("_",$A691))),"",IFERROR(SUMIFS(Trade_Reports!$Z$3:$Z$502,Trade_Reports!$H$3:$H$502,$A691,Trade_Reports!$M$3:$M$502,"APPROVED")/SUMIFS(Trade_Reports!$U$3:$U$502,Trade_Reports!$H$3:$H$502,$A691,Trade_Reports!$M$3:$M$502,"APPROVED"),""))</f>
        <v/>
      </c>
      <c r="W691" s="2" t="str">
        <f t="shared" si="5"/>
        <v/>
      </c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 t="str">
        <f t="shared" si="4"/>
        <v/>
      </c>
      <c r="P692" s="2"/>
      <c r="Q692" s="2"/>
      <c r="R692" s="2"/>
      <c r="S692" s="2"/>
      <c r="T692" s="2"/>
      <c r="U692" s="2"/>
      <c r="V692" s="26" t="str">
        <f>IF(OR($A692="",ISERROR(SEARCH("_",$A692))),"",IFERROR(SUMIFS(Trade_Reports!$Z$3:$Z$502,Trade_Reports!$H$3:$H$502,$A692,Trade_Reports!$M$3:$M$502,"APPROVED")/SUMIFS(Trade_Reports!$U$3:$U$502,Trade_Reports!$H$3:$H$502,$A692,Trade_Reports!$M$3:$M$502,"APPROVED"),""))</f>
        <v/>
      </c>
      <c r="W692" s="2" t="str">
        <f t="shared" si="5"/>
        <v/>
      </c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 t="str">
        <f t="shared" si="4"/>
        <v/>
      </c>
      <c r="P693" s="2"/>
      <c r="Q693" s="2"/>
      <c r="R693" s="2"/>
      <c r="S693" s="2"/>
      <c r="T693" s="2"/>
      <c r="U693" s="2"/>
      <c r="V693" s="26" t="str">
        <f>IF(OR($A693="",ISERROR(SEARCH("_",$A693))),"",IFERROR(SUMIFS(Trade_Reports!$Z$3:$Z$502,Trade_Reports!$H$3:$H$502,$A693,Trade_Reports!$M$3:$M$502,"APPROVED")/SUMIFS(Trade_Reports!$U$3:$U$502,Trade_Reports!$H$3:$H$502,$A693,Trade_Reports!$M$3:$M$502,"APPROVED"),""))</f>
        <v/>
      </c>
      <c r="W693" s="2" t="str">
        <f t="shared" si="5"/>
        <v/>
      </c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 t="str">
        <f t="shared" si="4"/>
        <v/>
      </c>
      <c r="P694" s="2"/>
      <c r="Q694" s="2"/>
      <c r="R694" s="2"/>
      <c r="S694" s="2"/>
      <c r="T694" s="2"/>
      <c r="U694" s="2"/>
      <c r="V694" s="26" t="str">
        <f>IF(OR($A694="",ISERROR(SEARCH("_",$A694))),"",IFERROR(SUMIFS(Trade_Reports!$Z$3:$Z$502,Trade_Reports!$H$3:$H$502,$A694,Trade_Reports!$M$3:$M$502,"APPROVED")/SUMIFS(Trade_Reports!$U$3:$U$502,Trade_Reports!$H$3:$H$502,$A694,Trade_Reports!$M$3:$M$502,"APPROVED"),""))</f>
        <v/>
      </c>
      <c r="W694" s="2" t="str">
        <f t="shared" si="5"/>
        <v/>
      </c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 t="str">
        <f t="shared" si="4"/>
        <v/>
      </c>
      <c r="P695" s="2"/>
      <c r="Q695" s="2"/>
      <c r="R695" s="2"/>
      <c r="S695" s="2"/>
      <c r="T695" s="2"/>
      <c r="U695" s="2"/>
      <c r="V695" s="26" t="str">
        <f>IF(OR($A695="",ISERROR(SEARCH("_",$A695))),"",IFERROR(SUMIFS(Trade_Reports!$Z$3:$Z$502,Trade_Reports!$H$3:$H$502,$A695,Trade_Reports!$M$3:$M$502,"APPROVED")/SUMIFS(Trade_Reports!$U$3:$U$502,Trade_Reports!$H$3:$H$502,$A695,Trade_Reports!$M$3:$M$502,"APPROVED"),""))</f>
        <v/>
      </c>
      <c r="W695" s="2" t="str">
        <f t="shared" si="5"/>
        <v/>
      </c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 t="str">
        <f t="shared" si="4"/>
        <v/>
      </c>
      <c r="P696" s="2"/>
      <c r="Q696" s="2"/>
      <c r="R696" s="2"/>
      <c r="S696" s="2"/>
      <c r="T696" s="2"/>
      <c r="U696" s="2"/>
      <c r="V696" s="26" t="str">
        <f>IF(OR($A696="",ISERROR(SEARCH("_",$A696))),"",IFERROR(SUMIFS(Trade_Reports!$Z$3:$Z$502,Trade_Reports!$H$3:$H$502,$A696,Trade_Reports!$M$3:$M$502,"APPROVED")/SUMIFS(Trade_Reports!$U$3:$U$502,Trade_Reports!$H$3:$H$502,$A696,Trade_Reports!$M$3:$M$502,"APPROVED"),""))</f>
        <v/>
      </c>
      <c r="W696" s="2" t="str">
        <f t="shared" si="5"/>
        <v/>
      </c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 t="str">
        <f t="shared" si="4"/>
        <v/>
      </c>
      <c r="P697" s="2"/>
      <c r="Q697" s="2"/>
      <c r="R697" s="2"/>
      <c r="S697" s="2"/>
      <c r="T697" s="2"/>
      <c r="U697" s="2"/>
      <c r="V697" s="26" t="str">
        <f>IF(OR($A697="",ISERROR(SEARCH("_",$A697))),"",IFERROR(SUMIFS(Trade_Reports!$Z$3:$Z$502,Trade_Reports!$H$3:$H$502,$A697,Trade_Reports!$M$3:$M$502,"APPROVED")/SUMIFS(Trade_Reports!$U$3:$U$502,Trade_Reports!$H$3:$H$502,$A697,Trade_Reports!$M$3:$M$502,"APPROVED"),""))</f>
        <v/>
      </c>
      <c r="W697" s="2" t="str">
        <f t="shared" si="5"/>
        <v/>
      </c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 t="str">
        <f t="shared" si="4"/>
        <v/>
      </c>
      <c r="P698" s="2"/>
      <c r="Q698" s="2"/>
      <c r="R698" s="2"/>
      <c r="S698" s="2"/>
      <c r="T698" s="2"/>
      <c r="U698" s="2"/>
      <c r="V698" s="26" t="str">
        <f>IF(OR($A698="",ISERROR(SEARCH("_",$A698))),"",IFERROR(SUMIFS(Trade_Reports!$Z$3:$Z$502,Trade_Reports!$H$3:$H$502,$A698,Trade_Reports!$M$3:$M$502,"APPROVED")/SUMIFS(Trade_Reports!$U$3:$U$502,Trade_Reports!$H$3:$H$502,$A698,Trade_Reports!$M$3:$M$502,"APPROVED"),""))</f>
        <v/>
      </c>
      <c r="W698" s="2" t="str">
        <f t="shared" si="5"/>
        <v/>
      </c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 t="str">
        <f t="shared" si="4"/>
        <v/>
      </c>
      <c r="P699" s="2"/>
      <c r="Q699" s="2"/>
      <c r="R699" s="2"/>
      <c r="S699" s="2"/>
      <c r="T699" s="2"/>
      <c r="U699" s="2"/>
      <c r="V699" s="26" t="str">
        <f>IF(OR($A699="",ISERROR(SEARCH("_",$A699))),"",IFERROR(SUMIFS(Trade_Reports!$Z$3:$Z$502,Trade_Reports!$H$3:$H$502,$A699,Trade_Reports!$M$3:$M$502,"APPROVED")/SUMIFS(Trade_Reports!$U$3:$U$502,Trade_Reports!$H$3:$H$502,$A699,Trade_Reports!$M$3:$M$502,"APPROVED"),""))</f>
        <v/>
      </c>
      <c r="W699" s="2" t="str">
        <f t="shared" si="5"/>
        <v/>
      </c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 t="str">
        <f t="shared" si="4"/>
        <v/>
      </c>
      <c r="P700" s="2"/>
      <c r="Q700" s="2"/>
      <c r="R700" s="2"/>
      <c r="S700" s="2"/>
      <c r="T700" s="2"/>
      <c r="U700" s="2"/>
      <c r="V700" s="26" t="str">
        <f>IF(OR($A700="",ISERROR(SEARCH("_",$A700))),"",IFERROR(SUMIFS(Trade_Reports!$Z$3:$Z$502,Trade_Reports!$H$3:$H$502,$A700,Trade_Reports!$M$3:$M$502,"APPROVED")/SUMIFS(Trade_Reports!$U$3:$U$502,Trade_Reports!$H$3:$H$502,$A700,Trade_Reports!$M$3:$M$502,"APPROVED"),""))</f>
        <v/>
      </c>
      <c r="W700" s="2" t="str">
        <f t="shared" si="5"/>
        <v/>
      </c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 t="str">
        <f t="shared" si="4"/>
        <v/>
      </c>
      <c r="P701" s="2"/>
      <c r="Q701" s="2"/>
      <c r="R701" s="2"/>
      <c r="S701" s="2"/>
      <c r="T701" s="2"/>
      <c r="U701" s="2"/>
      <c r="V701" s="26" t="str">
        <f>IF(OR($A701="",ISERROR(SEARCH("_",$A701))),"",IFERROR(SUMIFS(Trade_Reports!$Z$3:$Z$502,Trade_Reports!$H$3:$H$502,$A701,Trade_Reports!$M$3:$M$502,"APPROVED")/SUMIFS(Trade_Reports!$U$3:$U$502,Trade_Reports!$H$3:$H$502,$A701,Trade_Reports!$M$3:$M$502,"APPROVED"),""))</f>
        <v/>
      </c>
      <c r="W701" s="2" t="str">
        <f t="shared" si="5"/>
        <v/>
      </c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 t="str">
        <f t="shared" si="4"/>
        <v/>
      </c>
      <c r="P702" s="2"/>
      <c r="Q702" s="2"/>
      <c r="R702" s="2"/>
      <c r="S702" s="2"/>
      <c r="T702" s="2"/>
      <c r="U702" s="2"/>
      <c r="V702" s="26" t="str">
        <f>IF(OR($A702="",ISERROR(SEARCH("_",$A702))),"",IFERROR(SUMIFS(Trade_Reports!$Z$3:$Z$502,Trade_Reports!$H$3:$H$502,$A702,Trade_Reports!$M$3:$M$502,"APPROVED")/SUMIFS(Trade_Reports!$U$3:$U$502,Trade_Reports!$H$3:$H$502,$A702,Trade_Reports!$M$3:$M$502,"APPROVED"),""))</f>
        <v/>
      </c>
      <c r="W702" s="2" t="str">
        <f t="shared" si="5"/>
        <v/>
      </c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 t="str">
        <f t="shared" si="4"/>
        <v/>
      </c>
      <c r="P703" s="2"/>
      <c r="Q703" s="2"/>
      <c r="R703" s="2"/>
      <c r="S703" s="2"/>
      <c r="T703" s="2"/>
      <c r="U703" s="2"/>
      <c r="V703" s="26" t="str">
        <f>IF(OR($A703="",ISERROR(SEARCH("_",$A703))),"",IFERROR(SUMIFS(Trade_Reports!$Z$3:$Z$502,Trade_Reports!$H$3:$H$502,$A703,Trade_Reports!$M$3:$M$502,"APPROVED")/SUMIFS(Trade_Reports!$U$3:$U$502,Trade_Reports!$H$3:$H$502,$A703,Trade_Reports!$M$3:$M$502,"APPROVED"),""))</f>
        <v/>
      </c>
      <c r="W703" s="2" t="str">
        <f t="shared" si="5"/>
        <v/>
      </c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 t="str">
        <f t="shared" si="4"/>
        <v/>
      </c>
      <c r="P704" s="2"/>
      <c r="Q704" s="2"/>
      <c r="R704" s="2"/>
      <c r="S704" s="2"/>
      <c r="T704" s="2"/>
      <c r="U704" s="2"/>
      <c r="V704" s="26" t="str">
        <f>IF(OR($A704="",ISERROR(SEARCH("_",$A704))),"",IFERROR(SUMIFS(Trade_Reports!$Z$3:$Z$502,Trade_Reports!$H$3:$H$502,$A704,Trade_Reports!$M$3:$M$502,"APPROVED")/SUMIFS(Trade_Reports!$U$3:$U$502,Trade_Reports!$H$3:$H$502,$A704,Trade_Reports!$M$3:$M$502,"APPROVED"),""))</f>
        <v/>
      </c>
      <c r="W704" s="2" t="str">
        <f t="shared" si="5"/>
        <v/>
      </c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 t="str">
        <f t="shared" si="4"/>
        <v/>
      </c>
      <c r="P705" s="2"/>
      <c r="Q705" s="2"/>
      <c r="R705" s="2"/>
      <c r="S705" s="2"/>
      <c r="T705" s="2"/>
      <c r="U705" s="2"/>
      <c r="V705" s="26" t="str">
        <f>IF(OR($A705="",ISERROR(SEARCH("_",$A705))),"",IFERROR(SUMIFS(Trade_Reports!$Z$3:$Z$502,Trade_Reports!$H$3:$H$502,$A705,Trade_Reports!$M$3:$M$502,"APPROVED")/SUMIFS(Trade_Reports!$U$3:$U$502,Trade_Reports!$H$3:$H$502,$A705,Trade_Reports!$M$3:$M$502,"APPROVED"),""))</f>
        <v/>
      </c>
      <c r="W705" s="2" t="str">
        <f t="shared" si="5"/>
        <v/>
      </c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 t="str">
        <f t="shared" si="4"/>
        <v/>
      </c>
      <c r="P706" s="2"/>
      <c r="Q706" s="2"/>
      <c r="R706" s="2"/>
      <c r="S706" s="2"/>
      <c r="T706" s="2"/>
      <c r="U706" s="2"/>
      <c r="V706" s="26" t="str">
        <f>IF(OR($A706="",ISERROR(SEARCH("_",$A706))),"",IFERROR(SUMIFS(Trade_Reports!$Z$3:$Z$502,Trade_Reports!$H$3:$H$502,$A706,Trade_Reports!$M$3:$M$502,"APPROVED")/SUMIFS(Trade_Reports!$U$3:$U$502,Trade_Reports!$H$3:$H$502,$A706,Trade_Reports!$M$3:$M$502,"APPROVED"),""))</f>
        <v/>
      </c>
      <c r="W706" s="2" t="str">
        <f t="shared" si="5"/>
        <v/>
      </c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 t="str">
        <f t="shared" si="4"/>
        <v/>
      </c>
      <c r="P707" s="2"/>
      <c r="Q707" s="2"/>
      <c r="R707" s="2"/>
      <c r="S707" s="2"/>
      <c r="T707" s="2"/>
      <c r="U707" s="2"/>
      <c r="V707" s="26" t="str">
        <f>IF(OR($A707="",ISERROR(SEARCH("_",$A707))),"",IFERROR(SUMIFS(Trade_Reports!$Z$3:$Z$502,Trade_Reports!$H$3:$H$502,$A707,Trade_Reports!$M$3:$M$502,"APPROVED")/SUMIFS(Trade_Reports!$U$3:$U$502,Trade_Reports!$H$3:$H$502,$A707,Trade_Reports!$M$3:$M$502,"APPROVED"),""))</f>
        <v/>
      </c>
      <c r="W707" s="2" t="str">
        <f t="shared" si="5"/>
        <v/>
      </c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 t="str">
        <f t="shared" si="4"/>
        <v/>
      </c>
      <c r="P708" s="2"/>
      <c r="Q708" s="2"/>
      <c r="R708" s="2"/>
      <c r="S708" s="2"/>
      <c r="T708" s="2"/>
      <c r="U708" s="2"/>
      <c r="V708" s="26" t="str">
        <f>IF(OR($A708="",ISERROR(SEARCH("_",$A708))),"",IFERROR(SUMIFS(Trade_Reports!$Z$3:$Z$502,Trade_Reports!$H$3:$H$502,$A708,Trade_Reports!$M$3:$M$502,"APPROVED")/SUMIFS(Trade_Reports!$U$3:$U$502,Trade_Reports!$H$3:$H$502,$A708,Trade_Reports!$M$3:$M$502,"APPROVED"),""))</f>
        <v/>
      </c>
      <c r="W708" s="2" t="str">
        <f t="shared" si="5"/>
        <v/>
      </c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 t="str">
        <f t="shared" si="4"/>
        <v/>
      </c>
      <c r="P709" s="2"/>
      <c r="Q709" s="2"/>
      <c r="R709" s="2"/>
      <c r="S709" s="2"/>
      <c r="T709" s="2"/>
      <c r="U709" s="2"/>
      <c r="V709" s="26" t="str">
        <f>IF(OR($A709="",ISERROR(SEARCH("_",$A709))),"",IFERROR(SUMIFS(Trade_Reports!$Z$3:$Z$502,Trade_Reports!$H$3:$H$502,$A709,Trade_Reports!$M$3:$M$502,"APPROVED")/SUMIFS(Trade_Reports!$U$3:$U$502,Trade_Reports!$H$3:$H$502,$A709,Trade_Reports!$M$3:$M$502,"APPROVED"),""))</f>
        <v/>
      </c>
      <c r="W709" s="2" t="str">
        <f t="shared" si="5"/>
        <v/>
      </c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 t="str">
        <f t="shared" si="4"/>
        <v/>
      </c>
      <c r="P710" s="2"/>
      <c r="Q710" s="2"/>
      <c r="R710" s="2"/>
      <c r="S710" s="2"/>
      <c r="T710" s="2"/>
      <c r="U710" s="2"/>
      <c r="V710" s="26" t="str">
        <f>IF(OR($A710="",ISERROR(SEARCH("_",$A710))),"",IFERROR(SUMIFS(Trade_Reports!$Z$3:$Z$502,Trade_Reports!$H$3:$H$502,$A710,Trade_Reports!$M$3:$M$502,"APPROVED")/SUMIFS(Trade_Reports!$U$3:$U$502,Trade_Reports!$H$3:$H$502,$A710,Trade_Reports!$M$3:$M$502,"APPROVED"),""))</f>
        <v/>
      </c>
      <c r="W710" s="2" t="str">
        <f t="shared" si="5"/>
        <v/>
      </c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 t="str">
        <f t="shared" si="4"/>
        <v/>
      </c>
      <c r="P711" s="2"/>
      <c r="Q711" s="2"/>
      <c r="R711" s="2"/>
      <c r="S711" s="2"/>
      <c r="T711" s="2"/>
      <c r="U711" s="2"/>
      <c r="V711" s="26" t="str">
        <f>IF(OR($A711="",ISERROR(SEARCH("_",$A711))),"",IFERROR(SUMIFS(Trade_Reports!$Z$3:$Z$502,Trade_Reports!$H$3:$H$502,$A711,Trade_Reports!$M$3:$M$502,"APPROVED")/SUMIFS(Trade_Reports!$U$3:$U$502,Trade_Reports!$H$3:$H$502,$A711,Trade_Reports!$M$3:$M$502,"APPROVED"),""))</f>
        <v/>
      </c>
      <c r="W711" s="2" t="str">
        <f t="shared" si="5"/>
        <v/>
      </c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 t="str">
        <f t="shared" si="4"/>
        <v/>
      </c>
      <c r="P712" s="2"/>
      <c r="Q712" s="2"/>
      <c r="R712" s="2"/>
      <c r="S712" s="2"/>
      <c r="T712" s="2"/>
      <c r="U712" s="2"/>
      <c r="V712" s="26" t="str">
        <f>IF(OR($A712="",ISERROR(SEARCH("_",$A712))),"",IFERROR(SUMIFS(Trade_Reports!$Z$3:$Z$502,Trade_Reports!$H$3:$H$502,$A712,Trade_Reports!$M$3:$M$502,"APPROVED")/SUMIFS(Trade_Reports!$U$3:$U$502,Trade_Reports!$H$3:$H$502,$A712,Trade_Reports!$M$3:$M$502,"APPROVED"),""))</f>
        <v/>
      </c>
      <c r="W712" s="2" t="str">
        <f t="shared" si="5"/>
        <v/>
      </c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 t="str">
        <f t="shared" si="4"/>
        <v/>
      </c>
      <c r="P713" s="2"/>
      <c r="Q713" s="2"/>
      <c r="R713" s="2"/>
      <c r="S713" s="2"/>
      <c r="T713" s="2"/>
      <c r="U713" s="2"/>
      <c r="V713" s="26" t="str">
        <f>IF(OR($A713="",ISERROR(SEARCH("_",$A713))),"",IFERROR(SUMIFS(Trade_Reports!$Z$3:$Z$502,Trade_Reports!$H$3:$H$502,$A713,Trade_Reports!$M$3:$M$502,"APPROVED")/SUMIFS(Trade_Reports!$U$3:$U$502,Trade_Reports!$H$3:$H$502,$A713,Trade_Reports!$M$3:$M$502,"APPROVED"),""))</f>
        <v/>
      </c>
      <c r="W713" s="2" t="str">
        <f t="shared" si="5"/>
        <v/>
      </c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 t="str">
        <f t="shared" si="4"/>
        <v/>
      </c>
      <c r="P714" s="2"/>
      <c r="Q714" s="2"/>
      <c r="R714" s="2"/>
      <c r="S714" s="2"/>
      <c r="T714" s="2"/>
      <c r="U714" s="2"/>
      <c r="V714" s="26" t="str">
        <f>IF(OR($A714="",ISERROR(SEARCH("_",$A714))),"",IFERROR(SUMIFS(Trade_Reports!$Z$3:$Z$502,Trade_Reports!$H$3:$H$502,$A714,Trade_Reports!$M$3:$M$502,"APPROVED")/SUMIFS(Trade_Reports!$U$3:$U$502,Trade_Reports!$H$3:$H$502,$A714,Trade_Reports!$M$3:$M$502,"APPROVED"),""))</f>
        <v/>
      </c>
      <c r="W714" s="2" t="str">
        <f t="shared" si="5"/>
        <v/>
      </c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 t="str">
        <f t="shared" si="4"/>
        <v/>
      </c>
      <c r="P715" s="2"/>
      <c r="Q715" s="2"/>
      <c r="R715" s="2"/>
      <c r="S715" s="2"/>
      <c r="T715" s="2"/>
      <c r="U715" s="2"/>
      <c r="V715" s="26" t="str">
        <f>IF(OR($A715="",ISERROR(SEARCH("_",$A715))),"",IFERROR(SUMIFS(Trade_Reports!$Z$3:$Z$502,Trade_Reports!$H$3:$H$502,$A715,Trade_Reports!$M$3:$M$502,"APPROVED")/SUMIFS(Trade_Reports!$U$3:$U$502,Trade_Reports!$H$3:$H$502,$A715,Trade_Reports!$M$3:$M$502,"APPROVED"),""))</f>
        <v/>
      </c>
      <c r="W715" s="2" t="str">
        <f t="shared" si="5"/>
        <v/>
      </c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 t="str">
        <f t="shared" si="4"/>
        <v/>
      </c>
      <c r="P716" s="2"/>
      <c r="Q716" s="2"/>
      <c r="R716" s="2"/>
      <c r="S716" s="2"/>
      <c r="T716" s="2"/>
      <c r="U716" s="2"/>
      <c r="V716" s="26" t="str">
        <f>IF(OR($A716="",ISERROR(SEARCH("_",$A716))),"",IFERROR(SUMIFS(Trade_Reports!$Z$3:$Z$502,Trade_Reports!$H$3:$H$502,$A716,Trade_Reports!$M$3:$M$502,"APPROVED")/SUMIFS(Trade_Reports!$U$3:$U$502,Trade_Reports!$H$3:$H$502,$A716,Trade_Reports!$M$3:$M$502,"APPROVED"),""))</f>
        <v/>
      </c>
      <c r="W716" s="2" t="str">
        <f t="shared" si="5"/>
        <v/>
      </c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 t="str">
        <f t="shared" si="4"/>
        <v/>
      </c>
      <c r="P717" s="2"/>
      <c r="Q717" s="2"/>
      <c r="R717" s="2"/>
      <c r="S717" s="2"/>
      <c r="T717" s="2"/>
      <c r="U717" s="2"/>
      <c r="V717" s="26" t="str">
        <f>IF(OR($A717="",ISERROR(SEARCH("_",$A717))),"",IFERROR(SUMIFS(Trade_Reports!$Z$3:$Z$502,Trade_Reports!$H$3:$H$502,$A717,Trade_Reports!$M$3:$M$502,"APPROVED")/SUMIFS(Trade_Reports!$U$3:$U$502,Trade_Reports!$H$3:$H$502,$A717,Trade_Reports!$M$3:$M$502,"APPROVED"),""))</f>
        <v/>
      </c>
      <c r="W717" s="2" t="str">
        <f t="shared" si="5"/>
        <v/>
      </c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 t="str">
        <f t="shared" si="4"/>
        <v/>
      </c>
      <c r="P718" s="2"/>
      <c r="Q718" s="2"/>
      <c r="R718" s="2"/>
      <c r="S718" s="2"/>
      <c r="T718" s="2"/>
      <c r="U718" s="2"/>
      <c r="V718" s="26" t="str">
        <f>IF(OR($A718="",ISERROR(SEARCH("_",$A718))),"",IFERROR(SUMIFS(Trade_Reports!$Z$3:$Z$502,Trade_Reports!$H$3:$H$502,$A718,Trade_Reports!$M$3:$M$502,"APPROVED")/SUMIFS(Trade_Reports!$U$3:$U$502,Trade_Reports!$H$3:$H$502,$A718,Trade_Reports!$M$3:$M$502,"APPROVED"),""))</f>
        <v/>
      </c>
      <c r="W718" s="2" t="str">
        <f t="shared" si="5"/>
        <v/>
      </c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 t="str">
        <f t="shared" si="4"/>
        <v/>
      </c>
      <c r="P719" s="2"/>
      <c r="Q719" s="2"/>
      <c r="R719" s="2"/>
      <c r="S719" s="2"/>
      <c r="T719" s="2"/>
      <c r="U719" s="2"/>
      <c r="V719" s="26" t="str">
        <f>IF(OR($A719="",ISERROR(SEARCH("_",$A719))),"",IFERROR(SUMIFS(Trade_Reports!$Z$3:$Z$502,Trade_Reports!$H$3:$H$502,$A719,Trade_Reports!$M$3:$M$502,"APPROVED")/SUMIFS(Trade_Reports!$U$3:$U$502,Trade_Reports!$H$3:$H$502,$A719,Trade_Reports!$M$3:$M$502,"APPROVED"),""))</f>
        <v/>
      </c>
      <c r="W719" s="2" t="str">
        <f t="shared" si="5"/>
        <v/>
      </c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 t="str">
        <f t="shared" si="4"/>
        <v/>
      </c>
      <c r="P720" s="2"/>
      <c r="Q720" s="2"/>
      <c r="R720" s="2"/>
      <c r="S720" s="2"/>
      <c r="T720" s="2"/>
      <c r="U720" s="2"/>
      <c r="V720" s="26" t="str">
        <f>IF(OR($A720="",ISERROR(SEARCH("_",$A720))),"",IFERROR(SUMIFS(Trade_Reports!$Z$3:$Z$502,Trade_Reports!$H$3:$H$502,$A720,Trade_Reports!$M$3:$M$502,"APPROVED")/SUMIFS(Trade_Reports!$U$3:$U$502,Trade_Reports!$H$3:$H$502,$A720,Trade_Reports!$M$3:$M$502,"APPROVED"),""))</f>
        <v/>
      </c>
      <c r="W720" s="2" t="str">
        <f t="shared" si="5"/>
        <v/>
      </c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 t="str">
        <f t="shared" si="4"/>
        <v/>
      </c>
      <c r="P721" s="2"/>
      <c r="Q721" s="2"/>
      <c r="R721" s="2"/>
      <c r="S721" s="2"/>
      <c r="T721" s="2"/>
      <c r="U721" s="2"/>
      <c r="V721" s="26" t="str">
        <f>IF(OR($A721="",ISERROR(SEARCH("_",$A721))),"",IFERROR(SUMIFS(Trade_Reports!$Z$3:$Z$502,Trade_Reports!$H$3:$H$502,$A721,Trade_Reports!$M$3:$M$502,"APPROVED")/SUMIFS(Trade_Reports!$U$3:$U$502,Trade_Reports!$H$3:$H$502,$A721,Trade_Reports!$M$3:$M$502,"APPROVED"),""))</f>
        <v/>
      </c>
      <c r="W721" s="2" t="str">
        <f t="shared" si="5"/>
        <v/>
      </c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 t="str">
        <f t="shared" si="4"/>
        <v/>
      </c>
      <c r="P722" s="2"/>
      <c r="Q722" s="2"/>
      <c r="R722" s="2"/>
      <c r="S722" s="2"/>
      <c r="T722" s="2"/>
      <c r="U722" s="2"/>
      <c r="V722" s="26" t="str">
        <f>IF(OR($A722="",ISERROR(SEARCH("_",$A722))),"",IFERROR(SUMIFS(Trade_Reports!$Z$3:$Z$502,Trade_Reports!$H$3:$H$502,$A722,Trade_Reports!$M$3:$M$502,"APPROVED")/SUMIFS(Trade_Reports!$U$3:$U$502,Trade_Reports!$H$3:$H$502,$A722,Trade_Reports!$M$3:$M$502,"APPROVED"),""))</f>
        <v/>
      </c>
      <c r="W722" s="2" t="str">
        <f t="shared" si="5"/>
        <v/>
      </c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 t="str">
        <f t="shared" si="4"/>
        <v/>
      </c>
      <c r="P723" s="2"/>
      <c r="Q723" s="2"/>
      <c r="R723" s="2"/>
      <c r="S723" s="2"/>
      <c r="T723" s="2"/>
      <c r="U723" s="2"/>
      <c r="V723" s="26" t="str">
        <f>IF(OR($A723="",ISERROR(SEARCH("_",$A723))),"",IFERROR(SUMIFS(Trade_Reports!$Z$3:$Z$502,Trade_Reports!$H$3:$H$502,$A723,Trade_Reports!$M$3:$M$502,"APPROVED")/SUMIFS(Trade_Reports!$U$3:$U$502,Trade_Reports!$H$3:$H$502,$A723,Trade_Reports!$M$3:$M$502,"APPROVED"),""))</f>
        <v/>
      </c>
      <c r="W723" s="2" t="str">
        <f t="shared" si="5"/>
        <v/>
      </c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 t="str">
        <f t="shared" si="4"/>
        <v/>
      </c>
      <c r="P724" s="2"/>
      <c r="Q724" s="2"/>
      <c r="R724" s="2"/>
      <c r="S724" s="2"/>
      <c r="T724" s="2"/>
      <c r="U724" s="2"/>
      <c r="V724" s="26" t="str">
        <f>IF(OR($A724="",ISERROR(SEARCH("_",$A724))),"",IFERROR(SUMIFS(Trade_Reports!$Z$3:$Z$502,Trade_Reports!$H$3:$H$502,$A724,Trade_Reports!$M$3:$M$502,"APPROVED")/SUMIFS(Trade_Reports!$U$3:$U$502,Trade_Reports!$H$3:$H$502,$A724,Trade_Reports!$M$3:$M$502,"APPROVED"),""))</f>
        <v/>
      </c>
      <c r="W724" s="2" t="str">
        <f t="shared" si="5"/>
        <v/>
      </c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 t="str">
        <f t="shared" si="4"/>
        <v/>
      </c>
      <c r="P725" s="2"/>
      <c r="Q725" s="2"/>
      <c r="R725" s="2"/>
      <c r="S725" s="2"/>
      <c r="T725" s="2"/>
      <c r="U725" s="2"/>
      <c r="V725" s="26" t="str">
        <f>IF(OR($A725="",ISERROR(SEARCH("_",$A725))),"",IFERROR(SUMIFS(Trade_Reports!$Z$3:$Z$502,Trade_Reports!$H$3:$H$502,$A725,Trade_Reports!$M$3:$M$502,"APPROVED")/SUMIFS(Trade_Reports!$U$3:$U$502,Trade_Reports!$H$3:$H$502,$A725,Trade_Reports!$M$3:$M$502,"APPROVED"),""))</f>
        <v/>
      </c>
      <c r="W725" s="2" t="str">
        <f t="shared" si="5"/>
        <v/>
      </c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 t="str">
        <f t="shared" si="4"/>
        <v/>
      </c>
      <c r="P726" s="2"/>
      <c r="Q726" s="2"/>
      <c r="R726" s="2"/>
      <c r="S726" s="2"/>
      <c r="T726" s="2"/>
      <c r="U726" s="2"/>
      <c r="V726" s="26" t="str">
        <f>IF(OR($A726="",ISERROR(SEARCH("_",$A726))),"",IFERROR(SUMIFS(Trade_Reports!$Z$3:$Z$502,Trade_Reports!$H$3:$H$502,$A726,Trade_Reports!$M$3:$M$502,"APPROVED")/SUMIFS(Trade_Reports!$U$3:$U$502,Trade_Reports!$H$3:$H$502,$A726,Trade_Reports!$M$3:$M$502,"APPROVED"),""))</f>
        <v/>
      </c>
      <c r="W726" s="2" t="str">
        <f t="shared" si="5"/>
        <v/>
      </c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 t="str">
        <f t="shared" si="4"/>
        <v/>
      </c>
      <c r="P727" s="2"/>
      <c r="Q727" s="2"/>
      <c r="R727" s="2"/>
      <c r="S727" s="2"/>
      <c r="T727" s="2"/>
      <c r="U727" s="2"/>
      <c r="V727" s="26" t="str">
        <f>IF(OR($A727="",ISERROR(SEARCH("_",$A727))),"",IFERROR(SUMIFS(Trade_Reports!$Z$3:$Z$502,Trade_Reports!$H$3:$H$502,$A727,Trade_Reports!$M$3:$M$502,"APPROVED")/SUMIFS(Trade_Reports!$U$3:$U$502,Trade_Reports!$H$3:$H$502,$A727,Trade_Reports!$M$3:$M$502,"APPROVED"),""))</f>
        <v/>
      </c>
      <c r="W727" s="2" t="str">
        <f t="shared" si="5"/>
        <v/>
      </c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 t="str">
        <f t="shared" si="4"/>
        <v/>
      </c>
      <c r="P728" s="2"/>
      <c r="Q728" s="2"/>
      <c r="R728" s="2"/>
      <c r="S728" s="2"/>
      <c r="T728" s="2"/>
      <c r="U728" s="2"/>
      <c r="V728" s="26" t="str">
        <f>IF(OR($A728="",ISERROR(SEARCH("_",$A728))),"",IFERROR(SUMIFS(Trade_Reports!$Z$3:$Z$502,Trade_Reports!$H$3:$H$502,$A728,Trade_Reports!$M$3:$M$502,"APPROVED")/SUMIFS(Trade_Reports!$U$3:$U$502,Trade_Reports!$H$3:$H$502,$A728,Trade_Reports!$M$3:$M$502,"APPROVED"),""))</f>
        <v/>
      </c>
      <c r="W728" s="2" t="str">
        <f t="shared" si="5"/>
        <v/>
      </c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 t="str">
        <f t="shared" si="4"/>
        <v/>
      </c>
      <c r="P729" s="2"/>
      <c r="Q729" s="2"/>
      <c r="R729" s="2"/>
      <c r="S729" s="2"/>
      <c r="T729" s="2"/>
      <c r="U729" s="2"/>
      <c r="V729" s="26" t="str">
        <f>IF(OR($A729="",ISERROR(SEARCH("_",$A729))),"",IFERROR(SUMIFS(Trade_Reports!$Z$3:$Z$502,Trade_Reports!$H$3:$H$502,$A729,Trade_Reports!$M$3:$M$502,"APPROVED")/SUMIFS(Trade_Reports!$U$3:$U$502,Trade_Reports!$H$3:$H$502,$A729,Trade_Reports!$M$3:$M$502,"APPROVED"),""))</f>
        <v/>
      </c>
      <c r="W729" s="2" t="str">
        <f t="shared" si="5"/>
        <v/>
      </c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 t="str">
        <f t="shared" si="4"/>
        <v/>
      </c>
      <c r="P730" s="2"/>
      <c r="Q730" s="2"/>
      <c r="R730" s="2"/>
      <c r="S730" s="2"/>
      <c r="T730" s="2"/>
      <c r="U730" s="2"/>
      <c r="V730" s="26" t="str">
        <f>IF(OR($A730="",ISERROR(SEARCH("_",$A730))),"",IFERROR(SUMIFS(Trade_Reports!$Z$3:$Z$502,Trade_Reports!$H$3:$H$502,$A730,Trade_Reports!$M$3:$M$502,"APPROVED")/SUMIFS(Trade_Reports!$U$3:$U$502,Trade_Reports!$H$3:$H$502,$A730,Trade_Reports!$M$3:$M$502,"APPROVED"),""))</f>
        <v/>
      </c>
      <c r="W730" s="2" t="str">
        <f t="shared" si="5"/>
        <v/>
      </c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 t="str">
        <f t="shared" si="4"/>
        <v/>
      </c>
      <c r="P731" s="2"/>
      <c r="Q731" s="2"/>
      <c r="R731" s="2"/>
      <c r="S731" s="2"/>
      <c r="T731" s="2"/>
      <c r="U731" s="2"/>
      <c r="V731" s="26" t="str">
        <f>IF(OR($A731="",ISERROR(SEARCH("_",$A731))),"",IFERROR(SUMIFS(Trade_Reports!$Z$3:$Z$502,Trade_Reports!$H$3:$H$502,$A731,Trade_Reports!$M$3:$M$502,"APPROVED")/SUMIFS(Trade_Reports!$U$3:$U$502,Trade_Reports!$H$3:$H$502,$A731,Trade_Reports!$M$3:$M$502,"APPROVED"),""))</f>
        <v/>
      </c>
      <c r="W731" s="2" t="str">
        <f t="shared" si="5"/>
        <v/>
      </c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 t="str">
        <f t="shared" si="4"/>
        <v/>
      </c>
      <c r="P732" s="2"/>
      <c r="Q732" s="2"/>
      <c r="R732" s="2"/>
      <c r="S732" s="2"/>
      <c r="T732" s="2"/>
      <c r="U732" s="2"/>
      <c r="V732" s="26" t="str">
        <f>IF(OR($A732="",ISERROR(SEARCH("_",$A732))),"",IFERROR(SUMIFS(Trade_Reports!$Z$3:$Z$502,Trade_Reports!$H$3:$H$502,$A732,Trade_Reports!$M$3:$M$502,"APPROVED")/SUMIFS(Trade_Reports!$U$3:$U$502,Trade_Reports!$H$3:$H$502,$A732,Trade_Reports!$M$3:$M$502,"APPROVED"),""))</f>
        <v/>
      </c>
      <c r="W732" s="2" t="str">
        <f t="shared" si="5"/>
        <v/>
      </c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 t="str">
        <f t="shared" si="4"/>
        <v/>
      </c>
      <c r="P733" s="2"/>
      <c r="Q733" s="2"/>
      <c r="R733" s="2"/>
      <c r="S733" s="2"/>
      <c r="T733" s="2"/>
      <c r="U733" s="2"/>
      <c r="V733" s="26" t="str">
        <f>IF(OR($A733="",ISERROR(SEARCH("_",$A733))),"",IFERROR(SUMIFS(Trade_Reports!$Z$3:$Z$502,Trade_Reports!$H$3:$H$502,$A733,Trade_Reports!$M$3:$M$502,"APPROVED")/SUMIFS(Trade_Reports!$U$3:$U$502,Trade_Reports!$H$3:$H$502,$A733,Trade_Reports!$M$3:$M$502,"APPROVED"),""))</f>
        <v/>
      </c>
      <c r="W733" s="2" t="str">
        <f t="shared" si="5"/>
        <v/>
      </c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 t="str">
        <f t="shared" si="4"/>
        <v/>
      </c>
      <c r="P734" s="2"/>
      <c r="Q734" s="2"/>
      <c r="R734" s="2"/>
      <c r="S734" s="2"/>
      <c r="T734" s="2"/>
      <c r="U734" s="2"/>
      <c r="V734" s="26" t="str">
        <f>IF(OR($A734="",ISERROR(SEARCH("_",$A734))),"",IFERROR(SUMIFS(Trade_Reports!$Z$3:$Z$502,Trade_Reports!$H$3:$H$502,$A734,Trade_Reports!$M$3:$M$502,"APPROVED")/SUMIFS(Trade_Reports!$U$3:$U$502,Trade_Reports!$H$3:$H$502,$A734,Trade_Reports!$M$3:$M$502,"APPROVED"),""))</f>
        <v/>
      </c>
      <c r="W734" s="2" t="str">
        <f t="shared" si="5"/>
        <v/>
      </c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 t="str">
        <f t="shared" si="4"/>
        <v/>
      </c>
      <c r="P735" s="2"/>
      <c r="Q735" s="2"/>
      <c r="R735" s="2"/>
      <c r="S735" s="2"/>
      <c r="T735" s="2"/>
      <c r="U735" s="2"/>
      <c r="V735" s="26" t="str">
        <f>IF(OR($A735="",ISERROR(SEARCH("_",$A735))),"",IFERROR(SUMIFS(Trade_Reports!$Z$3:$Z$502,Trade_Reports!$H$3:$H$502,$A735,Trade_Reports!$M$3:$M$502,"APPROVED")/SUMIFS(Trade_Reports!$U$3:$U$502,Trade_Reports!$H$3:$H$502,$A735,Trade_Reports!$M$3:$M$502,"APPROVED"),""))</f>
        <v/>
      </c>
      <c r="W735" s="2" t="str">
        <f t="shared" si="5"/>
        <v/>
      </c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 t="str">
        <f t="shared" si="4"/>
        <v/>
      </c>
      <c r="P736" s="2"/>
      <c r="Q736" s="2"/>
      <c r="R736" s="2"/>
      <c r="S736" s="2"/>
      <c r="T736" s="2"/>
      <c r="U736" s="2"/>
      <c r="V736" s="26" t="str">
        <f>IF(OR($A736="",ISERROR(SEARCH("_",$A736))),"",IFERROR(SUMIFS(Trade_Reports!$Z$3:$Z$502,Trade_Reports!$H$3:$H$502,$A736,Trade_Reports!$M$3:$M$502,"APPROVED")/SUMIFS(Trade_Reports!$U$3:$U$502,Trade_Reports!$H$3:$H$502,$A736,Trade_Reports!$M$3:$M$502,"APPROVED"),""))</f>
        <v/>
      </c>
      <c r="W736" s="2" t="str">
        <f t="shared" si="5"/>
        <v/>
      </c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 t="str">
        <f t="shared" si="4"/>
        <v/>
      </c>
      <c r="P737" s="2"/>
      <c r="Q737" s="2"/>
      <c r="R737" s="2"/>
      <c r="S737" s="2"/>
      <c r="T737" s="2"/>
      <c r="U737" s="2"/>
      <c r="V737" s="26" t="str">
        <f>IF(OR($A737="",ISERROR(SEARCH("_",$A737))),"",IFERROR(SUMIFS(Trade_Reports!$Z$3:$Z$502,Trade_Reports!$H$3:$H$502,$A737,Trade_Reports!$M$3:$M$502,"APPROVED")/SUMIFS(Trade_Reports!$U$3:$U$502,Trade_Reports!$H$3:$H$502,$A737,Trade_Reports!$M$3:$M$502,"APPROVED"),""))</f>
        <v/>
      </c>
      <c r="W737" s="2" t="str">
        <f t="shared" si="5"/>
        <v/>
      </c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 t="str">
        <f t="shared" si="4"/>
        <v/>
      </c>
      <c r="P738" s="2"/>
      <c r="Q738" s="2"/>
      <c r="R738" s="2"/>
      <c r="S738" s="2"/>
      <c r="T738" s="2"/>
      <c r="U738" s="2"/>
      <c r="V738" s="26" t="str">
        <f>IF(OR($A738="",ISERROR(SEARCH("_",$A738))),"",IFERROR(SUMIFS(Trade_Reports!$Z$3:$Z$502,Trade_Reports!$H$3:$H$502,$A738,Trade_Reports!$M$3:$M$502,"APPROVED")/SUMIFS(Trade_Reports!$U$3:$U$502,Trade_Reports!$H$3:$H$502,$A738,Trade_Reports!$M$3:$M$502,"APPROVED"),""))</f>
        <v/>
      </c>
      <c r="W738" s="2" t="str">
        <f t="shared" si="5"/>
        <v/>
      </c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 t="str">
        <f t="shared" si="4"/>
        <v/>
      </c>
      <c r="P739" s="2"/>
      <c r="Q739" s="2"/>
      <c r="R739" s="2"/>
      <c r="S739" s="2"/>
      <c r="T739" s="2"/>
      <c r="U739" s="2"/>
      <c r="V739" s="26" t="str">
        <f>IF(OR($A739="",ISERROR(SEARCH("_",$A739))),"",IFERROR(SUMIFS(Trade_Reports!$Z$3:$Z$502,Trade_Reports!$H$3:$H$502,$A739,Trade_Reports!$M$3:$M$502,"APPROVED")/SUMIFS(Trade_Reports!$U$3:$U$502,Trade_Reports!$H$3:$H$502,$A739,Trade_Reports!$M$3:$M$502,"APPROVED"),""))</f>
        <v/>
      </c>
      <c r="W739" s="2" t="str">
        <f t="shared" si="5"/>
        <v/>
      </c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 t="str">
        <f t="shared" si="4"/>
        <v/>
      </c>
      <c r="P740" s="2"/>
      <c r="Q740" s="2"/>
      <c r="R740" s="2"/>
      <c r="S740" s="2"/>
      <c r="T740" s="2"/>
      <c r="U740" s="2"/>
      <c r="V740" s="26" t="str">
        <f>IF(OR($A740="",ISERROR(SEARCH("_",$A740))),"",IFERROR(SUMIFS(Trade_Reports!$Z$3:$Z$502,Trade_Reports!$H$3:$H$502,$A740,Trade_Reports!$M$3:$M$502,"APPROVED")/SUMIFS(Trade_Reports!$U$3:$U$502,Trade_Reports!$H$3:$H$502,$A740,Trade_Reports!$M$3:$M$502,"APPROVED"),""))</f>
        <v/>
      </c>
      <c r="W740" s="2" t="str">
        <f t="shared" si="5"/>
        <v/>
      </c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 t="str">
        <f t="shared" si="4"/>
        <v/>
      </c>
      <c r="P741" s="2"/>
      <c r="Q741" s="2"/>
      <c r="R741" s="2"/>
      <c r="S741" s="2"/>
      <c r="T741" s="2"/>
      <c r="U741" s="2"/>
      <c r="V741" s="26" t="str">
        <f>IF(OR($A741="",ISERROR(SEARCH("_",$A741))),"",IFERROR(SUMIFS(Trade_Reports!$Z$3:$Z$502,Trade_Reports!$H$3:$H$502,$A741,Trade_Reports!$M$3:$M$502,"APPROVED")/SUMIFS(Trade_Reports!$U$3:$U$502,Trade_Reports!$H$3:$H$502,$A741,Trade_Reports!$M$3:$M$502,"APPROVED"),""))</f>
        <v/>
      </c>
      <c r="W741" s="2" t="str">
        <f t="shared" si="5"/>
        <v/>
      </c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 t="str">
        <f t="shared" si="4"/>
        <v/>
      </c>
      <c r="P742" s="2"/>
      <c r="Q742" s="2"/>
      <c r="R742" s="2"/>
      <c r="S742" s="2"/>
      <c r="T742" s="2"/>
      <c r="U742" s="2"/>
      <c r="V742" s="26" t="str">
        <f>IF(OR($A742="",ISERROR(SEARCH("_",$A742))),"",IFERROR(SUMIFS(Trade_Reports!$Z$3:$Z$502,Trade_Reports!$H$3:$H$502,$A742,Trade_Reports!$M$3:$M$502,"APPROVED")/SUMIFS(Trade_Reports!$U$3:$U$502,Trade_Reports!$H$3:$H$502,$A742,Trade_Reports!$M$3:$M$502,"APPROVED"),""))</f>
        <v/>
      </c>
      <c r="W742" s="2" t="str">
        <f t="shared" si="5"/>
        <v/>
      </c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 t="str">
        <f t="shared" si="4"/>
        <v/>
      </c>
      <c r="P743" s="2"/>
      <c r="Q743" s="2"/>
      <c r="R743" s="2"/>
      <c r="S743" s="2"/>
      <c r="T743" s="2"/>
      <c r="U743" s="2"/>
      <c r="V743" s="26" t="str">
        <f>IF(OR($A743="",ISERROR(SEARCH("_",$A743))),"",IFERROR(SUMIFS(Trade_Reports!$Z$3:$Z$502,Trade_Reports!$H$3:$H$502,$A743,Trade_Reports!$M$3:$M$502,"APPROVED")/SUMIFS(Trade_Reports!$U$3:$U$502,Trade_Reports!$H$3:$H$502,$A743,Trade_Reports!$M$3:$M$502,"APPROVED"),""))</f>
        <v/>
      </c>
      <c r="W743" s="2" t="str">
        <f t="shared" si="5"/>
        <v/>
      </c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 t="str">
        <f t="shared" si="4"/>
        <v/>
      </c>
      <c r="P744" s="2"/>
      <c r="Q744" s="2"/>
      <c r="R744" s="2"/>
      <c r="S744" s="2"/>
      <c r="T744" s="2"/>
      <c r="U744" s="2"/>
      <c r="V744" s="26" t="str">
        <f>IF(OR($A744="",ISERROR(SEARCH("_",$A744))),"",IFERROR(SUMIFS(Trade_Reports!$Z$3:$Z$502,Trade_Reports!$H$3:$H$502,$A744,Trade_Reports!$M$3:$M$502,"APPROVED")/SUMIFS(Trade_Reports!$U$3:$U$502,Trade_Reports!$H$3:$H$502,$A744,Trade_Reports!$M$3:$M$502,"APPROVED"),""))</f>
        <v/>
      </c>
      <c r="W744" s="2" t="str">
        <f t="shared" si="5"/>
        <v/>
      </c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 t="str">
        <f t="shared" si="4"/>
        <v/>
      </c>
      <c r="P745" s="2"/>
      <c r="Q745" s="2"/>
      <c r="R745" s="2"/>
      <c r="S745" s="2"/>
      <c r="T745" s="2"/>
      <c r="U745" s="2"/>
      <c r="V745" s="26" t="str">
        <f>IF(OR($A745="",ISERROR(SEARCH("_",$A745))),"",IFERROR(SUMIFS(Trade_Reports!$Z$3:$Z$502,Trade_Reports!$H$3:$H$502,$A745,Trade_Reports!$M$3:$M$502,"APPROVED")/SUMIFS(Trade_Reports!$U$3:$U$502,Trade_Reports!$H$3:$H$502,$A745,Trade_Reports!$M$3:$M$502,"APPROVED"),""))</f>
        <v/>
      </c>
      <c r="W745" s="2" t="str">
        <f t="shared" si="5"/>
        <v/>
      </c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 t="str">
        <f t="shared" si="4"/>
        <v/>
      </c>
      <c r="P746" s="2"/>
      <c r="Q746" s="2"/>
      <c r="R746" s="2"/>
      <c r="S746" s="2"/>
      <c r="T746" s="2"/>
      <c r="U746" s="2"/>
      <c r="V746" s="26" t="str">
        <f>IF(OR($A746="",ISERROR(SEARCH("_",$A746))),"",IFERROR(SUMIFS(Trade_Reports!$Z$3:$Z$502,Trade_Reports!$H$3:$H$502,$A746,Trade_Reports!$M$3:$M$502,"APPROVED")/SUMIFS(Trade_Reports!$U$3:$U$502,Trade_Reports!$H$3:$H$502,$A746,Trade_Reports!$M$3:$M$502,"APPROVED"),""))</f>
        <v/>
      </c>
      <c r="W746" s="2" t="str">
        <f t="shared" si="5"/>
        <v/>
      </c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 t="str">
        <f t="shared" si="4"/>
        <v/>
      </c>
      <c r="P747" s="2"/>
      <c r="Q747" s="2"/>
      <c r="R747" s="2"/>
      <c r="S747" s="2"/>
      <c r="T747" s="2"/>
      <c r="U747" s="2"/>
      <c r="V747" s="26" t="str">
        <f>IF(OR($A747="",ISERROR(SEARCH("_",$A747))),"",IFERROR(SUMIFS(Trade_Reports!$Z$3:$Z$502,Trade_Reports!$H$3:$H$502,$A747,Trade_Reports!$M$3:$M$502,"APPROVED")/SUMIFS(Trade_Reports!$U$3:$U$502,Trade_Reports!$H$3:$H$502,$A747,Trade_Reports!$M$3:$M$502,"APPROVED"),""))</f>
        <v/>
      </c>
      <c r="W747" s="2" t="str">
        <f t="shared" si="5"/>
        <v/>
      </c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 t="str">
        <f t="shared" si="4"/>
        <v/>
      </c>
      <c r="P748" s="2"/>
      <c r="Q748" s="2"/>
      <c r="R748" s="2"/>
      <c r="S748" s="2"/>
      <c r="T748" s="2"/>
      <c r="U748" s="2"/>
      <c r="V748" s="26" t="str">
        <f>IF(OR($A748="",ISERROR(SEARCH("_",$A748))),"",IFERROR(SUMIFS(Trade_Reports!$Z$3:$Z$502,Trade_Reports!$H$3:$H$502,$A748,Trade_Reports!$M$3:$M$502,"APPROVED")/SUMIFS(Trade_Reports!$U$3:$U$502,Trade_Reports!$H$3:$H$502,$A748,Trade_Reports!$M$3:$M$502,"APPROVED"),""))</f>
        <v/>
      </c>
      <c r="W748" s="2" t="str">
        <f t="shared" si="5"/>
        <v/>
      </c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 t="str">
        <f t="shared" si="4"/>
        <v/>
      </c>
      <c r="P749" s="2"/>
      <c r="Q749" s="2"/>
      <c r="R749" s="2"/>
      <c r="S749" s="2"/>
      <c r="T749" s="2"/>
      <c r="U749" s="2"/>
      <c r="V749" s="26" t="str">
        <f>IF(OR($A749="",ISERROR(SEARCH("_",$A749))),"",IFERROR(SUMIFS(Trade_Reports!$Z$3:$Z$502,Trade_Reports!$H$3:$H$502,$A749,Trade_Reports!$M$3:$M$502,"APPROVED")/SUMIFS(Trade_Reports!$U$3:$U$502,Trade_Reports!$H$3:$H$502,$A749,Trade_Reports!$M$3:$M$502,"APPROVED"),""))</f>
        <v/>
      </c>
      <c r="W749" s="2" t="str">
        <f t="shared" si="5"/>
        <v/>
      </c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 t="str">
        <f t="shared" si="4"/>
        <v/>
      </c>
      <c r="P750" s="2"/>
      <c r="Q750" s="2"/>
      <c r="R750" s="2"/>
      <c r="S750" s="2"/>
      <c r="T750" s="2"/>
      <c r="U750" s="2"/>
      <c r="V750" s="26" t="str">
        <f>IF(OR($A750="",ISERROR(SEARCH("_",$A750))),"",IFERROR(SUMIFS(Trade_Reports!$Z$3:$Z$502,Trade_Reports!$H$3:$H$502,$A750,Trade_Reports!$M$3:$M$502,"APPROVED")/SUMIFS(Trade_Reports!$U$3:$U$502,Trade_Reports!$H$3:$H$502,$A750,Trade_Reports!$M$3:$M$502,"APPROVED"),""))</f>
        <v/>
      </c>
      <c r="W750" s="2" t="str">
        <f t="shared" si="5"/>
        <v/>
      </c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 t="str">
        <f t="shared" si="4"/>
        <v/>
      </c>
      <c r="P751" s="2"/>
      <c r="Q751" s="2"/>
      <c r="R751" s="2"/>
      <c r="S751" s="2"/>
      <c r="T751" s="2"/>
      <c r="U751" s="2"/>
      <c r="V751" s="26" t="str">
        <f>IF(OR($A751="",ISERROR(SEARCH("_",$A751))),"",IFERROR(SUMIFS(Trade_Reports!$Z$3:$Z$502,Trade_Reports!$H$3:$H$502,$A751,Trade_Reports!$M$3:$M$502,"APPROVED")/SUMIFS(Trade_Reports!$U$3:$U$502,Trade_Reports!$H$3:$H$502,$A751,Trade_Reports!$M$3:$M$502,"APPROVED"),""))</f>
        <v/>
      </c>
      <c r="W751" s="2" t="str">
        <f t="shared" si="5"/>
        <v/>
      </c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 t="str">
        <f t="shared" si="4"/>
        <v/>
      </c>
      <c r="P752" s="2"/>
      <c r="Q752" s="2"/>
      <c r="R752" s="2"/>
      <c r="S752" s="2"/>
      <c r="T752" s="2"/>
      <c r="U752" s="2"/>
      <c r="V752" s="26" t="str">
        <f>IF(OR($A752="",ISERROR(SEARCH("_",$A752))),"",IFERROR(SUMIFS(Trade_Reports!$Z$3:$Z$502,Trade_Reports!$H$3:$H$502,$A752,Trade_Reports!$M$3:$M$502,"APPROVED")/SUMIFS(Trade_Reports!$U$3:$U$502,Trade_Reports!$H$3:$H$502,$A752,Trade_Reports!$M$3:$M$502,"APPROVED"),""))</f>
        <v/>
      </c>
      <c r="W752" s="2" t="str">
        <f t="shared" si="5"/>
        <v/>
      </c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 t="str">
        <f t="shared" si="4"/>
        <v/>
      </c>
      <c r="P753" s="2"/>
      <c r="Q753" s="2"/>
      <c r="R753" s="2"/>
      <c r="S753" s="2"/>
      <c r="T753" s="2"/>
      <c r="U753" s="2"/>
      <c r="V753" s="26" t="str">
        <f>IF(OR($A753="",ISERROR(SEARCH("_",$A753))),"",IFERROR(SUMIFS(Trade_Reports!$Z$3:$Z$502,Trade_Reports!$H$3:$H$502,$A753,Trade_Reports!$M$3:$M$502,"APPROVED")/SUMIFS(Trade_Reports!$U$3:$U$502,Trade_Reports!$H$3:$H$502,$A753,Trade_Reports!$M$3:$M$502,"APPROVED"),""))</f>
        <v/>
      </c>
      <c r="W753" s="2" t="str">
        <f t="shared" si="5"/>
        <v/>
      </c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 t="str">
        <f t="shared" si="4"/>
        <v/>
      </c>
      <c r="P754" s="2"/>
      <c r="Q754" s="2"/>
      <c r="R754" s="2"/>
      <c r="S754" s="2"/>
      <c r="T754" s="2"/>
      <c r="U754" s="2"/>
      <c r="V754" s="26" t="str">
        <f>IF(OR($A754="",ISERROR(SEARCH("_",$A754))),"",IFERROR(SUMIFS(Trade_Reports!$Z$3:$Z$502,Trade_Reports!$H$3:$H$502,$A754,Trade_Reports!$M$3:$M$502,"APPROVED")/SUMIFS(Trade_Reports!$U$3:$U$502,Trade_Reports!$H$3:$H$502,$A754,Trade_Reports!$M$3:$M$502,"APPROVED"),""))</f>
        <v/>
      </c>
      <c r="W754" s="2" t="str">
        <f t="shared" si="5"/>
        <v/>
      </c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 t="str">
        <f t="shared" si="4"/>
        <v/>
      </c>
      <c r="P755" s="2"/>
      <c r="Q755" s="2"/>
      <c r="R755" s="2"/>
      <c r="S755" s="2"/>
      <c r="T755" s="2"/>
      <c r="U755" s="2"/>
      <c r="V755" s="26" t="str">
        <f>IF(OR($A755="",ISERROR(SEARCH("_",$A755))),"",IFERROR(SUMIFS(Trade_Reports!$Z$3:$Z$502,Trade_Reports!$H$3:$H$502,$A755,Trade_Reports!$M$3:$M$502,"APPROVED")/SUMIFS(Trade_Reports!$U$3:$U$502,Trade_Reports!$H$3:$H$502,$A755,Trade_Reports!$M$3:$M$502,"APPROVED"),""))</f>
        <v/>
      </c>
      <c r="W755" s="2" t="str">
        <f t="shared" si="5"/>
        <v/>
      </c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 t="str">
        <f t="shared" si="4"/>
        <v/>
      </c>
      <c r="P756" s="2"/>
      <c r="Q756" s="2"/>
      <c r="R756" s="2"/>
      <c r="S756" s="2"/>
      <c r="T756" s="2"/>
      <c r="U756" s="2"/>
      <c r="V756" s="26" t="str">
        <f>IF(OR($A756="",ISERROR(SEARCH("_",$A756))),"",IFERROR(SUMIFS(Trade_Reports!$Z$3:$Z$502,Trade_Reports!$H$3:$H$502,$A756,Trade_Reports!$M$3:$M$502,"APPROVED")/SUMIFS(Trade_Reports!$U$3:$U$502,Trade_Reports!$H$3:$H$502,$A756,Trade_Reports!$M$3:$M$502,"APPROVED"),""))</f>
        <v/>
      </c>
      <c r="W756" s="2" t="str">
        <f t="shared" si="5"/>
        <v/>
      </c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 t="str">
        <f t="shared" si="4"/>
        <v/>
      </c>
      <c r="P757" s="2"/>
      <c r="Q757" s="2"/>
      <c r="R757" s="2"/>
      <c r="S757" s="2"/>
      <c r="T757" s="2"/>
      <c r="U757" s="2"/>
      <c r="V757" s="26" t="str">
        <f>IF(OR($A757="",ISERROR(SEARCH("_",$A757))),"",IFERROR(SUMIFS(Trade_Reports!$Z$3:$Z$502,Trade_Reports!$H$3:$H$502,$A757,Trade_Reports!$M$3:$M$502,"APPROVED")/SUMIFS(Trade_Reports!$U$3:$U$502,Trade_Reports!$H$3:$H$502,$A757,Trade_Reports!$M$3:$M$502,"APPROVED"),""))</f>
        <v/>
      </c>
      <c r="W757" s="2" t="str">
        <f t="shared" si="5"/>
        <v/>
      </c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 t="str">
        <f t="shared" si="4"/>
        <v/>
      </c>
      <c r="P758" s="2"/>
      <c r="Q758" s="2"/>
      <c r="R758" s="2"/>
      <c r="S758" s="2"/>
      <c r="T758" s="2"/>
      <c r="U758" s="2"/>
      <c r="V758" s="26" t="str">
        <f>IF(OR($A758="",ISERROR(SEARCH("_",$A758))),"",IFERROR(SUMIFS(Trade_Reports!$Z$3:$Z$502,Trade_Reports!$H$3:$H$502,$A758,Trade_Reports!$M$3:$M$502,"APPROVED")/SUMIFS(Trade_Reports!$U$3:$U$502,Trade_Reports!$H$3:$H$502,$A758,Trade_Reports!$M$3:$M$502,"APPROVED"),""))</f>
        <v/>
      </c>
      <c r="W758" s="2" t="str">
        <f t="shared" si="5"/>
        <v/>
      </c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 t="str">
        <f t="shared" si="4"/>
        <v/>
      </c>
      <c r="P759" s="2"/>
      <c r="Q759" s="2"/>
      <c r="R759" s="2"/>
      <c r="S759" s="2"/>
      <c r="T759" s="2"/>
      <c r="U759" s="2"/>
      <c r="V759" s="26" t="str">
        <f>IF(OR($A759="",ISERROR(SEARCH("_",$A759))),"",IFERROR(SUMIFS(Trade_Reports!$Z$3:$Z$502,Trade_Reports!$H$3:$H$502,$A759,Trade_Reports!$M$3:$M$502,"APPROVED")/SUMIFS(Trade_Reports!$U$3:$U$502,Trade_Reports!$H$3:$H$502,$A759,Trade_Reports!$M$3:$M$502,"APPROVED"),""))</f>
        <v/>
      </c>
      <c r="W759" s="2" t="str">
        <f t="shared" si="5"/>
        <v/>
      </c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 t="str">
        <f t="shared" si="4"/>
        <v/>
      </c>
      <c r="P760" s="2"/>
      <c r="Q760" s="2"/>
      <c r="R760" s="2"/>
      <c r="S760" s="2"/>
      <c r="T760" s="2"/>
      <c r="U760" s="2"/>
      <c r="V760" s="26" t="str">
        <f>IF(OR($A760="",ISERROR(SEARCH("_",$A760))),"",IFERROR(SUMIFS(Trade_Reports!$Z$3:$Z$502,Trade_Reports!$H$3:$H$502,$A760,Trade_Reports!$M$3:$M$502,"APPROVED")/SUMIFS(Trade_Reports!$U$3:$U$502,Trade_Reports!$H$3:$H$502,$A760,Trade_Reports!$M$3:$M$502,"APPROVED"),""))</f>
        <v/>
      </c>
      <c r="W760" s="2" t="str">
        <f t="shared" si="5"/>
        <v/>
      </c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 t="str">
        <f t="shared" si="4"/>
        <v/>
      </c>
      <c r="P761" s="2"/>
      <c r="Q761" s="2"/>
      <c r="R761" s="2"/>
      <c r="S761" s="2"/>
      <c r="T761" s="2"/>
      <c r="U761" s="2"/>
      <c r="V761" s="26" t="str">
        <f>IF(OR($A761="",ISERROR(SEARCH("_",$A761))),"",IFERROR(SUMIFS(Trade_Reports!$Z$3:$Z$502,Trade_Reports!$H$3:$H$502,$A761,Trade_Reports!$M$3:$M$502,"APPROVED")/SUMIFS(Trade_Reports!$U$3:$U$502,Trade_Reports!$H$3:$H$502,$A761,Trade_Reports!$M$3:$M$502,"APPROVED"),""))</f>
        <v/>
      </c>
      <c r="W761" s="2" t="str">
        <f t="shared" si="5"/>
        <v/>
      </c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 t="str">
        <f t="shared" si="4"/>
        <v/>
      </c>
      <c r="P762" s="2"/>
      <c r="Q762" s="2"/>
      <c r="R762" s="2"/>
      <c r="S762" s="2"/>
      <c r="T762" s="2"/>
      <c r="U762" s="2"/>
      <c r="V762" s="26" t="str">
        <f>IF(OR($A762="",ISERROR(SEARCH("_",$A762))),"",IFERROR(SUMIFS(Trade_Reports!$Z$3:$Z$502,Trade_Reports!$H$3:$H$502,$A762,Trade_Reports!$M$3:$M$502,"APPROVED")/SUMIFS(Trade_Reports!$U$3:$U$502,Trade_Reports!$H$3:$H$502,$A762,Trade_Reports!$M$3:$M$502,"APPROVED"),""))</f>
        <v/>
      </c>
      <c r="W762" s="2" t="str">
        <f t="shared" si="5"/>
        <v/>
      </c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 t="str">
        <f t="shared" si="4"/>
        <v/>
      </c>
      <c r="P763" s="2"/>
      <c r="Q763" s="2"/>
      <c r="R763" s="2"/>
      <c r="S763" s="2"/>
      <c r="T763" s="2"/>
      <c r="U763" s="2"/>
      <c r="V763" s="26" t="str">
        <f>IF(OR($A763="",ISERROR(SEARCH("_",$A763))),"",IFERROR(SUMIFS(Trade_Reports!$Z$3:$Z$502,Trade_Reports!$H$3:$H$502,$A763,Trade_Reports!$M$3:$M$502,"APPROVED")/SUMIFS(Trade_Reports!$U$3:$U$502,Trade_Reports!$H$3:$H$502,$A763,Trade_Reports!$M$3:$M$502,"APPROVED"),""))</f>
        <v/>
      </c>
      <c r="W763" s="2" t="str">
        <f t="shared" si="5"/>
        <v/>
      </c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 t="str">
        <f t="shared" si="4"/>
        <v/>
      </c>
      <c r="P764" s="2"/>
      <c r="Q764" s="2"/>
      <c r="R764" s="2"/>
      <c r="S764" s="2"/>
      <c r="T764" s="2"/>
      <c r="U764" s="2"/>
      <c r="V764" s="26" t="str">
        <f>IF(OR($A764="",ISERROR(SEARCH("_",$A764))),"",IFERROR(SUMIFS(Trade_Reports!$Z$3:$Z$502,Trade_Reports!$H$3:$H$502,$A764,Trade_Reports!$M$3:$M$502,"APPROVED")/SUMIFS(Trade_Reports!$U$3:$U$502,Trade_Reports!$H$3:$H$502,$A764,Trade_Reports!$M$3:$M$502,"APPROVED"),""))</f>
        <v/>
      </c>
      <c r="W764" s="2" t="str">
        <f t="shared" si="5"/>
        <v/>
      </c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 t="str">
        <f t="shared" si="4"/>
        <v/>
      </c>
      <c r="P765" s="2"/>
      <c r="Q765" s="2"/>
      <c r="R765" s="2"/>
      <c r="S765" s="2"/>
      <c r="T765" s="2"/>
      <c r="U765" s="2"/>
      <c r="V765" s="26" t="str">
        <f>IF(OR($A765="",ISERROR(SEARCH("_",$A765))),"",IFERROR(SUMIFS(Trade_Reports!$Z$3:$Z$502,Trade_Reports!$H$3:$H$502,$A765,Trade_Reports!$M$3:$M$502,"APPROVED")/SUMIFS(Trade_Reports!$U$3:$U$502,Trade_Reports!$H$3:$H$502,$A765,Trade_Reports!$M$3:$M$502,"APPROVED"),""))</f>
        <v/>
      </c>
      <c r="W765" s="2" t="str">
        <f t="shared" si="5"/>
        <v/>
      </c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 t="str">
        <f t="shared" si="4"/>
        <v/>
      </c>
      <c r="P766" s="2"/>
      <c r="Q766" s="2"/>
      <c r="R766" s="2"/>
      <c r="S766" s="2"/>
      <c r="T766" s="2"/>
      <c r="U766" s="2"/>
      <c r="V766" s="26" t="str">
        <f>IF(OR($A766="",ISERROR(SEARCH("_",$A766))),"",IFERROR(SUMIFS(Trade_Reports!$Z$3:$Z$502,Trade_Reports!$H$3:$H$502,$A766,Trade_Reports!$M$3:$M$502,"APPROVED")/SUMIFS(Trade_Reports!$U$3:$U$502,Trade_Reports!$H$3:$H$502,$A766,Trade_Reports!$M$3:$M$502,"APPROVED"),""))</f>
        <v/>
      </c>
      <c r="W766" s="2" t="str">
        <f t="shared" si="5"/>
        <v/>
      </c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 t="str">
        <f t="shared" si="4"/>
        <v/>
      </c>
      <c r="P767" s="2"/>
      <c r="Q767" s="2"/>
      <c r="R767" s="2"/>
      <c r="S767" s="2"/>
      <c r="T767" s="2"/>
      <c r="U767" s="2"/>
      <c r="V767" s="26" t="str">
        <f>IF(OR($A767="",ISERROR(SEARCH("_",$A767))),"",IFERROR(SUMIFS(Trade_Reports!$Z$3:$Z$502,Trade_Reports!$H$3:$H$502,$A767,Trade_Reports!$M$3:$M$502,"APPROVED")/SUMIFS(Trade_Reports!$U$3:$U$502,Trade_Reports!$H$3:$H$502,$A767,Trade_Reports!$M$3:$M$502,"APPROVED"),""))</f>
        <v/>
      </c>
      <c r="W767" s="2" t="str">
        <f t="shared" si="5"/>
        <v/>
      </c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 t="str">
        <f t="shared" ref="O768:O1000" si="6">IF(OR($A768="",ISERROR(SEARCH("_",$A768))),"", $W768)</f>
        <v/>
      </c>
      <c r="P768" s="2"/>
      <c r="Q768" s="2"/>
      <c r="R768" s="2"/>
      <c r="S768" s="2"/>
      <c r="T768" s="2"/>
      <c r="U768" s="2"/>
      <c r="V768" s="26" t="str">
        <f>IF(OR($A768="",ISERROR(SEARCH("_",$A768))),"",IFERROR(SUMIFS(Trade_Reports!$Z$3:$Z$502,Trade_Reports!$H$3:$H$502,$A768,Trade_Reports!$M$3:$M$502,"APPROVED")/SUMIFS(Trade_Reports!$U$3:$U$502,Trade_Reports!$H$3:$H$502,$A768,Trade_Reports!$M$3:$M$502,"APPROVED"),""))</f>
        <v/>
      </c>
      <c r="W768" s="2" t="str">
        <f t="shared" ref="W768:W1000" si="7">IF($V768="","",IF($V768&lt;1.75,"LOW",IF($V768&lt;2.5,"MID","HIGH")))</f>
        <v/>
      </c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 t="str">
        <f t="shared" si="6"/>
        <v/>
      </c>
      <c r="P769" s="2"/>
      <c r="Q769" s="2"/>
      <c r="R769" s="2"/>
      <c r="S769" s="2"/>
      <c r="T769" s="2"/>
      <c r="U769" s="2"/>
      <c r="V769" s="26" t="str">
        <f>IF(OR($A769="",ISERROR(SEARCH("_",$A769))),"",IFERROR(SUMIFS(Trade_Reports!$Z$3:$Z$502,Trade_Reports!$H$3:$H$502,$A769,Trade_Reports!$M$3:$M$502,"APPROVED")/SUMIFS(Trade_Reports!$U$3:$U$502,Trade_Reports!$H$3:$H$502,$A769,Trade_Reports!$M$3:$M$502,"APPROVED"),""))</f>
        <v/>
      </c>
      <c r="W769" s="2" t="str">
        <f t="shared" si="7"/>
        <v/>
      </c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 t="str">
        <f t="shared" si="6"/>
        <v/>
      </c>
      <c r="P770" s="2"/>
      <c r="Q770" s="2"/>
      <c r="R770" s="2"/>
      <c r="S770" s="2"/>
      <c r="T770" s="2"/>
      <c r="U770" s="2"/>
      <c r="V770" s="26" t="str">
        <f>IF(OR($A770="",ISERROR(SEARCH("_",$A770))),"",IFERROR(SUMIFS(Trade_Reports!$Z$3:$Z$502,Trade_Reports!$H$3:$H$502,$A770,Trade_Reports!$M$3:$M$502,"APPROVED")/SUMIFS(Trade_Reports!$U$3:$U$502,Trade_Reports!$H$3:$H$502,$A770,Trade_Reports!$M$3:$M$502,"APPROVED"),""))</f>
        <v/>
      </c>
      <c r="W770" s="2" t="str">
        <f t="shared" si="7"/>
        <v/>
      </c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 t="str">
        <f t="shared" si="6"/>
        <v/>
      </c>
      <c r="P771" s="2"/>
      <c r="Q771" s="2"/>
      <c r="R771" s="2"/>
      <c r="S771" s="2"/>
      <c r="T771" s="2"/>
      <c r="U771" s="2"/>
      <c r="V771" s="26" t="str">
        <f>IF(OR($A771="",ISERROR(SEARCH("_",$A771))),"",IFERROR(SUMIFS(Trade_Reports!$Z$3:$Z$502,Trade_Reports!$H$3:$H$502,$A771,Trade_Reports!$M$3:$M$502,"APPROVED")/SUMIFS(Trade_Reports!$U$3:$U$502,Trade_Reports!$H$3:$H$502,$A771,Trade_Reports!$M$3:$M$502,"APPROVED"),""))</f>
        <v/>
      </c>
      <c r="W771" s="2" t="str">
        <f t="shared" si="7"/>
        <v/>
      </c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 t="str">
        <f t="shared" si="6"/>
        <v/>
      </c>
      <c r="P772" s="2"/>
      <c r="Q772" s="2"/>
      <c r="R772" s="2"/>
      <c r="S772" s="2"/>
      <c r="T772" s="2"/>
      <c r="U772" s="2"/>
      <c r="V772" s="26" t="str">
        <f>IF(OR($A772="",ISERROR(SEARCH("_",$A772))),"",IFERROR(SUMIFS(Trade_Reports!$Z$3:$Z$502,Trade_Reports!$H$3:$H$502,$A772,Trade_Reports!$M$3:$M$502,"APPROVED")/SUMIFS(Trade_Reports!$U$3:$U$502,Trade_Reports!$H$3:$H$502,$A772,Trade_Reports!$M$3:$M$502,"APPROVED"),""))</f>
        <v/>
      </c>
      <c r="W772" s="2" t="str">
        <f t="shared" si="7"/>
        <v/>
      </c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 t="str">
        <f t="shared" si="6"/>
        <v/>
      </c>
      <c r="P773" s="2"/>
      <c r="Q773" s="2"/>
      <c r="R773" s="2"/>
      <c r="S773" s="2"/>
      <c r="T773" s="2"/>
      <c r="U773" s="2"/>
      <c r="V773" s="26" t="str">
        <f>IF(OR($A773="",ISERROR(SEARCH("_",$A773))),"",IFERROR(SUMIFS(Trade_Reports!$Z$3:$Z$502,Trade_Reports!$H$3:$H$502,$A773,Trade_Reports!$M$3:$M$502,"APPROVED")/SUMIFS(Trade_Reports!$U$3:$U$502,Trade_Reports!$H$3:$H$502,$A773,Trade_Reports!$M$3:$M$502,"APPROVED"),""))</f>
        <v/>
      </c>
      <c r="W773" s="2" t="str">
        <f t="shared" si="7"/>
        <v/>
      </c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 t="str">
        <f t="shared" si="6"/>
        <v/>
      </c>
      <c r="P774" s="2"/>
      <c r="Q774" s="2"/>
      <c r="R774" s="2"/>
      <c r="S774" s="2"/>
      <c r="T774" s="2"/>
      <c r="U774" s="2"/>
      <c r="V774" s="26" t="str">
        <f>IF(OR($A774="",ISERROR(SEARCH("_",$A774))),"",IFERROR(SUMIFS(Trade_Reports!$Z$3:$Z$502,Trade_Reports!$H$3:$H$502,$A774,Trade_Reports!$M$3:$M$502,"APPROVED")/SUMIFS(Trade_Reports!$U$3:$U$502,Trade_Reports!$H$3:$H$502,$A774,Trade_Reports!$M$3:$M$502,"APPROVED"),""))</f>
        <v/>
      </c>
      <c r="W774" s="2" t="str">
        <f t="shared" si="7"/>
        <v/>
      </c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 t="str">
        <f t="shared" si="6"/>
        <v/>
      </c>
      <c r="P775" s="2"/>
      <c r="Q775" s="2"/>
      <c r="R775" s="2"/>
      <c r="S775" s="2"/>
      <c r="T775" s="2"/>
      <c r="U775" s="2"/>
      <c r="V775" s="26" t="str">
        <f>IF(OR($A775="",ISERROR(SEARCH("_",$A775))),"",IFERROR(SUMIFS(Trade_Reports!$Z$3:$Z$502,Trade_Reports!$H$3:$H$502,$A775,Trade_Reports!$M$3:$M$502,"APPROVED")/SUMIFS(Trade_Reports!$U$3:$U$502,Trade_Reports!$H$3:$H$502,$A775,Trade_Reports!$M$3:$M$502,"APPROVED"),""))</f>
        <v/>
      </c>
      <c r="W775" s="2" t="str">
        <f t="shared" si="7"/>
        <v/>
      </c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 t="str">
        <f t="shared" si="6"/>
        <v/>
      </c>
      <c r="P776" s="2"/>
      <c r="Q776" s="2"/>
      <c r="R776" s="2"/>
      <c r="S776" s="2"/>
      <c r="T776" s="2"/>
      <c r="U776" s="2"/>
      <c r="V776" s="26" t="str">
        <f>IF(OR($A776="",ISERROR(SEARCH("_",$A776))),"",IFERROR(SUMIFS(Trade_Reports!$Z$3:$Z$502,Trade_Reports!$H$3:$H$502,$A776,Trade_Reports!$M$3:$M$502,"APPROVED")/SUMIFS(Trade_Reports!$U$3:$U$502,Trade_Reports!$H$3:$H$502,$A776,Trade_Reports!$M$3:$M$502,"APPROVED"),""))</f>
        <v/>
      </c>
      <c r="W776" s="2" t="str">
        <f t="shared" si="7"/>
        <v/>
      </c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 t="str">
        <f t="shared" si="6"/>
        <v/>
      </c>
      <c r="P777" s="2"/>
      <c r="Q777" s="2"/>
      <c r="R777" s="2"/>
      <c r="S777" s="2"/>
      <c r="T777" s="2"/>
      <c r="U777" s="2"/>
      <c r="V777" s="26" t="str">
        <f>IF(OR($A777="",ISERROR(SEARCH("_",$A777))),"",IFERROR(SUMIFS(Trade_Reports!$Z$3:$Z$502,Trade_Reports!$H$3:$H$502,$A777,Trade_Reports!$M$3:$M$502,"APPROVED")/SUMIFS(Trade_Reports!$U$3:$U$502,Trade_Reports!$H$3:$H$502,$A777,Trade_Reports!$M$3:$M$502,"APPROVED"),""))</f>
        <v/>
      </c>
      <c r="W777" s="2" t="str">
        <f t="shared" si="7"/>
        <v/>
      </c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 t="str">
        <f t="shared" si="6"/>
        <v/>
      </c>
      <c r="P778" s="2"/>
      <c r="Q778" s="2"/>
      <c r="R778" s="2"/>
      <c r="S778" s="2"/>
      <c r="T778" s="2"/>
      <c r="U778" s="2"/>
      <c r="V778" s="26" t="str">
        <f>IF(OR($A778="",ISERROR(SEARCH("_",$A778))),"",IFERROR(SUMIFS(Trade_Reports!$Z$3:$Z$502,Trade_Reports!$H$3:$H$502,$A778,Trade_Reports!$M$3:$M$502,"APPROVED")/SUMIFS(Trade_Reports!$U$3:$U$502,Trade_Reports!$H$3:$H$502,$A778,Trade_Reports!$M$3:$M$502,"APPROVED"),""))</f>
        <v/>
      </c>
      <c r="W778" s="2" t="str">
        <f t="shared" si="7"/>
        <v/>
      </c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 t="str">
        <f t="shared" si="6"/>
        <v/>
      </c>
      <c r="P779" s="2"/>
      <c r="Q779" s="2"/>
      <c r="R779" s="2"/>
      <c r="S779" s="2"/>
      <c r="T779" s="2"/>
      <c r="U779" s="2"/>
      <c r="V779" s="26" t="str">
        <f>IF(OR($A779="",ISERROR(SEARCH("_",$A779))),"",IFERROR(SUMIFS(Trade_Reports!$Z$3:$Z$502,Trade_Reports!$H$3:$H$502,$A779,Trade_Reports!$M$3:$M$502,"APPROVED")/SUMIFS(Trade_Reports!$U$3:$U$502,Trade_Reports!$H$3:$H$502,$A779,Trade_Reports!$M$3:$M$502,"APPROVED"),""))</f>
        <v/>
      </c>
      <c r="W779" s="2" t="str">
        <f t="shared" si="7"/>
        <v/>
      </c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 t="str">
        <f t="shared" si="6"/>
        <v/>
      </c>
      <c r="P780" s="2"/>
      <c r="Q780" s="2"/>
      <c r="R780" s="2"/>
      <c r="S780" s="2"/>
      <c r="T780" s="2"/>
      <c r="U780" s="2"/>
      <c r="V780" s="26" t="str">
        <f>IF(OR($A780="",ISERROR(SEARCH("_",$A780))),"",IFERROR(SUMIFS(Trade_Reports!$Z$3:$Z$502,Trade_Reports!$H$3:$H$502,$A780,Trade_Reports!$M$3:$M$502,"APPROVED")/SUMIFS(Trade_Reports!$U$3:$U$502,Trade_Reports!$H$3:$H$502,$A780,Trade_Reports!$M$3:$M$502,"APPROVED"),""))</f>
        <v/>
      </c>
      <c r="W780" s="2" t="str">
        <f t="shared" si="7"/>
        <v/>
      </c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 t="str">
        <f t="shared" si="6"/>
        <v/>
      </c>
      <c r="P781" s="2"/>
      <c r="Q781" s="2"/>
      <c r="R781" s="2"/>
      <c r="S781" s="2"/>
      <c r="T781" s="2"/>
      <c r="U781" s="2"/>
      <c r="V781" s="26" t="str">
        <f>IF(OR($A781="",ISERROR(SEARCH("_",$A781))),"",IFERROR(SUMIFS(Trade_Reports!$Z$3:$Z$502,Trade_Reports!$H$3:$H$502,$A781,Trade_Reports!$M$3:$M$502,"APPROVED")/SUMIFS(Trade_Reports!$U$3:$U$502,Trade_Reports!$H$3:$H$502,$A781,Trade_Reports!$M$3:$M$502,"APPROVED"),""))</f>
        <v/>
      </c>
      <c r="W781" s="2" t="str">
        <f t="shared" si="7"/>
        <v/>
      </c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 t="str">
        <f t="shared" si="6"/>
        <v/>
      </c>
      <c r="P782" s="2"/>
      <c r="Q782" s="2"/>
      <c r="R782" s="2"/>
      <c r="S782" s="2"/>
      <c r="T782" s="2"/>
      <c r="U782" s="2"/>
      <c r="V782" s="26" t="str">
        <f>IF(OR($A782="",ISERROR(SEARCH("_",$A782))),"",IFERROR(SUMIFS(Trade_Reports!$Z$3:$Z$502,Trade_Reports!$H$3:$H$502,$A782,Trade_Reports!$M$3:$M$502,"APPROVED")/SUMIFS(Trade_Reports!$U$3:$U$502,Trade_Reports!$H$3:$H$502,$A782,Trade_Reports!$M$3:$M$502,"APPROVED"),""))</f>
        <v/>
      </c>
      <c r="W782" s="2" t="str">
        <f t="shared" si="7"/>
        <v/>
      </c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 t="str">
        <f t="shared" si="6"/>
        <v/>
      </c>
      <c r="P783" s="2"/>
      <c r="Q783" s="2"/>
      <c r="R783" s="2"/>
      <c r="S783" s="2"/>
      <c r="T783" s="2"/>
      <c r="U783" s="2"/>
      <c r="V783" s="26" t="str">
        <f>IF(OR($A783="",ISERROR(SEARCH("_",$A783))),"",IFERROR(SUMIFS(Trade_Reports!$Z$3:$Z$502,Trade_Reports!$H$3:$H$502,$A783,Trade_Reports!$M$3:$M$502,"APPROVED")/SUMIFS(Trade_Reports!$U$3:$U$502,Trade_Reports!$H$3:$H$502,$A783,Trade_Reports!$M$3:$M$502,"APPROVED"),""))</f>
        <v/>
      </c>
      <c r="W783" s="2" t="str">
        <f t="shared" si="7"/>
        <v/>
      </c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 t="str">
        <f t="shared" si="6"/>
        <v/>
      </c>
      <c r="P784" s="2"/>
      <c r="Q784" s="2"/>
      <c r="R784" s="2"/>
      <c r="S784" s="2"/>
      <c r="T784" s="2"/>
      <c r="U784" s="2"/>
      <c r="V784" s="26" t="str">
        <f>IF(OR($A784="",ISERROR(SEARCH("_",$A784))),"",IFERROR(SUMIFS(Trade_Reports!$Z$3:$Z$502,Trade_Reports!$H$3:$H$502,$A784,Trade_Reports!$M$3:$M$502,"APPROVED")/SUMIFS(Trade_Reports!$U$3:$U$502,Trade_Reports!$H$3:$H$502,$A784,Trade_Reports!$M$3:$M$502,"APPROVED"),""))</f>
        <v/>
      </c>
      <c r="W784" s="2" t="str">
        <f t="shared" si="7"/>
        <v/>
      </c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 t="str">
        <f t="shared" si="6"/>
        <v/>
      </c>
      <c r="P785" s="2"/>
      <c r="Q785" s="2"/>
      <c r="R785" s="2"/>
      <c r="S785" s="2"/>
      <c r="T785" s="2"/>
      <c r="U785" s="2"/>
      <c r="V785" s="26" t="str">
        <f>IF(OR($A785="",ISERROR(SEARCH("_",$A785))),"",IFERROR(SUMIFS(Trade_Reports!$Z$3:$Z$502,Trade_Reports!$H$3:$H$502,$A785,Trade_Reports!$M$3:$M$502,"APPROVED")/SUMIFS(Trade_Reports!$U$3:$U$502,Trade_Reports!$H$3:$H$502,$A785,Trade_Reports!$M$3:$M$502,"APPROVED"),""))</f>
        <v/>
      </c>
      <c r="W785" s="2" t="str">
        <f t="shared" si="7"/>
        <v/>
      </c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 t="str">
        <f t="shared" si="6"/>
        <v/>
      </c>
      <c r="P786" s="2"/>
      <c r="Q786" s="2"/>
      <c r="R786" s="2"/>
      <c r="S786" s="2"/>
      <c r="T786" s="2"/>
      <c r="U786" s="2"/>
      <c r="V786" s="26" t="str">
        <f>IF(OR($A786="",ISERROR(SEARCH("_",$A786))),"",IFERROR(SUMIFS(Trade_Reports!$Z$3:$Z$502,Trade_Reports!$H$3:$H$502,$A786,Trade_Reports!$M$3:$M$502,"APPROVED")/SUMIFS(Trade_Reports!$U$3:$U$502,Trade_Reports!$H$3:$H$502,$A786,Trade_Reports!$M$3:$M$502,"APPROVED"),""))</f>
        <v/>
      </c>
      <c r="W786" s="2" t="str">
        <f t="shared" si="7"/>
        <v/>
      </c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 t="str">
        <f t="shared" si="6"/>
        <v/>
      </c>
      <c r="P787" s="2"/>
      <c r="Q787" s="2"/>
      <c r="R787" s="2"/>
      <c r="S787" s="2"/>
      <c r="T787" s="2"/>
      <c r="U787" s="2"/>
      <c r="V787" s="26" t="str">
        <f>IF(OR($A787="",ISERROR(SEARCH("_",$A787))),"",IFERROR(SUMIFS(Trade_Reports!$Z$3:$Z$502,Trade_Reports!$H$3:$H$502,$A787,Trade_Reports!$M$3:$M$502,"APPROVED")/SUMIFS(Trade_Reports!$U$3:$U$502,Trade_Reports!$H$3:$H$502,$A787,Trade_Reports!$M$3:$M$502,"APPROVED"),""))</f>
        <v/>
      </c>
      <c r="W787" s="2" t="str">
        <f t="shared" si="7"/>
        <v/>
      </c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 t="str">
        <f t="shared" si="6"/>
        <v/>
      </c>
      <c r="P788" s="2"/>
      <c r="Q788" s="2"/>
      <c r="R788" s="2"/>
      <c r="S788" s="2"/>
      <c r="T788" s="2"/>
      <c r="U788" s="2"/>
      <c r="V788" s="26" t="str">
        <f>IF(OR($A788="",ISERROR(SEARCH("_",$A788))),"",IFERROR(SUMIFS(Trade_Reports!$Z$3:$Z$502,Trade_Reports!$H$3:$H$502,$A788,Trade_Reports!$M$3:$M$502,"APPROVED")/SUMIFS(Trade_Reports!$U$3:$U$502,Trade_Reports!$H$3:$H$502,$A788,Trade_Reports!$M$3:$M$502,"APPROVED"),""))</f>
        <v/>
      </c>
      <c r="W788" s="2" t="str">
        <f t="shared" si="7"/>
        <v/>
      </c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 t="str">
        <f t="shared" si="6"/>
        <v/>
      </c>
      <c r="P789" s="2"/>
      <c r="Q789" s="2"/>
      <c r="R789" s="2"/>
      <c r="S789" s="2"/>
      <c r="T789" s="2"/>
      <c r="U789" s="2"/>
      <c r="V789" s="26" t="str">
        <f>IF(OR($A789="",ISERROR(SEARCH("_",$A789))),"",IFERROR(SUMIFS(Trade_Reports!$Z$3:$Z$502,Trade_Reports!$H$3:$H$502,$A789,Trade_Reports!$M$3:$M$502,"APPROVED")/SUMIFS(Trade_Reports!$U$3:$U$502,Trade_Reports!$H$3:$H$502,$A789,Trade_Reports!$M$3:$M$502,"APPROVED"),""))</f>
        <v/>
      </c>
      <c r="W789" s="2" t="str">
        <f t="shared" si="7"/>
        <v/>
      </c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 t="str">
        <f t="shared" si="6"/>
        <v/>
      </c>
      <c r="P790" s="2"/>
      <c r="Q790" s="2"/>
      <c r="R790" s="2"/>
      <c r="S790" s="2"/>
      <c r="T790" s="2"/>
      <c r="U790" s="2"/>
      <c r="V790" s="26" t="str">
        <f>IF(OR($A790="",ISERROR(SEARCH("_",$A790))),"",IFERROR(SUMIFS(Trade_Reports!$Z$3:$Z$502,Trade_Reports!$H$3:$H$502,$A790,Trade_Reports!$M$3:$M$502,"APPROVED")/SUMIFS(Trade_Reports!$U$3:$U$502,Trade_Reports!$H$3:$H$502,$A790,Trade_Reports!$M$3:$M$502,"APPROVED"),""))</f>
        <v/>
      </c>
      <c r="W790" s="2" t="str">
        <f t="shared" si="7"/>
        <v/>
      </c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 t="str">
        <f t="shared" si="6"/>
        <v/>
      </c>
      <c r="P791" s="2"/>
      <c r="Q791" s="2"/>
      <c r="R791" s="2"/>
      <c r="S791" s="2"/>
      <c r="T791" s="2"/>
      <c r="U791" s="2"/>
      <c r="V791" s="26" t="str">
        <f>IF(OR($A791="",ISERROR(SEARCH("_",$A791))),"",IFERROR(SUMIFS(Trade_Reports!$Z$3:$Z$502,Trade_Reports!$H$3:$H$502,$A791,Trade_Reports!$M$3:$M$502,"APPROVED")/SUMIFS(Trade_Reports!$U$3:$U$502,Trade_Reports!$H$3:$H$502,$A791,Trade_Reports!$M$3:$M$502,"APPROVED"),""))</f>
        <v/>
      </c>
      <c r="W791" s="2" t="str">
        <f t="shared" si="7"/>
        <v/>
      </c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 t="str">
        <f t="shared" si="6"/>
        <v/>
      </c>
      <c r="P792" s="2"/>
      <c r="Q792" s="2"/>
      <c r="R792" s="2"/>
      <c r="S792" s="2"/>
      <c r="T792" s="2"/>
      <c r="U792" s="2"/>
      <c r="V792" s="26" t="str">
        <f>IF(OR($A792="",ISERROR(SEARCH("_",$A792))),"",IFERROR(SUMIFS(Trade_Reports!$Z$3:$Z$502,Trade_Reports!$H$3:$H$502,$A792,Trade_Reports!$M$3:$M$502,"APPROVED")/SUMIFS(Trade_Reports!$U$3:$U$502,Trade_Reports!$H$3:$H$502,$A792,Trade_Reports!$M$3:$M$502,"APPROVED"),""))</f>
        <v/>
      </c>
      <c r="W792" s="2" t="str">
        <f t="shared" si="7"/>
        <v/>
      </c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 t="str">
        <f t="shared" si="6"/>
        <v/>
      </c>
      <c r="P793" s="2"/>
      <c r="Q793" s="2"/>
      <c r="R793" s="2"/>
      <c r="S793" s="2"/>
      <c r="T793" s="2"/>
      <c r="U793" s="2"/>
      <c r="V793" s="26" t="str">
        <f>IF(OR($A793="",ISERROR(SEARCH("_",$A793))),"",IFERROR(SUMIFS(Trade_Reports!$Z$3:$Z$502,Trade_Reports!$H$3:$H$502,$A793,Trade_Reports!$M$3:$M$502,"APPROVED")/SUMIFS(Trade_Reports!$U$3:$U$502,Trade_Reports!$H$3:$H$502,$A793,Trade_Reports!$M$3:$M$502,"APPROVED"),""))</f>
        <v/>
      </c>
      <c r="W793" s="2" t="str">
        <f t="shared" si="7"/>
        <v/>
      </c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 t="str">
        <f t="shared" si="6"/>
        <v/>
      </c>
      <c r="P794" s="2"/>
      <c r="Q794" s="2"/>
      <c r="R794" s="2"/>
      <c r="S794" s="2"/>
      <c r="T794" s="2"/>
      <c r="U794" s="2"/>
      <c r="V794" s="26" t="str">
        <f>IF(OR($A794="",ISERROR(SEARCH("_",$A794))),"",IFERROR(SUMIFS(Trade_Reports!$Z$3:$Z$502,Trade_Reports!$H$3:$H$502,$A794,Trade_Reports!$M$3:$M$502,"APPROVED")/SUMIFS(Trade_Reports!$U$3:$U$502,Trade_Reports!$H$3:$H$502,$A794,Trade_Reports!$M$3:$M$502,"APPROVED"),""))</f>
        <v/>
      </c>
      <c r="W794" s="2" t="str">
        <f t="shared" si="7"/>
        <v/>
      </c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 t="str">
        <f t="shared" si="6"/>
        <v/>
      </c>
      <c r="P795" s="2"/>
      <c r="Q795" s="2"/>
      <c r="R795" s="2"/>
      <c r="S795" s="2"/>
      <c r="T795" s="2"/>
      <c r="U795" s="2"/>
      <c r="V795" s="26" t="str">
        <f>IF(OR($A795="",ISERROR(SEARCH("_",$A795))),"",IFERROR(SUMIFS(Trade_Reports!$Z$3:$Z$502,Trade_Reports!$H$3:$H$502,$A795,Trade_Reports!$M$3:$M$502,"APPROVED")/SUMIFS(Trade_Reports!$U$3:$U$502,Trade_Reports!$H$3:$H$502,$A795,Trade_Reports!$M$3:$M$502,"APPROVED"),""))</f>
        <v/>
      </c>
      <c r="W795" s="2" t="str">
        <f t="shared" si="7"/>
        <v/>
      </c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 t="str">
        <f t="shared" si="6"/>
        <v/>
      </c>
      <c r="P796" s="2"/>
      <c r="Q796" s="2"/>
      <c r="R796" s="2"/>
      <c r="S796" s="2"/>
      <c r="T796" s="2"/>
      <c r="U796" s="2"/>
      <c r="V796" s="26" t="str">
        <f>IF(OR($A796="",ISERROR(SEARCH("_",$A796))),"",IFERROR(SUMIFS(Trade_Reports!$Z$3:$Z$502,Trade_Reports!$H$3:$H$502,$A796,Trade_Reports!$M$3:$M$502,"APPROVED")/SUMIFS(Trade_Reports!$U$3:$U$502,Trade_Reports!$H$3:$H$502,$A796,Trade_Reports!$M$3:$M$502,"APPROVED"),""))</f>
        <v/>
      </c>
      <c r="W796" s="2" t="str">
        <f t="shared" si="7"/>
        <v/>
      </c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 t="str">
        <f t="shared" si="6"/>
        <v/>
      </c>
      <c r="P797" s="2"/>
      <c r="Q797" s="2"/>
      <c r="R797" s="2"/>
      <c r="S797" s="2"/>
      <c r="T797" s="2"/>
      <c r="U797" s="2"/>
      <c r="V797" s="26" t="str">
        <f>IF(OR($A797="",ISERROR(SEARCH("_",$A797))),"",IFERROR(SUMIFS(Trade_Reports!$Z$3:$Z$502,Trade_Reports!$H$3:$H$502,$A797,Trade_Reports!$M$3:$M$502,"APPROVED")/SUMIFS(Trade_Reports!$U$3:$U$502,Trade_Reports!$H$3:$H$502,$A797,Trade_Reports!$M$3:$M$502,"APPROVED"),""))</f>
        <v/>
      </c>
      <c r="W797" s="2" t="str">
        <f t="shared" si="7"/>
        <v/>
      </c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 t="str">
        <f t="shared" si="6"/>
        <v/>
      </c>
      <c r="P798" s="2"/>
      <c r="Q798" s="2"/>
      <c r="R798" s="2"/>
      <c r="S798" s="2"/>
      <c r="T798" s="2"/>
      <c r="U798" s="2"/>
      <c r="V798" s="26" t="str">
        <f>IF(OR($A798="",ISERROR(SEARCH("_",$A798))),"",IFERROR(SUMIFS(Trade_Reports!$Z$3:$Z$502,Trade_Reports!$H$3:$H$502,$A798,Trade_Reports!$M$3:$M$502,"APPROVED")/SUMIFS(Trade_Reports!$U$3:$U$502,Trade_Reports!$H$3:$H$502,$A798,Trade_Reports!$M$3:$M$502,"APPROVED"),""))</f>
        <v/>
      </c>
      <c r="W798" s="2" t="str">
        <f t="shared" si="7"/>
        <v/>
      </c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 t="str">
        <f t="shared" si="6"/>
        <v/>
      </c>
      <c r="P799" s="2"/>
      <c r="Q799" s="2"/>
      <c r="R799" s="2"/>
      <c r="S799" s="2"/>
      <c r="T799" s="2"/>
      <c r="U799" s="2"/>
      <c r="V799" s="26" t="str">
        <f>IF(OR($A799="",ISERROR(SEARCH("_",$A799))),"",IFERROR(SUMIFS(Trade_Reports!$Z$3:$Z$502,Trade_Reports!$H$3:$H$502,$A799,Trade_Reports!$M$3:$M$502,"APPROVED")/SUMIFS(Trade_Reports!$U$3:$U$502,Trade_Reports!$H$3:$H$502,$A799,Trade_Reports!$M$3:$M$502,"APPROVED"),""))</f>
        <v/>
      </c>
      <c r="W799" s="2" t="str">
        <f t="shared" si="7"/>
        <v/>
      </c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 t="str">
        <f t="shared" si="6"/>
        <v/>
      </c>
      <c r="P800" s="2"/>
      <c r="Q800" s="2"/>
      <c r="R800" s="2"/>
      <c r="S800" s="2"/>
      <c r="T800" s="2"/>
      <c r="U800" s="2"/>
      <c r="V800" s="26" t="str">
        <f>IF(OR($A800="",ISERROR(SEARCH("_",$A800))),"",IFERROR(SUMIFS(Trade_Reports!$Z$3:$Z$502,Trade_Reports!$H$3:$H$502,$A800,Trade_Reports!$M$3:$M$502,"APPROVED")/SUMIFS(Trade_Reports!$U$3:$U$502,Trade_Reports!$H$3:$H$502,$A800,Trade_Reports!$M$3:$M$502,"APPROVED"),""))</f>
        <v/>
      </c>
      <c r="W800" s="2" t="str">
        <f t="shared" si="7"/>
        <v/>
      </c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 t="str">
        <f t="shared" si="6"/>
        <v/>
      </c>
      <c r="P801" s="2"/>
      <c r="Q801" s="2"/>
      <c r="R801" s="2"/>
      <c r="S801" s="2"/>
      <c r="T801" s="2"/>
      <c r="U801" s="2"/>
      <c r="V801" s="26" t="str">
        <f>IF(OR($A801="",ISERROR(SEARCH("_",$A801))),"",IFERROR(SUMIFS(Trade_Reports!$Z$3:$Z$502,Trade_Reports!$H$3:$H$502,$A801,Trade_Reports!$M$3:$M$502,"APPROVED")/SUMIFS(Trade_Reports!$U$3:$U$502,Trade_Reports!$H$3:$H$502,$A801,Trade_Reports!$M$3:$M$502,"APPROVED"),""))</f>
        <v/>
      </c>
      <c r="W801" s="2" t="str">
        <f t="shared" si="7"/>
        <v/>
      </c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 t="str">
        <f t="shared" si="6"/>
        <v/>
      </c>
      <c r="P802" s="2"/>
      <c r="Q802" s="2"/>
      <c r="R802" s="2"/>
      <c r="S802" s="2"/>
      <c r="T802" s="2"/>
      <c r="U802" s="2"/>
      <c r="V802" s="26" t="str">
        <f>IF(OR($A802="",ISERROR(SEARCH("_",$A802))),"",IFERROR(SUMIFS(Trade_Reports!$Z$3:$Z$502,Trade_Reports!$H$3:$H$502,$A802,Trade_Reports!$M$3:$M$502,"APPROVED")/SUMIFS(Trade_Reports!$U$3:$U$502,Trade_Reports!$H$3:$H$502,$A802,Trade_Reports!$M$3:$M$502,"APPROVED"),""))</f>
        <v/>
      </c>
      <c r="W802" s="2" t="str">
        <f t="shared" si="7"/>
        <v/>
      </c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 t="str">
        <f t="shared" si="6"/>
        <v/>
      </c>
      <c r="P803" s="2"/>
      <c r="Q803" s="2"/>
      <c r="R803" s="2"/>
      <c r="S803" s="2"/>
      <c r="T803" s="2"/>
      <c r="U803" s="2"/>
      <c r="V803" s="26" t="str">
        <f>IF(OR($A803="",ISERROR(SEARCH("_",$A803))),"",IFERROR(SUMIFS(Trade_Reports!$Z$3:$Z$502,Trade_Reports!$H$3:$H$502,$A803,Trade_Reports!$M$3:$M$502,"APPROVED")/SUMIFS(Trade_Reports!$U$3:$U$502,Trade_Reports!$H$3:$H$502,$A803,Trade_Reports!$M$3:$M$502,"APPROVED"),""))</f>
        <v/>
      </c>
      <c r="W803" s="2" t="str">
        <f t="shared" si="7"/>
        <v/>
      </c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 t="str">
        <f t="shared" si="6"/>
        <v/>
      </c>
      <c r="P804" s="2"/>
      <c r="Q804" s="2"/>
      <c r="R804" s="2"/>
      <c r="S804" s="2"/>
      <c r="T804" s="2"/>
      <c r="U804" s="2"/>
      <c r="V804" s="26" t="str">
        <f>IF(OR($A804="",ISERROR(SEARCH("_",$A804))),"",IFERROR(SUMIFS(Trade_Reports!$Z$3:$Z$502,Trade_Reports!$H$3:$H$502,$A804,Trade_Reports!$M$3:$M$502,"APPROVED")/SUMIFS(Trade_Reports!$U$3:$U$502,Trade_Reports!$H$3:$H$502,$A804,Trade_Reports!$M$3:$M$502,"APPROVED"),""))</f>
        <v/>
      </c>
      <c r="W804" s="2" t="str">
        <f t="shared" si="7"/>
        <v/>
      </c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 t="str">
        <f t="shared" si="6"/>
        <v/>
      </c>
      <c r="P805" s="2"/>
      <c r="Q805" s="2"/>
      <c r="R805" s="2"/>
      <c r="S805" s="2"/>
      <c r="T805" s="2"/>
      <c r="U805" s="2"/>
      <c r="V805" s="26" t="str">
        <f>IF(OR($A805="",ISERROR(SEARCH("_",$A805))),"",IFERROR(SUMIFS(Trade_Reports!$Z$3:$Z$502,Trade_Reports!$H$3:$H$502,$A805,Trade_Reports!$M$3:$M$502,"APPROVED")/SUMIFS(Trade_Reports!$U$3:$U$502,Trade_Reports!$H$3:$H$502,$A805,Trade_Reports!$M$3:$M$502,"APPROVED"),""))</f>
        <v/>
      </c>
      <c r="W805" s="2" t="str">
        <f t="shared" si="7"/>
        <v/>
      </c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 t="str">
        <f t="shared" si="6"/>
        <v/>
      </c>
      <c r="P806" s="2"/>
      <c r="Q806" s="2"/>
      <c r="R806" s="2"/>
      <c r="S806" s="2"/>
      <c r="T806" s="2"/>
      <c r="U806" s="2"/>
      <c r="V806" s="26" t="str">
        <f>IF(OR($A806="",ISERROR(SEARCH("_",$A806))),"",IFERROR(SUMIFS(Trade_Reports!$Z$3:$Z$502,Trade_Reports!$H$3:$H$502,$A806,Trade_Reports!$M$3:$M$502,"APPROVED")/SUMIFS(Trade_Reports!$U$3:$U$502,Trade_Reports!$H$3:$H$502,$A806,Trade_Reports!$M$3:$M$502,"APPROVED"),""))</f>
        <v/>
      </c>
      <c r="W806" s="2" t="str">
        <f t="shared" si="7"/>
        <v/>
      </c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 t="str">
        <f t="shared" si="6"/>
        <v/>
      </c>
      <c r="P807" s="2"/>
      <c r="Q807" s="2"/>
      <c r="R807" s="2"/>
      <c r="S807" s="2"/>
      <c r="T807" s="2"/>
      <c r="U807" s="2"/>
      <c r="V807" s="26" t="str">
        <f>IF(OR($A807="",ISERROR(SEARCH("_",$A807))),"",IFERROR(SUMIFS(Trade_Reports!$Z$3:$Z$502,Trade_Reports!$H$3:$H$502,$A807,Trade_Reports!$M$3:$M$502,"APPROVED")/SUMIFS(Trade_Reports!$U$3:$U$502,Trade_Reports!$H$3:$H$502,$A807,Trade_Reports!$M$3:$M$502,"APPROVED"),""))</f>
        <v/>
      </c>
      <c r="W807" s="2" t="str">
        <f t="shared" si="7"/>
        <v/>
      </c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 t="str">
        <f t="shared" si="6"/>
        <v/>
      </c>
      <c r="P808" s="2"/>
      <c r="Q808" s="2"/>
      <c r="R808" s="2"/>
      <c r="S808" s="2"/>
      <c r="T808" s="2"/>
      <c r="U808" s="2"/>
      <c r="V808" s="26" t="str">
        <f>IF(OR($A808="",ISERROR(SEARCH("_",$A808))),"",IFERROR(SUMIFS(Trade_Reports!$Z$3:$Z$502,Trade_Reports!$H$3:$H$502,$A808,Trade_Reports!$M$3:$M$502,"APPROVED")/SUMIFS(Trade_Reports!$U$3:$U$502,Trade_Reports!$H$3:$H$502,$A808,Trade_Reports!$M$3:$M$502,"APPROVED"),""))</f>
        <v/>
      </c>
      <c r="W808" s="2" t="str">
        <f t="shared" si="7"/>
        <v/>
      </c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 t="str">
        <f t="shared" si="6"/>
        <v/>
      </c>
      <c r="P809" s="2"/>
      <c r="Q809" s="2"/>
      <c r="R809" s="2"/>
      <c r="S809" s="2"/>
      <c r="T809" s="2"/>
      <c r="U809" s="2"/>
      <c r="V809" s="26" t="str">
        <f>IF(OR($A809="",ISERROR(SEARCH("_",$A809))),"",IFERROR(SUMIFS(Trade_Reports!$Z$3:$Z$502,Trade_Reports!$H$3:$H$502,$A809,Trade_Reports!$M$3:$M$502,"APPROVED")/SUMIFS(Trade_Reports!$U$3:$U$502,Trade_Reports!$H$3:$H$502,$A809,Trade_Reports!$M$3:$M$502,"APPROVED"),""))</f>
        <v/>
      </c>
      <c r="W809" s="2" t="str">
        <f t="shared" si="7"/>
        <v/>
      </c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 t="str">
        <f t="shared" si="6"/>
        <v/>
      </c>
      <c r="P810" s="2"/>
      <c r="Q810" s="2"/>
      <c r="R810" s="2"/>
      <c r="S810" s="2"/>
      <c r="T810" s="2"/>
      <c r="U810" s="2"/>
      <c r="V810" s="26" t="str">
        <f>IF(OR($A810="",ISERROR(SEARCH("_",$A810))),"",IFERROR(SUMIFS(Trade_Reports!$Z$3:$Z$502,Trade_Reports!$H$3:$H$502,$A810,Trade_Reports!$M$3:$M$502,"APPROVED")/SUMIFS(Trade_Reports!$U$3:$U$502,Trade_Reports!$H$3:$H$502,$A810,Trade_Reports!$M$3:$M$502,"APPROVED"),""))</f>
        <v/>
      </c>
      <c r="W810" s="2" t="str">
        <f t="shared" si="7"/>
        <v/>
      </c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 t="str">
        <f t="shared" si="6"/>
        <v/>
      </c>
      <c r="P811" s="2"/>
      <c r="Q811" s="2"/>
      <c r="R811" s="2"/>
      <c r="S811" s="2"/>
      <c r="T811" s="2"/>
      <c r="U811" s="2"/>
      <c r="V811" s="26" t="str">
        <f>IF(OR($A811="",ISERROR(SEARCH("_",$A811))),"",IFERROR(SUMIFS(Trade_Reports!$Z$3:$Z$502,Trade_Reports!$H$3:$H$502,$A811,Trade_Reports!$M$3:$M$502,"APPROVED")/SUMIFS(Trade_Reports!$U$3:$U$502,Trade_Reports!$H$3:$H$502,$A811,Trade_Reports!$M$3:$M$502,"APPROVED"),""))</f>
        <v/>
      </c>
      <c r="W811" s="2" t="str">
        <f t="shared" si="7"/>
        <v/>
      </c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 t="str">
        <f t="shared" si="6"/>
        <v/>
      </c>
      <c r="P812" s="2"/>
      <c r="Q812" s="2"/>
      <c r="R812" s="2"/>
      <c r="S812" s="2"/>
      <c r="T812" s="2"/>
      <c r="U812" s="2"/>
      <c r="V812" s="26" t="str">
        <f>IF(OR($A812="",ISERROR(SEARCH("_",$A812))),"",IFERROR(SUMIFS(Trade_Reports!$Z$3:$Z$502,Trade_Reports!$H$3:$H$502,$A812,Trade_Reports!$M$3:$M$502,"APPROVED")/SUMIFS(Trade_Reports!$U$3:$U$502,Trade_Reports!$H$3:$H$502,$A812,Trade_Reports!$M$3:$M$502,"APPROVED"),""))</f>
        <v/>
      </c>
      <c r="W812" s="2" t="str">
        <f t="shared" si="7"/>
        <v/>
      </c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 t="str">
        <f t="shared" si="6"/>
        <v/>
      </c>
      <c r="P813" s="2"/>
      <c r="Q813" s="2"/>
      <c r="R813" s="2"/>
      <c r="S813" s="2"/>
      <c r="T813" s="2"/>
      <c r="U813" s="2"/>
      <c r="V813" s="26" t="str">
        <f>IF(OR($A813="",ISERROR(SEARCH("_",$A813))),"",IFERROR(SUMIFS(Trade_Reports!$Z$3:$Z$502,Trade_Reports!$H$3:$H$502,$A813,Trade_Reports!$M$3:$M$502,"APPROVED")/SUMIFS(Trade_Reports!$U$3:$U$502,Trade_Reports!$H$3:$H$502,$A813,Trade_Reports!$M$3:$M$502,"APPROVED"),""))</f>
        <v/>
      </c>
      <c r="W813" s="2" t="str">
        <f t="shared" si="7"/>
        <v/>
      </c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 t="str">
        <f t="shared" si="6"/>
        <v/>
      </c>
      <c r="P814" s="2"/>
      <c r="Q814" s="2"/>
      <c r="R814" s="2"/>
      <c r="S814" s="2"/>
      <c r="T814" s="2"/>
      <c r="U814" s="2"/>
      <c r="V814" s="26" t="str">
        <f>IF(OR($A814="",ISERROR(SEARCH("_",$A814))),"",IFERROR(SUMIFS(Trade_Reports!$Z$3:$Z$502,Trade_Reports!$H$3:$H$502,$A814,Trade_Reports!$M$3:$M$502,"APPROVED")/SUMIFS(Trade_Reports!$U$3:$U$502,Trade_Reports!$H$3:$H$502,$A814,Trade_Reports!$M$3:$M$502,"APPROVED"),""))</f>
        <v/>
      </c>
      <c r="W814" s="2" t="str">
        <f t="shared" si="7"/>
        <v/>
      </c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 t="str">
        <f t="shared" si="6"/>
        <v/>
      </c>
      <c r="P815" s="2"/>
      <c r="Q815" s="2"/>
      <c r="R815" s="2"/>
      <c r="S815" s="2"/>
      <c r="T815" s="2"/>
      <c r="U815" s="2"/>
      <c r="V815" s="26" t="str">
        <f>IF(OR($A815="",ISERROR(SEARCH("_",$A815))),"",IFERROR(SUMIFS(Trade_Reports!$Z$3:$Z$502,Trade_Reports!$H$3:$H$502,$A815,Trade_Reports!$M$3:$M$502,"APPROVED")/SUMIFS(Trade_Reports!$U$3:$U$502,Trade_Reports!$H$3:$H$502,$A815,Trade_Reports!$M$3:$M$502,"APPROVED"),""))</f>
        <v/>
      </c>
      <c r="W815" s="2" t="str">
        <f t="shared" si="7"/>
        <v/>
      </c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 t="str">
        <f t="shared" si="6"/>
        <v/>
      </c>
      <c r="P816" s="2"/>
      <c r="Q816" s="2"/>
      <c r="R816" s="2"/>
      <c r="S816" s="2"/>
      <c r="T816" s="2"/>
      <c r="U816" s="2"/>
      <c r="V816" s="26" t="str">
        <f>IF(OR($A816="",ISERROR(SEARCH("_",$A816))),"",IFERROR(SUMIFS(Trade_Reports!$Z$3:$Z$502,Trade_Reports!$H$3:$H$502,$A816,Trade_Reports!$M$3:$M$502,"APPROVED")/SUMIFS(Trade_Reports!$U$3:$U$502,Trade_Reports!$H$3:$H$502,$A816,Trade_Reports!$M$3:$M$502,"APPROVED"),""))</f>
        <v/>
      </c>
      <c r="W816" s="2" t="str">
        <f t="shared" si="7"/>
        <v/>
      </c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 t="str">
        <f t="shared" si="6"/>
        <v/>
      </c>
      <c r="P817" s="2"/>
      <c r="Q817" s="2"/>
      <c r="R817" s="2"/>
      <c r="S817" s="2"/>
      <c r="T817" s="2"/>
      <c r="U817" s="2"/>
      <c r="V817" s="26" t="str">
        <f>IF(OR($A817="",ISERROR(SEARCH("_",$A817))),"",IFERROR(SUMIFS(Trade_Reports!$Z$3:$Z$502,Trade_Reports!$H$3:$H$502,$A817,Trade_Reports!$M$3:$M$502,"APPROVED")/SUMIFS(Trade_Reports!$U$3:$U$502,Trade_Reports!$H$3:$H$502,$A817,Trade_Reports!$M$3:$M$502,"APPROVED"),""))</f>
        <v/>
      </c>
      <c r="W817" s="2" t="str">
        <f t="shared" si="7"/>
        <v/>
      </c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 t="str">
        <f t="shared" si="6"/>
        <v/>
      </c>
      <c r="P818" s="2"/>
      <c r="Q818" s="2"/>
      <c r="R818" s="2"/>
      <c r="S818" s="2"/>
      <c r="T818" s="2"/>
      <c r="U818" s="2"/>
      <c r="V818" s="26" t="str">
        <f>IF(OR($A818="",ISERROR(SEARCH("_",$A818))),"",IFERROR(SUMIFS(Trade_Reports!$Z$3:$Z$502,Trade_Reports!$H$3:$H$502,$A818,Trade_Reports!$M$3:$M$502,"APPROVED")/SUMIFS(Trade_Reports!$U$3:$U$502,Trade_Reports!$H$3:$H$502,$A818,Trade_Reports!$M$3:$M$502,"APPROVED"),""))</f>
        <v/>
      </c>
      <c r="W818" s="2" t="str">
        <f t="shared" si="7"/>
        <v/>
      </c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 t="str">
        <f t="shared" si="6"/>
        <v/>
      </c>
      <c r="P819" s="2"/>
      <c r="Q819" s="2"/>
      <c r="R819" s="2"/>
      <c r="S819" s="2"/>
      <c r="T819" s="2"/>
      <c r="U819" s="2"/>
      <c r="V819" s="26" t="str">
        <f>IF(OR($A819="",ISERROR(SEARCH("_",$A819))),"",IFERROR(SUMIFS(Trade_Reports!$Z$3:$Z$502,Trade_Reports!$H$3:$H$502,$A819,Trade_Reports!$M$3:$M$502,"APPROVED")/SUMIFS(Trade_Reports!$U$3:$U$502,Trade_Reports!$H$3:$H$502,$A819,Trade_Reports!$M$3:$M$502,"APPROVED"),""))</f>
        <v/>
      </c>
      <c r="W819" s="2" t="str">
        <f t="shared" si="7"/>
        <v/>
      </c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 t="str">
        <f t="shared" si="6"/>
        <v/>
      </c>
      <c r="P820" s="2"/>
      <c r="Q820" s="2"/>
      <c r="R820" s="2"/>
      <c r="S820" s="2"/>
      <c r="T820" s="2"/>
      <c r="U820" s="2"/>
      <c r="V820" s="26" t="str">
        <f>IF(OR($A820="",ISERROR(SEARCH("_",$A820))),"",IFERROR(SUMIFS(Trade_Reports!$Z$3:$Z$502,Trade_Reports!$H$3:$H$502,$A820,Trade_Reports!$M$3:$M$502,"APPROVED")/SUMIFS(Trade_Reports!$U$3:$U$502,Trade_Reports!$H$3:$H$502,$A820,Trade_Reports!$M$3:$M$502,"APPROVED"),""))</f>
        <v/>
      </c>
      <c r="W820" s="2" t="str">
        <f t="shared" si="7"/>
        <v/>
      </c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 t="str">
        <f t="shared" si="6"/>
        <v/>
      </c>
      <c r="P821" s="2"/>
      <c r="Q821" s="2"/>
      <c r="R821" s="2"/>
      <c r="S821" s="2"/>
      <c r="T821" s="2"/>
      <c r="U821" s="2"/>
      <c r="V821" s="26" t="str">
        <f>IF(OR($A821="",ISERROR(SEARCH("_",$A821))),"",IFERROR(SUMIFS(Trade_Reports!$Z$3:$Z$502,Trade_Reports!$H$3:$H$502,$A821,Trade_Reports!$M$3:$M$502,"APPROVED")/SUMIFS(Trade_Reports!$U$3:$U$502,Trade_Reports!$H$3:$H$502,$A821,Trade_Reports!$M$3:$M$502,"APPROVED"),""))</f>
        <v/>
      </c>
      <c r="W821" s="2" t="str">
        <f t="shared" si="7"/>
        <v/>
      </c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 t="str">
        <f t="shared" si="6"/>
        <v/>
      </c>
      <c r="P822" s="2"/>
      <c r="Q822" s="2"/>
      <c r="R822" s="2"/>
      <c r="S822" s="2"/>
      <c r="T822" s="2"/>
      <c r="U822" s="2"/>
      <c r="V822" s="26" t="str">
        <f>IF(OR($A822="",ISERROR(SEARCH("_",$A822))),"",IFERROR(SUMIFS(Trade_Reports!$Z$3:$Z$502,Trade_Reports!$H$3:$H$502,$A822,Trade_Reports!$M$3:$M$502,"APPROVED")/SUMIFS(Trade_Reports!$U$3:$U$502,Trade_Reports!$H$3:$H$502,$A822,Trade_Reports!$M$3:$M$502,"APPROVED"),""))</f>
        <v/>
      </c>
      <c r="W822" s="2" t="str">
        <f t="shared" si="7"/>
        <v/>
      </c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 t="str">
        <f t="shared" si="6"/>
        <v/>
      </c>
      <c r="P823" s="2"/>
      <c r="Q823" s="2"/>
      <c r="R823" s="2"/>
      <c r="S823" s="2"/>
      <c r="T823" s="2"/>
      <c r="U823" s="2"/>
      <c r="V823" s="26" t="str">
        <f>IF(OR($A823="",ISERROR(SEARCH("_",$A823))),"",IFERROR(SUMIFS(Trade_Reports!$Z$3:$Z$502,Trade_Reports!$H$3:$H$502,$A823,Trade_Reports!$M$3:$M$502,"APPROVED")/SUMIFS(Trade_Reports!$U$3:$U$502,Trade_Reports!$H$3:$H$502,$A823,Trade_Reports!$M$3:$M$502,"APPROVED"),""))</f>
        <v/>
      </c>
      <c r="W823" s="2" t="str">
        <f t="shared" si="7"/>
        <v/>
      </c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 t="str">
        <f t="shared" si="6"/>
        <v/>
      </c>
      <c r="P824" s="2"/>
      <c r="Q824" s="2"/>
      <c r="R824" s="2"/>
      <c r="S824" s="2"/>
      <c r="T824" s="2"/>
      <c r="U824" s="2"/>
      <c r="V824" s="26" t="str">
        <f>IF(OR($A824="",ISERROR(SEARCH("_",$A824))),"",IFERROR(SUMIFS(Trade_Reports!$Z$3:$Z$502,Trade_Reports!$H$3:$H$502,$A824,Trade_Reports!$M$3:$M$502,"APPROVED")/SUMIFS(Trade_Reports!$U$3:$U$502,Trade_Reports!$H$3:$H$502,$A824,Trade_Reports!$M$3:$M$502,"APPROVED"),""))</f>
        <v/>
      </c>
      <c r="W824" s="2" t="str">
        <f t="shared" si="7"/>
        <v/>
      </c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 t="str">
        <f t="shared" si="6"/>
        <v/>
      </c>
      <c r="P825" s="2"/>
      <c r="Q825" s="2"/>
      <c r="R825" s="2"/>
      <c r="S825" s="2"/>
      <c r="T825" s="2"/>
      <c r="U825" s="2"/>
      <c r="V825" s="26" t="str">
        <f>IF(OR($A825="",ISERROR(SEARCH("_",$A825))),"",IFERROR(SUMIFS(Trade_Reports!$Z$3:$Z$502,Trade_Reports!$H$3:$H$502,$A825,Trade_Reports!$M$3:$M$502,"APPROVED")/SUMIFS(Trade_Reports!$U$3:$U$502,Trade_Reports!$H$3:$H$502,$A825,Trade_Reports!$M$3:$M$502,"APPROVED"),""))</f>
        <v/>
      </c>
      <c r="W825" s="2" t="str">
        <f t="shared" si="7"/>
        <v/>
      </c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 t="str">
        <f t="shared" si="6"/>
        <v/>
      </c>
      <c r="P826" s="2"/>
      <c r="Q826" s="2"/>
      <c r="R826" s="2"/>
      <c r="S826" s="2"/>
      <c r="T826" s="2"/>
      <c r="U826" s="2"/>
      <c r="V826" s="26" t="str">
        <f>IF(OR($A826="",ISERROR(SEARCH("_",$A826))),"",IFERROR(SUMIFS(Trade_Reports!$Z$3:$Z$502,Trade_Reports!$H$3:$H$502,$A826,Trade_Reports!$M$3:$M$502,"APPROVED")/SUMIFS(Trade_Reports!$U$3:$U$502,Trade_Reports!$H$3:$H$502,$A826,Trade_Reports!$M$3:$M$502,"APPROVED"),""))</f>
        <v/>
      </c>
      <c r="W826" s="2" t="str">
        <f t="shared" si="7"/>
        <v/>
      </c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 t="str">
        <f t="shared" si="6"/>
        <v/>
      </c>
      <c r="P827" s="2"/>
      <c r="Q827" s="2"/>
      <c r="R827" s="2"/>
      <c r="S827" s="2"/>
      <c r="T827" s="2"/>
      <c r="U827" s="2"/>
      <c r="V827" s="26" t="str">
        <f>IF(OR($A827="",ISERROR(SEARCH("_",$A827))),"",IFERROR(SUMIFS(Trade_Reports!$Z$3:$Z$502,Trade_Reports!$H$3:$H$502,$A827,Trade_Reports!$M$3:$M$502,"APPROVED")/SUMIFS(Trade_Reports!$U$3:$U$502,Trade_Reports!$H$3:$H$502,$A827,Trade_Reports!$M$3:$M$502,"APPROVED"),""))</f>
        <v/>
      </c>
      <c r="W827" s="2" t="str">
        <f t="shared" si="7"/>
        <v/>
      </c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 t="str">
        <f t="shared" si="6"/>
        <v/>
      </c>
      <c r="P828" s="2"/>
      <c r="Q828" s="2"/>
      <c r="R828" s="2"/>
      <c r="S828" s="2"/>
      <c r="T828" s="2"/>
      <c r="U828" s="2"/>
      <c r="V828" s="26" t="str">
        <f>IF(OR($A828="",ISERROR(SEARCH("_",$A828))),"",IFERROR(SUMIFS(Trade_Reports!$Z$3:$Z$502,Trade_Reports!$H$3:$H$502,$A828,Trade_Reports!$M$3:$M$502,"APPROVED")/SUMIFS(Trade_Reports!$U$3:$U$502,Trade_Reports!$H$3:$H$502,$A828,Trade_Reports!$M$3:$M$502,"APPROVED"),""))</f>
        <v/>
      </c>
      <c r="W828" s="2" t="str">
        <f t="shared" si="7"/>
        <v/>
      </c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 t="str">
        <f t="shared" si="6"/>
        <v/>
      </c>
      <c r="P829" s="2"/>
      <c r="Q829" s="2"/>
      <c r="R829" s="2"/>
      <c r="S829" s="2"/>
      <c r="T829" s="2"/>
      <c r="U829" s="2"/>
      <c r="V829" s="26" t="str">
        <f>IF(OR($A829="",ISERROR(SEARCH("_",$A829))),"",IFERROR(SUMIFS(Trade_Reports!$Z$3:$Z$502,Trade_Reports!$H$3:$H$502,$A829,Trade_Reports!$M$3:$M$502,"APPROVED")/SUMIFS(Trade_Reports!$U$3:$U$502,Trade_Reports!$H$3:$H$502,$A829,Trade_Reports!$M$3:$M$502,"APPROVED"),""))</f>
        <v/>
      </c>
      <c r="W829" s="2" t="str">
        <f t="shared" si="7"/>
        <v/>
      </c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 t="str">
        <f t="shared" si="6"/>
        <v/>
      </c>
      <c r="P830" s="2"/>
      <c r="Q830" s="2"/>
      <c r="R830" s="2"/>
      <c r="S830" s="2"/>
      <c r="T830" s="2"/>
      <c r="U830" s="2"/>
      <c r="V830" s="26" t="str">
        <f>IF(OR($A830="",ISERROR(SEARCH("_",$A830))),"",IFERROR(SUMIFS(Trade_Reports!$Z$3:$Z$502,Trade_Reports!$H$3:$H$502,$A830,Trade_Reports!$M$3:$M$502,"APPROVED")/SUMIFS(Trade_Reports!$U$3:$U$502,Trade_Reports!$H$3:$H$502,$A830,Trade_Reports!$M$3:$M$502,"APPROVED"),""))</f>
        <v/>
      </c>
      <c r="W830" s="2" t="str">
        <f t="shared" si="7"/>
        <v/>
      </c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 t="str">
        <f t="shared" si="6"/>
        <v/>
      </c>
      <c r="P831" s="2"/>
      <c r="Q831" s="2"/>
      <c r="R831" s="2"/>
      <c r="S831" s="2"/>
      <c r="T831" s="2"/>
      <c r="U831" s="2"/>
      <c r="V831" s="26" t="str">
        <f>IF(OR($A831="",ISERROR(SEARCH("_",$A831))),"",IFERROR(SUMIFS(Trade_Reports!$Z$3:$Z$502,Trade_Reports!$H$3:$H$502,$A831,Trade_Reports!$M$3:$M$502,"APPROVED")/SUMIFS(Trade_Reports!$U$3:$U$502,Trade_Reports!$H$3:$H$502,$A831,Trade_Reports!$M$3:$M$502,"APPROVED"),""))</f>
        <v/>
      </c>
      <c r="W831" s="2" t="str">
        <f t="shared" si="7"/>
        <v/>
      </c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 t="str">
        <f t="shared" si="6"/>
        <v/>
      </c>
      <c r="P832" s="2"/>
      <c r="Q832" s="2"/>
      <c r="R832" s="2"/>
      <c r="S832" s="2"/>
      <c r="T832" s="2"/>
      <c r="U832" s="2"/>
      <c r="V832" s="26" t="str">
        <f>IF(OR($A832="",ISERROR(SEARCH("_",$A832))),"",IFERROR(SUMIFS(Trade_Reports!$Z$3:$Z$502,Trade_Reports!$H$3:$H$502,$A832,Trade_Reports!$M$3:$M$502,"APPROVED")/SUMIFS(Trade_Reports!$U$3:$U$502,Trade_Reports!$H$3:$H$502,$A832,Trade_Reports!$M$3:$M$502,"APPROVED"),""))</f>
        <v/>
      </c>
      <c r="W832" s="2" t="str">
        <f t="shared" si="7"/>
        <v/>
      </c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 t="str">
        <f t="shared" si="6"/>
        <v/>
      </c>
      <c r="P833" s="2"/>
      <c r="Q833" s="2"/>
      <c r="R833" s="2"/>
      <c r="S833" s="2"/>
      <c r="T833" s="2"/>
      <c r="U833" s="2"/>
      <c r="V833" s="26" t="str">
        <f>IF(OR($A833="",ISERROR(SEARCH("_",$A833))),"",IFERROR(SUMIFS(Trade_Reports!$Z$3:$Z$502,Trade_Reports!$H$3:$H$502,$A833,Trade_Reports!$M$3:$M$502,"APPROVED")/SUMIFS(Trade_Reports!$U$3:$U$502,Trade_Reports!$H$3:$H$502,$A833,Trade_Reports!$M$3:$M$502,"APPROVED"),""))</f>
        <v/>
      </c>
      <c r="W833" s="2" t="str">
        <f t="shared" si="7"/>
        <v/>
      </c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 t="str">
        <f t="shared" si="6"/>
        <v/>
      </c>
      <c r="P834" s="2"/>
      <c r="Q834" s="2"/>
      <c r="R834" s="2"/>
      <c r="S834" s="2"/>
      <c r="T834" s="2"/>
      <c r="U834" s="2"/>
      <c r="V834" s="26" t="str">
        <f>IF(OR($A834="",ISERROR(SEARCH("_",$A834))),"",IFERROR(SUMIFS(Trade_Reports!$Z$3:$Z$502,Trade_Reports!$H$3:$H$502,$A834,Trade_Reports!$M$3:$M$502,"APPROVED")/SUMIFS(Trade_Reports!$U$3:$U$502,Trade_Reports!$H$3:$H$502,$A834,Trade_Reports!$M$3:$M$502,"APPROVED"),""))</f>
        <v/>
      </c>
      <c r="W834" s="2" t="str">
        <f t="shared" si="7"/>
        <v/>
      </c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 t="str">
        <f t="shared" si="6"/>
        <v/>
      </c>
      <c r="P835" s="2"/>
      <c r="Q835" s="2"/>
      <c r="R835" s="2"/>
      <c r="S835" s="2"/>
      <c r="T835" s="2"/>
      <c r="U835" s="2"/>
      <c r="V835" s="26" t="str">
        <f>IF(OR($A835="",ISERROR(SEARCH("_",$A835))),"",IFERROR(SUMIFS(Trade_Reports!$Z$3:$Z$502,Trade_Reports!$H$3:$H$502,$A835,Trade_Reports!$M$3:$M$502,"APPROVED")/SUMIFS(Trade_Reports!$U$3:$U$502,Trade_Reports!$H$3:$H$502,$A835,Trade_Reports!$M$3:$M$502,"APPROVED"),""))</f>
        <v/>
      </c>
      <c r="W835" s="2" t="str">
        <f t="shared" si="7"/>
        <v/>
      </c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 t="str">
        <f t="shared" si="6"/>
        <v/>
      </c>
      <c r="P836" s="2"/>
      <c r="Q836" s="2"/>
      <c r="R836" s="2"/>
      <c r="S836" s="2"/>
      <c r="T836" s="2"/>
      <c r="U836" s="2"/>
      <c r="V836" s="26" t="str">
        <f>IF(OR($A836="",ISERROR(SEARCH("_",$A836))),"",IFERROR(SUMIFS(Trade_Reports!$Z$3:$Z$502,Trade_Reports!$H$3:$H$502,$A836,Trade_Reports!$M$3:$M$502,"APPROVED")/SUMIFS(Trade_Reports!$U$3:$U$502,Trade_Reports!$H$3:$H$502,$A836,Trade_Reports!$M$3:$M$502,"APPROVED"),""))</f>
        <v/>
      </c>
      <c r="W836" s="2" t="str">
        <f t="shared" si="7"/>
        <v/>
      </c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 t="str">
        <f t="shared" si="6"/>
        <v/>
      </c>
      <c r="P837" s="2"/>
      <c r="Q837" s="2"/>
      <c r="R837" s="2"/>
      <c r="S837" s="2"/>
      <c r="T837" s="2"/>
      <c r="U837" s="2"/>
      <c r="V837" s="26" t="str">
        <f>IF(OR($A837="",ISERROR(SEARCH("_",$A837))),"",IFERROR(SUMIFS(Trade_Reports!$Z$3:$Z$502,Trade_Reports!$H$3:$H$502,$A837,Trade_Reports!$M$3:$M$502,"APPROVED")/SUMIFS(Trade_Reports!$U$3:$U$502,Trade_Reports!$H$3:$H$502,$A837,Trade_Reports!$M$3:$M$502,"APPROVED"),""))</f>
        <v/>
      </c>
      <c r="W837" s="2" t="str">
        <f t="shared" si="7"/>
        <v/>
      </c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 t="str">
        <f t="shared" si="6"/>
        <v/>
      </c>
      <c r="P838" s="2"/>
      <c r="Q838" s="2"/>
      <c r="R838" s="2"/>
      <c r="S838" s="2"/>
      <c r="T838" s="2"/>
      <c r="U838" s="2"/>
      <c r="V838" s="26" t="str">
        <f>IF(OR($A838="",ISERROR(SEARCH("_",$A838))),"",IFERROR(SUMIFS(Trade_Reports!$Z$3:$Z$502,Trade_Reports!$H$3:$H$502,$A838,Trade_Reports!$M$3:$M$502,"APPROVED")/SUMIFS(Trade_Reports!$U$3:$U$502,Trade_Reports!$H$3:$H$502,$A838,Trade_Reports!$M$3:$M$502,"APPROVED"),""))</f>
        <v/>
      </c>
      <c r="W838" s="2" t="str">
        <f t="shared" si="7"/>
        <v/>
      </c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 t="str">
        <f t="shared" si="6"/>
        <v/>
      </c>
      <c r="P839" s="2"/>
      <c r="Q839" s="2"/>
      <c r="R839" s="2"/>
      <c r="S839" s="2"/>
      <c r="T839" s="2"/>
      <c r="U839" s="2"/>
      <c r="V839" s="26" t="str">
        <f>IF(OR($A839="",ISERROR(SEARCH("_",$A839))),"",IFERROR(SUMIFS(Trade_Reports!$Z$3:$Z$502,Trade_Reports!$H$3:$H$502,$A839,Trade_Reports!$M$3:$M$502,"APPROVED")/SUMIFS(Trade_Reports!$U$3:$U$502,Trade_Reports!$H$3:$H$502,$A839,Trade_Reports!$M$3:$M$502,"APPROVED"),""))</f>
        <v/>
      </c>
      <c r="W839" s="2" t="str">
        <f t="shared" si="7"/>
        <v/>
      </c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 t="str">
        <f t="shared" si="6"/>
        <v/>
      </c>
      <c r="P840" s="2"/>
      <c r="Q840" s="2"/>
      <c r="R840" s="2"/>
      <c r="S840" s="2"/>
      <c r="T840" s="2"/>
      <c r="U840" s="2"/>
      <c r="V840" s="26" t="str">
        <f>IF(OR($A840="",ISERROR(SEARCH("_",$A840))),"",IFERROR(SUMIFS(Trade_Reports!$Z$3:$Z$502,Trade_Reports!$H$3:$H$502,$A840,Trade_Reports!$M$3:$M$502,"APPROVED")/SUMIFS(Trade_Reports!$U$3:$U$502,Trade_Reports!$H$3:$H$502,$A840,Trade_Reports!$M$3:$M$502,"APPROVED"),""))</f>
        <v/>
      </c>
      <c r="W840" s="2" t="str">
        <f t="shared" si="7"/>
        <v/>
      </c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 t="str">
        <f t="shared" si="6"/>
        <v/>
      </c>
      <c r="P841" s="2"/>
      <c r="Q841" s="2"/>
      <c r="R841" s="2"/>
      <c r="S841" s="2"/>
      <c r="T841" s="2"/>
      <c r="U841" s="2"/>
      <c r="V841" s="26" t="str">
        <f>IF(OR($A841="",ISERROR(SEARCH("_",$A841))),"",IFERROR(SUMIFS(Trade_Reports!$Z$3:$Z$502,Trade_Reports!$H$3:$H$502,$A841,Trade_Reports!$M$3:$M$502,"APPROVED")/SUMIFS(Trade_Reports!$U$3:$U$502,Trade_Reports!$H$3:$H$502,$A841,Trade_Reports!$M$3:$M$502,"APPROVED"),""))</f>
        <v/>
      </c>
      <c r="W841" s="2" t="str">
        <f t="shared" si="7"/>
        <v/>
      </c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 t="str">
        <f t="shared" si="6"/>
        <v/>
      </c>
      <c r="P842" s="2"/>
      <c r="Q842" s="2"/>
      <c r="R842" s="2"/>
      <c r="S842" s="2"/>
      <c r="T842" s="2"/>
      <c r="U842" s="2"/>
      <c r="V842" s="26" t="str">
        <f>IF(OR($A842="",ISERROR(SEARCH("_",$A842))),"",IFERROR(SUMIFS(Trade_Reports!$Z$3:$Z$502,Trade_Reports!$H$3:$H$502,$A842,Trade_Reports!$M$3:$M$502,"APPROVED")/SUMIFS(Trade_Reports!$U$3:$U$502,Trade_Reports!$H$3:$H$502,$A842,Trade_Reports!$M$3:$M$502,"APPROVED"),""))</f>
        <v/>
      </c>
      <c r="W842" s="2" t="str">
        <f t="shared" si="7"/>
        <v/>
      </c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 t="str">
        <f t="shared" si="6"/>
        <v/>
      </c>
      <c r="P843" s="2"/>
      <c r="Q843" s="2"/>
      <c r="R843" s="2"/>
      <c r="S843" s="2"/>
      <c r="T843" s="2"/>
      <c r="U843" s="2"/>
      <c r="V843" s="26" t="str">
        <f>IF(OR($A843="",ISERROR(SEARCH("_",$A843))),"",IFERROR(SUMIFS(Trade_Reports!$Z$3:$Z$502,Trade_Reports!$H$3:$H$502,$A843,Trade_Reports!$M$3:$M$502,"APPROVED")/SUMIFS(Trade_Reports!$U$3:$U$502,Trade_Reports!$H$3:$H$502,$A843,Trade_Reports!$M$3:$M$502,"APPROVED"),""))</f>
        <v/>
      </c>
      <c r="W843" s="2" t="str">
        <f t="shared" si="7"/>
        <v/>
      </c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 t="str">
        <f t="shared" si="6"/>
        <v/>
      </c>
      <c r="P844" s="2"/>
      <c r="Q844" s="2"/>
      <c r="R844" s="2"/>
      <c r="S844" s="2"/>
      <c r="T844" s="2"/>
      <c r="U844" s="2"/>
      <c r="V844" s="26" t="str">
        <f>IF(OR($A844="",ISERROR(SEARCH("_",$A844))),"",IFERROR(SUMIFS(Trade_Reports!$Z$3:$Z$502,Trade_Reports!$H$3:$H$502,$A844,Trade_Reports!$M$3:$M$502,"APPROVED")/SUMIFS(Trade_Reports!$U$3:$U$502,Trade_Reports!$H$3:$H$502,$A844,Trade_Reports!$M$3:$M$502,"APPROVED"),""))</f>
        <v/>
      </c>
      <c r="W844" s="2" t="str">
        <f t="shared" si="7"/>
        <v/>
      </c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 t="str">
        <f t="shared" si="6"/>
        <v/>
      </c>
      <c r="P845" s="2"/>
      <c r="Q845" s="2"/>
      <c r="R845" s="2"/>
      <c r="S845" s="2"/>
      <c r="T845" s="2"/>
      <c r="U845" s="2"/>
      <c r="V845" s="26" t="str">
        <f>IF(OR($A845="",ISERROR(SEARCH("_",$A845))),"",IFERROR(SUMIFS(Trade_Reports!$Z$3:$Z$502,Trade_Reports!$H$3:$H$502,$A845,Trade_Reports!$M$3:$M$502,"APPROVED")/SUMIFS(Trade_Reports!$U$3:$U$502,Trade_Reports!$H$3:$H$502,$A845,Trade_Reports!$M$3:$M$502,"APPROVED"),""))</f>
        <v/>
      </c>
      <c r="W845" s="2" t="str">
        <f t="shared" si="7"/>
        <v/>
      </c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 t="str">
        <f t="shared" si="6"/>
        <v/>
      </c>
      <c r="P846" s="2"/>
      <c r="Q846" s="2"/>
      <c r="R846" s="2"/>
      <c r="S846" s="2"/>
      <c r="T846" s="2"/>
      <c r="U846" s="2"/>
      <c r="V846" s="26" t="str">
        <f>IF(OR($A846="",ISERROR(SEARCH("_",$A846))),"",IFERROR(SUMIFS(Trade_Reports!$Z$3:$Z$502,Trade_Reports!$H$3:$H$502,$A846,Trade_Reports!$M$3:$M$502,"APPROVED")/SUMIFS(Trade_Reports!$U$3:$U$502,Trade_Reports!$H$3:$H$502,$A846,Trade_Reports!$M$3:$M$502,"APPROVED"),""))</f>
        <v/>
      </c>
      <c r="W846" s="2" t="str">
        <f t="shared" si="7"/>
        <v/>
      </c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 t="str">
        <f t="shared" si="6"/>
        <v/>
      </c>
      <c r="P847" s="2"/>
      <c r="Q847" s="2"/>
      <c r="R847" s="2"/>
      <c r="S847" s="2"/>
      <c r="T847" s="2"/>
      <c r="U847" s="2"/>
      <c r="V847" s="26" t="str">
        <f>IF(OR($A847="",ISERROR(SEARCH("_",$A847))),"",IFERROR(SUMIFS(Trade_Reports!$Z$3:$Z$502,Trade_Reports!$H$3:$H$502,$A847,Trade_Reports!$M$3:$M$502,"APPROVED")/SUMIFS(Trade_Reports!$U$3:$U$502,Trade_Reports!$H$3:$H$502,$A847,Trade_Reports!$M$3:$M$502,"APPROVED"),""))</f>
        <v/>
      </c>
      <c r="W847" s="2" t="str">
        <f t="shared" si="7"/>
        <v/>
      </c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 t="str">
        <f t="shared" si="6"/>
        <v/>
      </c>
      <c r="P848" s="2"/>
      <c r="Q848" s="2"/>
      <c r="R848" s="2"/>
      <c r="S848" s="2"/>
      <c r="T848" s="2"/>
      <c r="U848" s="2"/>
      <c r="V848" s="26" t="str">
        <f>IF(OR($A848="",ISERROR(SEARCH("_",$A848))),"",IFERROR(SUMIFS(Trade_Reports!$Z$3:$Z$502,Trade_Reports!$H$3:$H$502,$A848,Trade_Reports!$M$3:$M$502,"APPROVED")/SUMIFS(Trade_Reports!$U$3:$U$502,Trade_Reports!$H$3:$H$502,$A848,Trade_Reports!$M$3:$M$502,"APPROVED"),""))</f>
        <v/>
      </c>
      <c r="W848" s="2" t="str">
        <f t="shared" si="7"/>
        <v/>
      </c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 t="str">
        <f t="shared" si="6"/>
        <v/>
      </c>
      <c r="P849" s="2"/>
      <c r="Q849" s="2"/>
      <c r="R849" s="2"/>
      <c r="S849" s="2"/>
      <c r="T849" s="2"/>
      <c r="U849" s="2"/>
      <c r="V849" s="26" t="str">
        <f>IF(OR($A849="",ISERROR(SEARCH("_",$A849))),"",IFERROR(SUMIFS(Trade_Reports!$Z$3:$Z$502,Trade_Reports!$H$3:$H$502,$A849,Trade_Reports!$M$3:$M$502,"APPROVED")/SUMIFS(Trade_Reports!$U$3:$U$502,Trade_Reports!$H$3:$H$502,$A849,Trade_Reports!$M$3:$M$502,"APPROVED"),""))</f>
        <v/>
      </c>
      <c r="W849" s="2" t="str">
        <f t="shared" si="7"/>
        <v/>
      </c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 t="str">
        <f t="shared" si="6"/>
        <v/>
      </c>
      <c r="P850" s="2"/>
      <c r="Q850" s="2"/>
      <c r="R850" s="2"/>
      <c r="S850" s="2"/>
      <c r="T850" s="2"/>
      <c r="U850" s="2"/>
      <c r="V850" s="26" t="str">
        <f>IF(OR($A850="",ISERROR(SEARCH("_",$A850))),"",IFERROR(SUMIFS(Trade_Reports!$Z$3:$Z$502,Trade_Reports!$H$3:$H$502,$A850,Trade_Reports!$M$3:$M$502,"APPROVED")/SUMIFS(Trade_Reports!$U$3:$U$502,Trade_Reports!$H$3:$H$502,$A850,Trade_Reports!$M$3:$M$502,"APPROVED"),""))</f>
        <v/>
      </c>
      <c r="W850" s="2" t="str">
        <f t="shared" si="7"/>
        <v/>
      </c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 t="str">
        <f t="shared" si="6"/>
        <v/>
      </c>
      <c r="P851" s="2"/>
      <c r="Q851" s="2"/>
      <c r="R851" s="2"/>
      <c r="S851" s="2"/>
      <c r="T851" s="2"/>
      <c r="U851" s="2"/>
      <c r="V851" s="26" t="str">
        <f>IF(OR($A851="",ISERROR(SEARCH("_",$A851))),"",IFERROR(SUMIFS(Trade_Reports!$Z$3:$Z$502,Trade_Reports!$H$3:$H$502,$A851,Trade_Reports!$M$3:$M$502,"APPROVED")/SUMIFS(Trade_Reports!$U$3:$U$502,Trade_Reports!$H$3:$H$502,$A851,Trade_Reports!$M$3:$M$502,"APPROVED"),""))</f>
        <v/>
      </c>
      <c r="W851" s="2" t="str">
        <f t="shared" si="7"/>
        <v/>
      </c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 t="str">
        <f t="shared" si="6"/>
        <v/>
      </c>
      <c r="P852" s="2"/>
      <c r="Q852" s="2"/>
      <c r="R852" s="2"/>
      <c r="S852" s="2"/>
      <c r="T852" s="2"/>
      <c r="U852" s="2"/>
      <c r="V852" s="26" t="str">
        <f>IF(OR($A852="",ISERROR(SEARCH("_",$A852))),"",IFERROR(SUMIFS(Trade_Reports!$Z$3:$Z$502,Trade_Reports!$H$3:$H$502,$A852,Trade_Reports!$M$3:$M$502,"APPROVED")/SUMIFS(Trade_Reports!$U$3:$U$502,Trade_Reports!$H$3:$H$502,$A852,Trade_Reports!$M$3:$M$502,"APPROVED"),""))</f>
        <v/>
      </c>
      <c r="W852" s="2" t="str">
        <f t="shared" si="7"/>
        <v/>
      </c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 t="str">
        <f t="shared" si="6"/>
        <v/>
      </c>
      <c r="P853" s="2"/>
      <c r="Q853" s="2"/>
      <c r="R853" s="2"/>
      <c r="S853" s="2"/>
      <c r="T853" s="2"/>
      <c r="U853" s="2"/>
      <c r="V853" s="26" t="str">
        <f>IF(OR($A853="",ISERROR(SEARCH("_",$A853))),"",IFERROR(SUMIFS(Trade_Reports!$Z$3:$Z$502,Trade_Reports!$H$3:$H$502,$A853,Trade_Reports!$M$3:$M$502,"APPROVED")/SUMIFS(Trade_Reports!$U$3:$U$502,Trade_Reports!$H$3:$H$502,$A853,Trade_Reports!$M$3:$M$502,"APPROVED"),""))</f>
        <v/>
      </c>
      <c r="W853" s="2" t="str">
        <f t="shared" si="7"/>
        <v/>
      </c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 t="str">
        <f t="shared" si="6"/>
        <v/>
      </c>
      <c r="P854" s="2"/>
      <c r="Q854" s="2"/>
      <c r="R854" s="2"/>
      <c r="S854" s="2"/>
      <c r="T854" s="2"/>
      <c r="U854" s="2"/>
      <c r="V854" s="26" t="str">
        <f>IF(OR($A854="",ISERROR(SEARCH("_",$A854))),"",IFERROR(SUMIFS(Trade_Reports!$Z$3:$Z$502,Trade_Reports!$H$3:$H$502,$A854,Trade_Reports!$M$3:$M$502,"APPROVED")/SUMIFS(Trade_Reports!$U$3:$U$502,Trade_Reports!$H$3:$H$502,$A854,Trade_Reports!$M$3:$M$502,"APPROVED"),""))</f>
        <v/>
      </c>
      <c r="W854" s="2" t="str">
        <f t="shared" si="7"/>
        <v/>
      </c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 t="str">
        <f t="shared" si="6"/>
        <v/>
      </c>
      <c r="P855" s="2"/>
      <c r="Q855" s="2"/>
      <c r="R855" s="2"/>
      <c r="S855" s="2"/>
      <c r="T855" s="2"/>
      <c r="U855" s="2"/>
      <c r="V855" s="26" t="str">
        <f>IF(OR($A855="",ISERROR(SEARCH("_",$A855))),"",IFERROR(SUMIFS(Trade_Reports!$Z$3:$Z$502,Trade_Reports!$H$3:$H$502,$A855,Trade_Reports!$M$3:$M$502,"APPROVED")/SUMIFS(Trade_Reports!$U$3:$U$502,Trade_Reports!$H$3:$H$502,$A855,Trade_Reports!$M$3:$M$502,"APPROVED"),""))</f>
        <v/>
      </c>
      <c r="W855" s="2" t="str">
        <f t="shared" si="7"/>
        <v/>
      </c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 t="str">
        <f t="shared" si="6"/>
        <v/>
      </c>
      <c r="P856" s="2"/>
      <c r="Q856" s="2"/>
      <c r="R856" s="2"/>
      <c r="S856" s="2"/>
      <c r="T856" s="2"/>
      <c r="U856" s="2"/>
      <c r="V856" s="26" t="str">
        <f>IF(OR($A856="",ISERROR(SEARCH("_",$A856))),"",IFERROR(SUMIFS(Trade_Reports!$Z$3:$Z$502,Trade_Reports!$H$3:$H$502,$A856,Trade_Reports!$M$3:$M$502,"APPROVED")/SUMIFS(Trade_Reports!$U$3:$U$502,Trade_Reports!$H$3:$H$502,$A856,Trade_Reports!$M$3:$M$502,"APPROVED"),""))</f>
        <v/>
      </c>
      <c r="W856" s="2" t="str">
        <f t="shared" si="7"/>
        <v/>
      </c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 t="str">
        <f t="shared" si="6"/>
        <v/>
      </c>
      <c r="P857" s="2"/>
      <c r="Q857" s="2"/>
      <c r="R857" s="2"/>
      <c r="S857" s="2"/>
      <c r="T857" s="2"/>
      <c r="U857" s="2"/>
      <c r="V857" s="26" t="str">
        <f>IF(OR($A857="",ISERROR(SEARCH("_",$A857))),"",IFERROR(SUMIFS(Trade_Reports!$Z$3:$Z$502,Trade_Reports!$H$3:$H$502,$A857,Trade_Reports!$M$3:$M$502,"APPROVED")/SUMIFS(Trade_Reports!$U$3:$U$502,Trade_Reports!$H$3:$H$502,$A857,Trade_Reports!$M$3:$M$502,"APPROVED"),""))</f>
        <v/>
      </c>
      <c r="W857" s="2" t="str">
        <f t="shared" si="7"/>
        <v/>
      </c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 t="str">
        <f t="shared" si="6"/>
        <v/>
      </c>
      <c r="P858" s="2"/>
      <c r="Q858" s="2"/>
      <c r="R858" s="2"/>
      <c r="S858" s="2"/>
      <c r="T858" s="2"/>
      <c r="U858" s="2"/>
      <c r="V858" s="26" t="str">
        <f>IF(OR($A858="",ISERROR(SEARCH("_",$A858))),"",IFERROR(SUMIFS(Trade_Reports!$Z$3:$Z$502,Trade_Reports!$H$3:$H$502,$A858,Trade_Reports!$M$3:$M$502,"APPROVED")/SUMIFS(Trade_Reports!$U$3:$U$502,Trade_Reports!$H$3:$H$502,$A858,Trade_Reports!$M$3:$M$502,"APPROVED"),""))</f>
        <v/>
      </c>
      <c r="W858" s="2" t="str">
        <f t="shared" si="7"/>
        <v/>
      </c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 t="str">
        <f t="shared" si="6"/>
        <v/>
      </c>
      <c r="P859" s="2"/>
      <c r="Q859" s="2"/>
      <c r="R859" s="2"/>
      <c r="S859" s="2"/>
      <c r="T859" s="2"/>
      <c r="U859" s="2"/>
      <c r="V859" s="26" t="str">
        <f>IF(OR($A859="",ISERROR(SEARCH("_",$A859))),"",IFERROR(SUMIFS(Trade_Reports!$Z$3:$Z$502,Trade_Reports!$H$3:$H$502,$A859,Trade_Reports!$M$3:$M$502,"APPROVED")/SUMIFS(Trade_Reports!$U$3:$U$502,Trade_Reports!$H$3:$H$502,$A859,Trade_Reports!$M$3:$M$502,"APPROVED"),""))</f>
        <v/>
      </c>
      <c r="W859" s="2" t="str">
        <f t="shared" si="7"/>
        <v/>
      </c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 t="str">
        <f t="shared" si="6"/>
        <v/>
      </c>
      <c r="P860" s="2"/>
      <c r="Q860" s="2"/>
      <c r="R860" s="2"/>
      <c r="S860" s="2"/>
      <c r="T860" s="2"/>
      <c r="U860" s="2"/>
      <c r="V860" s="26" t="str">
        <f>IF(OR($A860="",ISERROR(SEARCH("_",$A860))),"",IFERROR(SUMIFS(Trade_Reports!$Z$3:$Z$502,Trade_Reports!$H$3:$H$502,$A860,Trade_Reports!$M$3:$M$502,"APPROVED")/SUMIFS(Trade_Reports!$U$3:$U$502,Trade_Reports!$H$3:$H$502,$A860,Trade_Reports!$M$3:$M$502,"APPROVED"),""))</f>
        <v/>
      </c>
      <c r="W860" s="2" t="str">
        <f t="shared" si="7"/>
        <v/>
      </c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 t="str">
        <f t="shared" si="6"/>
        <v/>
      </c>
      <c r="P861" s="2"/>
      <c r="Q861" s="2"/>
      <c r="R861" s="2"/>
      <c r="S861" s="2"/>
      <c r="T861" s="2"/>
      <c r="U861" s="2"/>
      <c r="V861" s="26" t="str">
        <f>IF(OR($A861="",ISERROR(SEARCH("_",$A861))),"",IFERROR(SUMIFS(Trade_Reports!$Z$3:$Z$502,Trade_Reports!$H$3:$H$502,$A861,Trade_Reports!$M$3:$M$502,"APPROVED")/SUMIFS(Trade_Reports!$U$3:$U$502,Trade_Reports!$H$3:$H$502,$A861,Trade_Reports!$M$3:$M$502,"APPROVED"),""))</f>
        <v/>
      </c>
      <c r="W861" s="2" t="str">
        <f t="shared" si="7"/>
        <v/>
      </c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 t="str">
        <f t="shared" si="6"/>
        <v/>
      </c>
      <c r="P862" s="2"/>
      <c r="Q862" s="2"/>
      <c r="R862" s="2"/>
      <c r="S862" s="2"/>
      <c r="T862" s="2"/>
      <c r="U862" s="2"/>
      <c r="V862" s="26" t="str">
        <f>IF(OR($A862="",ISERROR(SEARCH("_",$A862))),"",IFERROR(SUMIFS(Trade_Reports!$Z$3:$Z$502,Trade_Reports!$H$3:$H$502,$A862,Trade_Reports!$M$3:$M$502,"APPROVED")/SUMIFS(Trade_Reports!$U$3:$U$502,Trade_Reports!$H$3:$H$502,$A862,Trade_Reports!$M$3:$M$502,"APPROVED"),""))</f>
        <v/>
      </c>
      <c r="W862" s="2" t="str">
        <f t="shared" si="7"/>
        <v/>
      </c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 t="str">
        <f t="shared" si="6"/>
        <v/>
      </c>
      <c r="P863" s="2"/>
      <c r="Q863" s="2"/>
      <c r="R863" s="2"/>
      <c r="S863" s="2"/>
      <c r="T863" s="2"/>
      <c r="U863" s="2"/>
      <c r="V863" s="26" t="str">
        <f>IF(OR($A863="",ISERROR(SEARCH("_",$A863))),"",IFERROR(SUMIFS(Trade_Reports!$Z$3:$Z$502,Trade_Reports!$H$3:$H$502,$A863,Trade_Reports!$M$3:$M$502,"APPROVED")/SUMIFS(Trade_Reports!$U$3:$U$502,Trade_Reports!$H$3:$H$502,$A863,Trade_Reports!$M$3:$M$502,"APPROVED"),""))</f>
        <v/>
      </c>
      <c r="W863" s="2" t="str">
        <f t="shared" si="7"/>
        <v/>
      </c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 t="str">
        <f t="shared" si="6"/>
        <v/>
      </c>
      <c r="P864" s="2"/>
      <c r="Q864" s="2"/>
      <c r="R864" s="2"/>
      <c r="S864" s="2"/>
      <c r="T864" s="2"/>
      <c r="U864" s="2"/>
      <c r="V864" s="26" t="str">
        <f>IF(OR($A864="",ISERROR(SEARCH("_",$A864))),"",IFERROR(SUMIFS(Trade_Reports!$Z$3:$Z$502,Trade_Reports!$H$3:$H$502,$A864,Trade_Reports!$M$3:$M$502,"APPROVED")/SUMIFS(Trade_Reports!$U$3:$U$502,Trade_Reports!$H$3:$H$502,$A864,Trade_Reports!$M$3:$M$502,"APPROVED"),""))</f>
        <v/>
      </c>
      <c r="W864" s="2" t="str">
        <f t="shared" si="7"/>
        <v/>
      </c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 t="str">
        <f t="shared" si="6"/>
        <v/>
      </c>
      <c r="P865" s="2"/>
      <c r="Q865" s="2"/>
      <c r="R865" s="2"/>
      <c r="S865" s="2"/>
      <c r="T865" s="2"/>
      <c r="U865" s="2"/>
      <c r="V865" s="26" t="str">
        <f>IF(OR($A865="",ISERROR(SEARCH("_",$A865))),"",IFERROR(SUMIFS(Trade_Reports!$Z$3:$Z$502,Trade_Reports!$H$3:$H$502,$A865,Trade_Reports!$M$3:$M$502,"APPROVED")/SUMIFS(Trade_Reports!$U$3:$U$502,Trade_Reports!$H$3:$H$502,$A865,Trade_Reports!$M$3:$M$502,"APPROVED"),""))</f>
        <v/>
      </c>
      <c r="W865" s="2" t="str">
        <f t="shared" si="7"/>
        <v/>
      </c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 t="str">
        <f t="shared" si="6"/>
        <v/>
      </c>
      <c r="P866" s="2"/>
      <c r="Q866" s="2"/>
      <c r="R866" s="2"/>
      <c r="S866" s="2"/>
      <c r="T866" s="2"/>
      <c r="U866" s="2"/>
      <c r="V866" s="26" t="str">
        <f>IF(OR($A866="",ISERROR(SEARCH("_",$A866))),"",IFERROR(SUMIFS(Trade_Reports!$Z$3:$Z$502,Trade_Reports!$H$3:$H$502,$A866,Trade_Reports!$M$3:$M$502,"APPROVED")/SUMIFS(Trade_Reports!$U$3:$U$502,Trade_Reports!$H$3:$H$502,$A866,Trade_Reports!$M$3:$M$502,"APPROVED"),""))</f>
        <v/>
      </c>
      <c r="W866" s="2" t="str">
        <f t="shared" si="7"/>
        <v/>
      </c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 t="str">
        <f t="shared" si="6"/>
        <v/>
      </c>
      <c r="P867" s="2"/>
      <c r="Q867" s="2"/>
      <c r="R867" s="2"/>
      <c r="S867" s="2"/>
      <c r="T867" s="2"/>
      <c r="U867" s="2"/>
      <c r="V867" s="26" t="str">
        <f>IF(OR($A867="",ISERROR(SEARCH("_",$A867))),"",IFERROR(SUMIFS(Trade_Reports!$Z$3:$Z$502,Trade_Reports!$H$3:$H$502,$A867,Trade_Reports!$M$3:$M$502,"APPROVED")/SUMIFS(Trade_Reports!$U$3:$U$502,Trade_Reports!$H$3:$H$502,$A867,Trade_Reports!$M$3:$M$502,"APPROVED"),""))</f>
        <v/>
      </c>
      <c r="W867" s="2" t="str">
        <f t="shared" si="7"/>
        <v/>
      </c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 t="str">
        <f t="shared" si="6"/>
        <v/>
      </c>
      <c r="P868" s="2"/>
      <c r="Q868" s="2"/>
      <c r="R868" s="2"/>
      <c r="S868" s="2"/>
      <c r="T868" s="2"/>
      <c r="U868" s="2"/>
      <c r="V868" s="26" t="str">
        <f>IF(OR($A868="",ISERROR(SEARCH("_",$A868))),"",IFERROR(SUMIFS(Trade_Reports!$Z$3:$Z$502,Trade_Reports!$H$3:$H$502,$A868,Trade_Reports!$M$3:$M$502,"APPROVED")/SUMIFS(Trade_Reports!$U$3:$U$502,Trade_Reports!$H$3:$H$502,$A868,Trade_Reports!$M$3:$M$502,"APPROVED"),""))</f>
        <v/>
      </c>
      <c r="W868" s="2" t="str">
        <f t="shared" si="7"/>
        <v/>
      </c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 t="str">
        <f t="shared" si="6"/>
        <v/>
      </c>
      <c r="P869" s="2"/>
      <c r="Q869" s="2"/>
      <c r="R869" s="2"/>
      <c r="S869" s="2"/>
      <c r="T869" s="2"/>
      <c r="U869" s="2"/>
      <c r="V869" s="26" t="str">
        <f>IF(OR($A869="",ISERROR(SEARCH("_",$A869))),"",IFERROR(SUMIFS(Trade_Reports!$Z$3:$Z$502,Trade_Reports!$H$3:$H$502,$A869,Trade_Reports!$M$3:$M$502,"APPROVED")/SUMIFS(Trade_Reports!$U$3:$U$502,Trade_Reports!$H$3:$H$502,$A869,Trade_Reports!$M$3:$M$502,"APPROVED"),""))</f>
        <v/>
      </c>
      <c r="W869" s="2" t="str">
        <f t="shared" si="7"/>
        <v/>
      </c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 t="str">
        <f t="shared" si="6"/>
        <v/>
      </c>
      <c r="P870" s="2"/>
      <c r="Q870" s="2"/>
      <c r="R870" s="2"/>
      <c r="S870" s="2"/>
      <c r="T870" s="2"/>
      <c r="U870" s="2"/>
      <c r="V870" s="26" t="str">
        <f>IF(OR($A870="",ISERROR(SEARCH("_",$A870))),"",IFERROR(SUMIFS(Trade_Reports!$Z$3:$Z$502,Trade_Reports!$H$3:$H$502,$A870,Trade_Reports!$M$3:$M$502,"APPROVED")/SUMIFS(Trade_Reports!$U$3:$U$502,Trade_Reports!$H$3:$H$502,$A870,Trade_Reports!$M$3:$M$502,"APPROVED"),""))</f>
        <v/>
      </c>
      <c r="W870" s="2" t="str">
        <f t="shared" si="7"/>
        <v/>
      </c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 t="str">
        <f t="shared" si="6"/>
        <v/>
      </c>
      <c r="P871" s="2"/>
      <c r="Q871" s="2"/>
      <c r="R871" s="2"/>
      <c r="S871" s="2"/>
      <c r="T871" s="2"/>
      <c r="U871" s="2"/>
      <c r="V871" s="26" t="str">
        <f>IF(OR($A871="",ISERROR(SEARCH("_",$A871))),"",IFERROR(SUMIFS(Trade_Reports!$Z$3:$Z$502,Trade_Reports!$H$3:$H$502,$A871,Trade_Reports!$M$3:$M$502,"APPROVED")/SUMIFS(Trade_Reports!$U$3:$U$502,Trade_Reports!$H$3:$H$502,$A871,Trade_Reports!$M$3:$M$502,"APPROVED"),""))</f>
        <v/>
      </c>
      <c r="W871" s="2" t="str">
        <f t="shared" si="7"/>
        <v/>
      </c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 t="str">
        <f t="shared" si="6"/>
        <v/>
      </c>
      <c r="P872" s="2"/>
      <c r="Q872" s="2"/>
      <c r="R872" s="2"/>
      <c r="S872" s="2"/>
      <c r="T872" s="2"/>
      <c r="U872" s="2"/>
      <c r="V872" s="26" t="str">
        <f>IF(OR($A872="",ISERROR(SEARCH("_",$A872))),"",IFERROR(SUMIFS(Trade_Reports!$Z$3:$Z$502,Trade_Reports!$H$3:$H$502,$A872,Trade_Reports!$M$3:$M$502,"APPROVED")/SUMIFS(Trade_Reports!$U$3:$U$502,Trade_Reports!$H$3:$H$502,$A872,Trade_Reports!$M$3:$M$502,"APPROVED"),""))</f>
        <v/>
      </c>
      <c r="W872" s="2" t="str">
        <f t="shared" si="7"/>
        <v/>
      </c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 t="str">
        <f t="shared" si="6"/>
        <v/>
      </c>
      <c r="P873" s="2"/>
      <c r="Q873" s="2"/>
      <c r="R873" s="2"/>
      <c r="S873" s="2"/>
      <c r="T873" s="2"/>
      <c r="U873" s="2"/>
      <c r="V873" s="26" t="str">
        <f>IF(OR($A873="",ISERROR(SEARCH("_",$A873))),"",IFERROR(SUMIFS(Trade_Reports!$Z$3:$Z$502,Trade_Reports!$H$3:$H$502,$A873,Trade_Reports!$M$3:$M$502,"APPROVED")/SUMIFS(Trade_Reports!$U$3:$U$502,Trade_Reports!$H$3:$H$502,$A873,Trade_Reports!$M$3:$M$502,"APPROVED"),""))</f>
        <v/>
      </c>
      <c r="W873" s="2" t="str">
        <f t="shared" si="7"/>
        <v/>
      </c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 t="str">
        <f t="shared" si="6"/>
        <v/>
      </c>
      <c r="P874" s="2"/>
      <c r="Q874" s="2"/>
      <c r="R874" s="2"/>
      <c r="S874" s="2"/>
      <c r="T874" s="2"/>
      <c r="U874" s="2"/>
      <c r="V874" s="26" t="str">
        <f>IF(OR($A874="",ISERROR(SEARCH("_",$A874))),"",IFERROR(SUMIFS(Trade_Reports!$Z$3:$Z$502,Trade_Reports!$H$3:$H$502,$A874,Trade_Reports!$M$3:$M$502,"APPROVED")/SUMIFS(Trade_Reports!$U$3:$U$502,Trade_Reports!$H$3:$H$502,$A874,Trade_Reports!$M$3:$M$502,"APPROVED"),""))</f>
        <v/>
      </c>
      <c r="W874" s="2" t="str">
        <f t="shared" si="7"/>
        <v/>
      </c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 t="str">
        <f t="shared" si="6"/>
        <v/>
      </c>
      <c r="P875" s="2"/>
      <c r="Q875" s="2"/>
      <c r="R875" s="2"/>
      <c r="S875" s="2"/>
      <c r="T875" s="2"/>
      <c r="U875" s="2"/>
      <c r="V875" s="26" t="str">
        <f>IF(OR($A875="",ISERROR(SEARCH("_",$A875))),"",IFERROR(SUMIFS(Trade_Reports!$Z$3:$Z$502,Trade_Reports!$H$3:$H$502,$A875,Trade_Reports!$M$3:$M$502,"APPROVED")/SUMIFS(Trade_Reports!$U$3:$U$502,Trade_Reports!$H$3:$H$502,$A875,Trade_Reports!$M$3:$M$502,"APPROVED"),""))</f>
        <v/>
      </c>
      <c r="W875" s="2" t="str">
        <f t="shared" si="7"/>
        <v/>
      </c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 t="str">
        <f t="shared" si="6"/>
        <v/>
      </c>
      <c r="P876" s="2"/>
      <c r="Q876" s="2"/>
      <c r="R876" s="2"/>
      <c r="S876" s="2"/>
      <c r="T876" s="2"/>
      <c r="U876" s="2"/>
      <c r="V876" s="26" t="str">
        <f>IF(OR($A876="",ISERROR(SEARCH("_",$A876))),"",IFERROR(SUMIFS(Trade_Reports!$Z$3:$Z$502,Trade_Reports!$H$3:$H$502,$A876,Trade_Reports!$M$3:$M$502,"APPROVED")/SUMIFS(Trade_Reports!$U$3:$U$502,Trade_Reports!$H$3:$H$502,$A876,Trade_Reports!$M$3:$M$502,"APPROVED"),""))</f>
        <v/>
      </c>
      <c r="W876" s="2" t="str">
        <f t="shared" si="7"/>
        <v/>
      </c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 t="str">
        <f t="shared" si="6"/>
        <v/>
      </c>
      <c r="P877" s="2"/>
      <c r="Q877" s="2"/>
      <c r="R877" s="2"/>
      <c r="S877" s="2"/>
      <c r="T877" s="2"/>
      <c r="U877" s="2"/>
      <c r="V877" s="26" t="str">
        <f>IF(OR($A877="",ISERROR(SEARCH("_",$A877))),"",IFERROR(SUMIFS(Trade_Reports!$Z$3:$Z$502,Trade_Reports!$H$3:$H$502,$A877,Trade_Reports!$M$3:$M$502,"APPROVED")/SUMIFS(Trade_Reports!$U$3:$U$502,Trade_Reports!$H$3:$H$502,$A877,Trade_Reports!$M$3:$M$502,"APPROVED"),""))</f>
        <v/>
      </c>
      <c r="W877" s="2" t="str">
        <f t="shared" si="7"/>
        <v/>
      </c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 t="str">
        <f t="shared" si="6"/>
        <v/>
      </c>
      <c r="P878" s="2"/>
      <c r="Q878" s="2"/>
      <c r="R878" s="2"/>
      <c r="S878" s="2"/>
      <c r="T878" s="2"/>
      <c r="U878" s="2"/>
      <c r="V878" s="26" t="str">
        <f>IF(OR($A878="",ISERROR(SEARCH("_",$A878))),"",IFERROR(SUMIFS(Trade_Reports!$Z$3:$Z$502,Trade_Reports!$H$3:$H$502,$A878,Trade_Reports!$M$3:$M$502,"APPROVED")/SUMIFS(Trade_Reports!$U$3:$U$502,Trade_Reports!$H$3:$H$502,$A878,Trade_Reports!$M$3:$M$502,"APPROVED"),""))</f>
        <v/>
      </c>
      <c r="W878" s="2" t="str">
        <f t="shared" si="7"/>
        <v/>
      </c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 t="str">
        <f t="shared" si="6"/>
        <v/>
      </c>
      <c r="P879" s="2"/>
      <c r="Q879" s="2"/>
      <c r="R879" s="2"/>
      <c r="S879" s="2"/>
      <c r="T879" s="2"/>
      <c r="U879" s="2"/>
      <c r="V879" s="26" t="str">
        <f>IF(OR($A879="",ISERROR(SEARCH("_",$A879))),"",IFERROR(SUMIFS(Trade_Reports!$Z$3:$Z$502,Trade_Reports!$H$3:$H$502,$A879,Trade_Reports!$M$3:$M$502,"APPROVED")/SUMIFS(Trade_Reports!$U$3:$U$502,Trade_Reports!$H$3:$H$502,$A879,Trade_Reports!$M$3:$M$502,"APPROVED"),""))</f>
        <v/>
      </c>
      <c r="W879" s="2" t="str">
        <f t="shared" si="7"/>
        <v/>
      </c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 t="str">
        <f t="shared" si="6"/>
        <v/>
      </c>
      <c r="P880" s="2"/>
      <c r="Q880" s="2"/>
      <c r="R880" s="2"/>
      <c r="S880" s="2"/>
      <c r="T880" s="2"/>
      <c r="U880" s="2"/>
      <c r="V880" s="26" t="str">
        <f>IF(OR($A880="",ISERROR(SEARCH("_",$A880))),"",IFERROR(SUMIFS(Trade_Reports!$Z$3:$Z$502,Trade_Reports!$H$3:$H$502,$A880,Trade_Reports!$M$3:$M$502,"APPROVED")/SUMIFS(Trade_Reports!$U$3:$U$502,Trade_Reports!$H$3:$H$502,$A880,Trade_Reports!$M$3:$M$502,"APPROVED"),""))</f>
        <v/>
      </c>
      <c r="W880" s="2" t="str">
        <f t="shared" si="7"/>
        <v/>
      </c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 t="str">
        <f t="shared" si="6"/>
        <v/>
      </c>
      <c r="P881" s="2"/>
      <c r="Q881" s="2"/>
      <c r="R881" s="2"/>
      <c r="S881" s="2"/>
      <c r="T881" s="2"/>
      <c r="U881" s="2"/>
      <c r="V881" s="26" t="str">
        <f>IF(OR($A881="",ISERROR(SEARCH("_",$A881))),"",IFERROR(SUMIFS(Trade_Reports!$Z$3:$Z$502,Trade_Reports!$H$3:$H$502,$A881,Trade_Reports!$M$3:$M$502,"APPROVED")/SUMIFS(Trade_Reports!$U$3:$U$502,Trade_Reports!$H$3:$H$502,$A881,Trade_Reports!$M$3:$M$502,"APPROVED"),""))</f>
        <v/>
      </c>
      <c r="W881" s="2" t="str">
        <f t="shared" si="7"/>
        <v/>
      </c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 t="str">
        <f t="shared" si="6"/>
        <v/>
      </c>
      <c r="P882" s="2"/>
      <c r="Q882" s="2"/>
      <c r="R882" s="2"/>
      <c r="S882" s="2"/>
      <c r="T882" s="2"/>
      <c r="U882" s="2"/>
      <c r="V882" s="26" t="str">
        <f>IF(OR($A882="",ISERROR(SEARCH("_",$A882))),"",IFERROR(SUMIFS(Trade_Reports!$Z$3:$Z$502,Trade_Reports!$H$3:$H$502,$A882,Trade_Reports!$M$3:$M$502,"APPROVED")/SUMIFS(Trade_Reports!$U$3:$U$502,Trade_Reports!$H$3:$H$502,$A882,Trade_Reports!$M$3:$M$502,"APPROVED"),""))</f>
        <v/>
      </c>
      <c r="W882" s="2" t="str">
        <f t="shared" si="7"/>
        <v/>
      </c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 t="str">
        <f t="shared" si="6"/>
        <v/>
      </c>
      <c r="P883" s="2"/>
      <c r="Q883" s="2"/>
      <c r="R883" s="2"/>
      <c r="S883" s="2"/>
      <c r="T883" s="2"/>
      <c r="U883" s="2"/>
      <c r="V883" s="26" t="str">
        <f>IF(OR($A883="",ISERROR(SEARCH("_",$A883))),"",IFERROR(SUMIFS(Trade_Reports!$Z$3:$Z$502,Trade_Reports!$H$3:$H$502,$A883,Trade_Reports!$M$3:$M$502,"APPROVED")/SUMIFS(Trade_Reports!$U$3:$U$502,Trade_Reports!$H$3:$H$502,$A883,Trade_Reports!$M$3:$M$502,"APPROVED"),""))</f>
        <v/>
      </c>
      <c r="W883" s="2" t="str">
        <f t="shared" si="7"/>
        <v/>
      </c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 t="str">
        <f t="shared" si="6"/>
        <v/>
      </c>
      <c r="P884" s="2"/>
      <c r="Q884" s="2"/>
      <c r="R884" s="2"/>
      <c r="S884" s="2"/>
      <c r="T884" s="2"/>
      <c r="U884" s="2"/>
      <c r="V884" s="26" t="str">
        <f>IF(OR($A884="",ISERROR(SEARCH("_",$A884))),"",IFERROR(SUMIFS(Trade_Reports!$Z$3:$Z$502,Trade_Reports!$H$3:$H$502,$A884,Trade_Reports!$M$3:$M$502,"APPROVED")/SUMIFS(Trade_Reports!$U$3:$U$502,Trade_Reports!$H$3:$H$502,$A884,Trade_Reports!$M$3:$M$502,"APPROVED"),""))</f>
        <v/>
      </c>
      <c r="W884" s="2" t="str">
        <f t="shared" si="7"/>
        <v/>
      </c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 t="str">
        <f t="shared" si="6"/>
        <v/>
      </c>
      <c r="P885" s="2"/>
      <c r="Q885" s="2"/>
      <c r="R885" s="2"/>
      <c r="S885" s="2"/>
      <c r="T885" s="2"/>
      <c r="U885" s="2"/>
      <c r="V885" s="26" t="str">
        <f>IF(OR($A885="",ISERROR(SEARCH("_",$A885))),"",IFERROR(SUMIFS(Trade_Reports!$Z$3:$Z$502,Trade_Reports!$H$3:$H$502,$A885,Trade_Reports!$M$3:$M$502,"APPROVED")/SUMIFS(Trade_Reports!$U$3:$U$502,Trade_Reports!$H$3:$H$502,$A885,Trade_Reports!$M$3:$M$502,"APPROVED"),""))</f>
        <v/>
      </c>
      <c r="W885" s="2" t="str">
        <f t="shared" si="7"/>
        <v/>
      </c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 t="str">
        <f t="shared" si="6"/>
        <v/>
      </c>
      <c r="P886" s="2"/>
      <c r="Q886" s="2"/>
      <c r="R886" s="2"/>
      <c r="S886" s="2"/>
      <c r="T886" s="2"/>
      <c r="U886" s="2"/>
      <c r="V886" s="26" t="str">
        <f>IF(OR($A886="",ISERROR(SEARCH("_",$A886))),"",IFERROR(SUMIFS(Trade_Reports!$Z$3:$Z$502,Trade_Reports!$H$3:$H$502,$A886,Trade_Reports!$M$3:$M$502,"APPROVED")/SUMIFS(Trade_Reports!$U$3:$U$502,Trade_Reports!$H$3:$H$502,$A886,Trade_Reports!$M$3:$M$502,"APPROVED"),""))</f>
        <v/>
      </c>
      <c r="W886" s="2" t="str">
        <f t="shared" si="7"/>
        <v/>
      </c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 t="str">
        <f t="shared" si="6"/>
        <v/>
      </c>
      <c r="P887" s="2"/>
      <c r="Q887" s="2"/>
      <c r="R887" s="2"/>
      <c r="S887" s="2"/>
      <c r="T887" s="2"/>
      <c r="U887" s="2"/>
      <c r="V887" s="26" t="str">
        <f>IF(OR($A887="",ISERROR(SEARCH("_",$A887))),"",IFERROR(SUMIFS(Trade_Reports!$Z$3:$Z$502,Trade_Reports!$H$3:$H$502,$A887,Trade_Reports!$M$3:$M$502,"APPROVED")/SUMIFS(Trade_Reports!$U$3:$U$502,Trade_Reports!$H$3:$H$502,$A887,Trade_Reports!$M$3:$M$502,"APPROVED"),""))</f>
        <v/>
      </c>
      <c r="W887" s="2" t="str">
        <f t="shared" si="7"/>
        <v/>
      </c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 t="str">
        <f t="shared" si="6"/>
        <v/>
      </c>
      <c r="P888" s="2"/>
      <c r="Q888" s="2"/>
      <c r="R888" s="2"/>
      <c r="S888" s="2"/>
      <c r="T888" s="2"/>
      <c r="U888" s="2"/>
      <c r="V888" s="26" t="str">
        <f>IF(OR($A888="",ISERROR(SEARCH("_",$A888))),"",IFERROR(SUMIFS(Trade_Reports!$Z$3:$Z$502,Trade_Reports!$H$3:$H$502,$A888,Trade_Reports!$M$3:$M$502,"APPROVED")/SUMIFS(Trade_Reports!$U$3:$U$502,Trade_Reports!$H$3:$H$502,$A888,Trade_Reports!$M$3:$M$502,"APPROVED"),""))</f>
        <v/>
      </c>
      <c r="W888" s="2" t="str">
        <f t="shared" si="7"/>
        <v/>
      </c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 t="str">
        <f t="shared" si="6"/>
        <v/>
      </c>
      <c r="P889" s="2"/>
      <c r="Q889" s="2"/>
      <c r="R889" s="2"/>
      <c r="S889" s="2"/>
      <c r="T889" s="2"/>
      <c r="U889" s="2"/>
      <c r="V889" s="26" t="str">
        <f>IF(OR($A889="",ISERROR(SEARCH("_",$A889))),"",IFERROR(SUMIFS(Trade_Reports!$Z$3:$Z$502,Trade_Reports!$H$3:$H$502,$A889,Trade_Reports!$M$3:$M$502,"APPROVED")/SUMIFS(Trade_Reports!$U$3:$U$502,Trade_Reports!$H$3:$H$502,$A889,Trade_Reports!$M$3:$M$502,"APPROVED"),""))</f>
        <v/>
      </c>
      <c r="W889" s="2" t="str">
        <f t="shared" si="7"/>
        <v/>
      </c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 t="str">
        <f t="shared" si="6"/>
        <v/>
      </c>
      <c r="P890" s="2"/>
      <c r="Q890" s="2"/>
      <c r="R890" s="2"/>
      <c r="S890" s="2"/>
      <c r="T890" s="2"/>
      <c r="U890" s="2"/>
      <c r="V890" s="26" t="str">
        <f>IF(OR($A890="",ISERROR(SEARCH("_",$A890))),"",IFERROR(SUMIFS(Trade_Reports!$Z$3:$Z$502,Trade_Reports!$H$3:$H$502,$A890,Trade_Reports!$M$3:$M$502,"APPROVED")/SUMIFS(Trade_Reports!$U$3:$U$502,Trade_Reports!$H$3:$H$502,$A890,Trade_Reports!$M$3:$M$502,"APPROVED"),""))</f>
        <v/>
      </c>
      <c r="W890" s="2" t="str">
        <f t="shared" si="7"/>
        <v/>
      </c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 t="str">
        <f t="shared" si="6"/>
        <v/>
      </c>
      <c r="P891" s="2"/>
      <c r="Q891" s="2"/>
      <c r="R891" s="2"/>
      <c r="S891" s="2"/>
      <c r="T891" s="2"/>
      <c r="U891" s="2"/>
      <c r="V891" s="26" t="str">
        <f>IF(OR($A891="",ISERROR(SEARCH("_",$A891))),"",IFERROR(SUMIFS(Trade_Reports!$Z$3:$Z$502,Trade_Reports!$H$3:$H$502,$A891,Trade_Reports!$M$3:$M$502,"APPROVED")/SUMIFS(Trade_Reports!$U$3:$U$502,Trade_Reports!$H$3:$H$502,$A891,Trade_Reports!$M$3:$M$502,"APPROVED"),""))</f>
        <v/>
      </c>
      <c r="W891" s="2" t="str">
        <f t="shared" si="7"/>
        <v/>
      </c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 t="str">
        <f t="shared" si="6"/>
        <v/>
      </c>
      <c r="P892" s="2"/>
      <c r="Q892" s="2"/>
      <c r="R892" s="2"/>
      <c r="S892" s="2"/>
      <c r="T892" s="2"/>
      <c r="U892" s="2"/>
      <c r="V892" s="26" t="str">
        <f>IF(OR($A892="",ISERROR(SEARCH("_",$A892))),"",IFERROR(SUMIFS(Trade_Reports!$Z$3:$Z$502,Trade_Reports!$H$3:$H$502,$A892,Trade_Reports!$M$3:$M$502,"APPROVED")/SUMIFS(Trade_Reports!$U$3:$U$502,Trade_Reports!$H$3:$H$502,$A892,Trade_Reports!$M$3:$M$502,"APPROVED"),""))</f>
        <v/>
      </c>
      <c r="W892" s="2" t="str">
        <f t="shared" si="7"/>
        <v/>
      </c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 t="str">
        <f t="shared" si="6"/>
        <v/>
      </c>
      <c r="P893" s="2"/>
      <c r="Q893" s="2"/>
      <c r="R893" s="2"/>
      <c r="S893" s="2"/>
      <c r="T893" s="2"/>
      <c r="U893" s="2"/>
      <c r="V893" s="26" t="str">
        <f>IF(OR($A893="",ISERROR(SEARCH("_",$A893))),"",IFERROR(SUMIFS(Trade_Reports!$Z$3:$Z$502,Trade_Reports!$H$3:$H$502,$A893,Trade_Reports!$M$3:$M$502,"APPROVED")/SUMIFS(Trade_Reports!$U$3:$U$502,Trade_Reports!$H$3:$H$502,$A893,Trade_Reports!$M$3:$M$502,"APPROVED"),""))</f>
        <v/>
      </c>
      <c r="W893" s="2" t="str">
        <f t="shared" si="7"/>
        <v/>
      </c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 t="str">
        <f t="shared" si="6"/>
        <v/>
      </c>
      <c r="P894" s="2"/>
      <c r="Q894" s="2"/>
      <c r="R894" s="2"/>
      <c r="S894" s="2"/>
      <c r="T894" s="2"/>
      <c r="U894" s="2"/>
      <c r="V894" s="26" t="str">
        <f>IF(OR($A894="",ISERROR(SEARCH("_",$A894))),"",IFERROR(SUMIFS(Trade_Reports!$Z$3:$Z$502,Trade_Reports!$H$3:$H$502,$A894,Trade_Reports!$M$3:$M$502,"APPROVED")/SUMIFS(Trade_Reports!$U$3:$U$502,Trade_Reports!$H$3:$H$502,$A894,Trade_Reports!$M$3:$M$502,"APPROVED"),""))</f>
        <v/>
      </c>
      <c r="W894" s="2" t="str">
        <f t="shared" si="7"/>
        <v/>
      </c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 t="str">
        <f t="shared" si="6"/>
        <v/>
      </c>
      <c r="P895" s="2"/>
      <c r="Q895" s="2"/>
      <c r="R895" s="2"/>
      <c r="S895" s="2"/>
      <c r="T895" s="2"/>
      <c r="U895" s="2"/>
      <c r="V895" s="26" t="str">
        <f>IF(OR($A895="",ISERROR(SEARCH("_",$A895))),"",IFERROR(SUMIFS(Trade_Reports!$Z$3:$Z$502,Trade_Reports!$H$3:$H$502,$A895,Trade_Reports!$M$3:$M$502,"APPROVED")/SUMIFS(Trade_Reports!$U$3:$U$502,Trade_Reports!$H$3:$H$502,$A895,Trade_Reports!$M$3:$M$502,"APPROVED"),""))</f>
        <v/>
      </c>
      <c r="W895" s="2" t="str">
        <f t="shared" si="7"/>
        <v/>
      </c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 t="str">
        <f t="shared" si="6"/>
        <v/>
      </c>
      <c r="P896" s="2"/>
      <c r="Q896" s="2"/>
      <c r="R896" s="2"/>
      <c r="S896" s="2"/>
      <c r="T896" s="2"/>
      <c r="U896" s="2"/>
      <c r="V896" s="26" t="str">
        <f>IF(OR($A896="",ISERROR(SEARCH("_",$A896))),"",IFERROR(SUMIFS(Trade_Reports!$Z$3:$Z$502,Trade_Reports!$H$3:$H$502,$A896,Trade_Reports!$M$3:$M$502,"APPROVED")/SUMIFS(Trade_Reports!$U$3:$U$502,Trade_Reports!$H$3:$H$502,$A896,Trade_Reports!$M$3:$M$502,"APPROVED"),""))</f>
        <v/>
      </c>
      <c r="W896" s="2" t="str">
        <f t="shared" si="7"/>
        <v/>
      </c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 t="str">
        <f t="shared" si="6"/>
        <v/>
      </c>
      <c r="P897" s="2"/>
      <c r="Q897" s="2"/>
      <c r="R897" s="2"/>
      <c r="S897" s="2"/>
      <c r="T897" s="2"/>
      <c r="U897" s="2"/>
      <c r="V897" s="26" t="str">
        <f>IF(OR($A897="",ISERROR(SEARCH("_",$A897))),"",IFERROR(SUMIFS(Trade_Reports!$Z$3:$Z$502,Trade_Reports!$H$3:$H$502,$A897,Trade_Reports!$M$3:$M$502,"APPROVED")/SUMIFS(Trade_Reports!$U$3:$U$502,Trade_Reports!$H$3:$H$502,$A897,Trade_Reports!$M$3:$M$502,"APPROVED"),""))</f>
        <v/>
      </c>
      <c r="W897" s="2" t="str">
        <f t="shared" si="7"/>
        <v/>
      </c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 t="str">
        <f t="shared" si="6"/>
        <v/>
      </c>
      <c r="P898" s="2"/>
      <c r="Q898" s="2"/>
      <c r="R898" s="2"/>
      <c r="S898" s="2"/>
      <c r="T898" s="2"/>
      <c r="U898" s="2"/>
      <c r="V898" s="26" t="str">
        <f>IF(OR($A898="",ISERROR(SEARCH("_",$A898))),"",IFERROR(SUMIFS(Trade_Reports!$Z$3:$Z$502,Trade_Reports!$H$3:$H$502,$A898,Trade_Reports!$M$3:$M$502,"APPROVED")/SUMIFS(Trade_Reports!$U$3:$U$502,Trade_Reports!$H$3:$H$502,$A898,Trade_Reports!$M$3:$M$502,"APPROVED"),""))</f>
        <v/>
      </c>
      <c r="W898" s="2" t="str">
        <f t="shared" si="7"/>
        <v/>
      </c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 t="str">
        <f t="shared" si="6"/>
        <v/>
      </c>
      <c r="P899" s="2"/>
      <c r="Q899" s="2"/>
      <c r="R899" s="2"/>
      <c r="S899" s="2"/>
      <c r="T899" s="2"/>
      <c r="U899" s="2"/>
      <c r="V899" s="26" t="str">
        <f>IF(OR($A899="",ISERROR(SEARCH("_",$A899))),"",IFERROR(SUMIFS(Trade_Reports!$Z$3:$Z$502,Trade_Reports!$H$3:$H$502,$A899,Trade_Reports!$M$3:$M$502,"APPROVED")/SUMIFS(Trade_Reports!$U$3:$U$502,Trade_Reports!$H$3:$H$502,$A899,Trade_Reports!$M$3:$M$502,"APPROVED"),""))</f>
        <v/>
      </c>
      <c r="W899" s="2" t="str">
        <f t="shared" si="7"/>
        <v/>
      </c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 t="str">
        <f t="shared" si="6"/>
        <v/>
      </c>
      <c r="P900" s="2"/>
      <c r="Q900" s="2"/>
      <c r="R900" s="2"/>
      <c r="S900" s="2"/>
      <c r="T900" s="2"/>
      <c r="U900" s="2"/>
      <c r="V900" s="26" t="str">
        <f>IF(OR($A900="",ISERROR(SEARCH("_",$A900))),"",IFERROR(SUMIFS(Trade_Reports!$Z$3:$Z$502,Trade_Reports!$H$3:$H$502,$A900,Trade_Reports!$M$3:$M$502,"APPROVED")/SUMIFS(Trade_Reports!$U$3:$U$502,Trade_Reports!$H$3:$H$502,$A900,Trade_Reports!$M$3:$M$502,"APPROVED"),""))</f>
        <v/>
      </c>
      <c r="W900" s="2" t="str">
        <f t="shared" si="7"/>
        <v/>
      </c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 t="str">
        <f t="shared" si="6"/>
        <v/>
      </c>
      <c r="P901" s="2"/>
      <c r="Q901" s="2"/>
      <c r="R901" s="2"/>
      <c r="S901" s="2"/>
      <c r="T901" s="2"/>
      <c r="U901" s="2"/>
      <c r="V901" s="26" t="str">
        <f>IF(OR($A901="",ISERROR(SEARCH("_",$A901))),"",IFERROR(SUMIFS(Trade_Reports!$Z$3:$Z$502,Trade_Reports!$H$3:$H$502,$A901,Trade_Reports!$M$3:$M$502,"APPROVED")/SUMIFS(Trade_Reports!$U$3:$U$502,Trade_Reports!$H$3:$H$502,$A901,Trade_Reports!$M$3:$M$502,"APPROVED"),""))</f>
        <v/>
      </c>
      <c r="W901" s="2" t="str">
        <f t="shared" si="7"/>
        <v/>
      </c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 t="str">
        <f t="shared" si="6"/>
        <v/>
      </c>
      <c r="P902" s="2"/>
      <c r="Q902" s="2"/>
      <c r="R902" s="2"/>
      <c r="S902" s="2"/>
      <c r="T902" s="2"/>
      <c r="U902" s="2"/>
      <c r="V902" s="26" t="str">
        <f>IF(OR($A902="",ISERROR(SEARCH("_",$A902))),"",IFERROR(SUMIFS(Trade_Reports!$Z$3:$Z$502,Trade_Reports!$H$3:$H$502,$A902,Trade_Reports!$M$3:$M$502,"APPROVED")/SUMIFS(Trade_Reports!$U$3:$U$502,Trade_Reports!$H$3:$H$502,$A902,Trade_Reports!$M$3:$M$502,"APPROVED"),""))</f>
        <v/>
      </c>
      <c r="W902" s="2" t="str">
        <f t="shared" si="7"/>
        <v/>
      </c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 t="str">
        <f t="shared" si="6"/>
        <v/>
      </c>
      <c r="P903" s="2"/>
      <c r="Q903" s="2"/>
      <c r="R903" s="2"/>
      <c r="S903" s="2"/>
      <c r="T903" s="2"/>
      <c r="U903" s="2"/>
      <c r="V903" s="26" t="str">
        <f>IF(OR($A903="",ISERROR(SEARCH("_",$A903))),"",IFERROR(SUMIFS(Trade_Reports!$Z$3:$Z$502,Trade_Reports!$H$3:$H$502,$A903,Trade_Reports!$M$3:$M$502,"APPROVED")/SUMIFS(Trade_Reports!$U$3:$U$502,Trade_Reports!$H$3:$H$502,$A903,Trade_Reports!$M$3:$M$502,"APPROVED"),""))</f>
        <v/>
      </c>
      <c r="W903" s="2" t="str">
        <f t="shared" si="7"/>
        <v/>
      </c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 t="str">
        <f t="shared" si="6"/>
        <v/>
      </c>
      <c r="P904" s="2"/>
      <c r="Q904" s="2"/>
      <c r="R904" s="2"/>
      <c r="S904" s="2"/>
      <c r="T904" s="2"/>
      <c r="U904" s="2"/>
      <c r="V904" s="26" t="str">
        <f>IF(OR($A904="",ISERROR(SEARCH("_",$A904))),"",IFERROR(SUMIFS(Trade_Reports!$Z$3:$Z$502,Trade_Reports!$H$3:$H$502,$A904,Trade_Reports!$M$3:$M$502,"APPROVED")/SUMIFS(Trade_Reports!$U$3:$U$502,Trade_Reports!$H$3:$H$502,$A904,Trade_Reports!$M$3:$M$502,"APPROVED"),""))</f>
        <v/>
      </c>
      <c r="W904" s="2" t="str">
        <f t="shared" si="7"/>
        <v/>
      </c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 t="str">
        <f t="shared" si="6"/>
        <v/>
      </c>
      <c r="P905" s="2"/>
      <c r="Q905" s="2"/>
      <c r="R905" s="2"/>
      <c r="S905" s="2"/>
      <c r="T905" s="2"/>
      <c r="U905" s="2"/>
      <c r="V905" s="26" t="str">
        <f>IF(OR($A905="",ISERROR(SEARCH("_",$A905))),"",IFERROR(SUMIFS(Trade_Reports!$Z$3:$Z$502,Trade_Reports!$H$3:$H$502,$A905,Trade_Reports!$M$3:$M$502,"APPROVED")/SUMIFS(Trade_Reports!$U$3:$U$502,Trade_Reports!$H$3:$H$502,$A905,Trade_Reports!$M$3:$M$502,"APPROVED"),""))</f>
        <v/>
      </c>
      <c r="W905" s="2" t="str">
        <f t="shared" si="7"/>
        <v/>
      </c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 t="str">
        <f t="shared" si="6"/>
        <v/>
      </c>
      <c r="P906" s="2"/>
      <c r="Q906" s="2"/>
      <c r="R906" s="2"/>
      <c r="S906" s="2"/>
      <c r="T906" s="2"/>
      <c r="U906" s="2"/>
      <c r="V906" s="26" t="str">
        <f>IF(OR($A906="",ISERROR(SEARCH("_",$A906))),"",IFERROR(SUMIFS(Trade_Reports!$Z$3:$Z$502,Trade_Reports!$H$3:$H$502,$A906,Trade_Reports!$M$3:$M$502,"APPROVED")/SUMIFS(Trade_Reports!$U$3:$U$502,Trade_Reports!$H$3:$H$502,$A906,Trade_Reports!$M$3:$M$502,"APPROVED"),""))</f>
        <v/>
      </c>
      <c r="W906" s="2" t="str">
        <f t="shared" si="7"/>
        <v/>
      </c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 t="str">
        <f t="shared" si="6"/>
        <v/>
      </c>
      <c r="P907" s="2"/>
      <c r="Q907" s="2"/>
      <c r="R907" s="2"/>
      <c r="S907" s="2"/>
      <c r="T907" s="2"/>
      <c r="U907" s="2"/>
      <c r="V907" s="26" t="str">
        <f>IF(OR($A907="",ISERROR(SEARCH("_",$A907))),"",IFERROR(SUMIFS(Trade_Reports!$Z$3:$Z$502,Trade_Reports!$H$3:$H$502,$A907,Trade_Reports!$M$3:$M$502,"APPROVED")/SUMIFS(Trade_Reports!$U$3:$U$502,Trade_Reports!$H$3:$H$502,$A907,Trade_Reports!$M$3:$M$502,"APPROVED"),""))</f>
        <v/>
      </c>
      <c r="W907" s="2" t="str">
        <f t="shared" si="7"/>
        <v/>
      </c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 t="str">
        <f t="shared" si="6"/>
        <v/>
      </c>
      <c r="P908" s="2"/>
      <c r="Q908" s="2"/>
      <c r="R908" s="2"/>
      <c r="S908" s="2"/>
      <c r="T908" s="2"/>
      <c r="U908" s="2"/>
      <c r="V908" s="26" t="str">
        <f>IF(OR($A908="",ISERROR(SEARCH("_",$A908))),"",IFERROR(SUMIFS(Trade_Reports!$Z$3:$Z$502,Trade_Reports!$H$3:$H$502,$A908,Trade_Reports!$M$3:$M$502,"APPROVED")/SUMIFS(Trade_Reports!$U$3:$U$502,Trade_Reports!$H$3:$H$502,$A908,Trade_Reports!$M$3:$M$502,"APPROVED"),""))</f>
        <v/>
      </c>
      <c r="W908" s="2" t="str">
        <f t="shared" si="7"/>
        <v/>
      </c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 t="str">
        <f t="shared" si="6"/>
        <v/>
      </c>
      <c r="P909" s="2"/>
      <c r="Q909" s="2"/>
      <c r="R909" s="2"/>
      <c r="S909" s="2"/>
      <c r="T909" s="2"/>
      <c r="U909" s="2"/>
      <c r="V909" s="26" t="str">
        <f>IF(OR($A909="",ISERROR(SEARCH("_",$A909))),"",IFERROR(SUMIFS(Trade_Reports!$Z$3:$Z$502,Trade_Reports!$H$3:$H$502,$A909,Trade_Reports!$M$3:$M$502,"APPROVED")/SUMIFS(Trade_Reports!$U$3:$U$502,Trade_Reports!$H$3:$H$502,$A909,Trade_Reports!$M$3:$M$502,"APPROVED"),""))</f>
        <v/>
      </c>
      <c r="W909" s="2" t="str">
        <f t="shared" si="7"/>
        <v/>
      </c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 t="str">
        <f t="shared" si="6"/>
        <v/>
      </c>
      <c r="P910" s="2"/>
      <c r="Q910" s="2"/>
      <c r="R910" s="2"/>
      <c r="S910" s="2"/>
      <c r="T910" s="2"/>
      <c r="U910" s="2"/>
      <c r="V910" s="26" t="str">
        <f>IF(OR($A910="",ISERROR(SEARCH("_",$A910))),"",IFERROR(SUMIFS(Trade_Reports!$Z$3:$Z$502,Trade_Reports!$H$3:$H$502,$A910,Trade_Reports!$M$3:$M$502,"APPROVED")/SUMIFS(Trade_Reports!$U$3:$U$502,Trade_Reports!$H$3:$H$502,$A910,Trade_Reports!$M$3:$M$502,"APPROVED"),""))</f>
        <v/>
      </c>
      <c r="W910" s="2" t="str">
        <f t="shared" si="7"/>
        <v/>
      </c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 t="str">
        <f t="shared" si="6"/>
        <v/>
      </c>
      <c r="P911" s="2"/>
      <c r="Q911" s="2"/>
      <c r="R911" s="2"/>
      <c r="S911" s="2"/>
      <c r="T911" s="2"/>
      <c r="U911" s="2"/>
      <c r="V911" s="26" t="str">
        <f>IF(OR($A911="",ISERROR(SEARCH("_",$A911))),"",IFERROR(SUMIFS(Trade_Reports!$Z$3:$Z$502,Trade_Reports!$H$3:$H$502,$A911,Trade_Reports!$M$3:$M$502,"APPROVED")/SUMIFS(Trade_Reports!$U$3:$U$502,Trade_Reports!$H$3:$H$502,$A911,Trade_Reports!$M$3:$M$502,"APPROVED"),""))</f>
        <v/>
      </c>
      <c r="W911" s="2" t="str">
        <f t="shared" si="7"/>
        <v/>
      </c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 t="str">
        <f t="shared" si="6"/>
        <v/>
      </c>
      <c r="P912" s="2"/>
      <c r="Q912" s="2"/>
      <c r="R912" s="2"/>
      <c r="S912" s="2"/>
      <c r="T912" s="2"/>
      <c r="U912" s="2"/>
      <c r="V912" s="26" t="str">
        <f>IF(OR($A912="",ISERROR(SEARCH("_",$A912))),"",IFERROR(SUMIFS(Trade_Reports!$Z$3:$Z$502,Trade_Reports!$H$3:$H$502,$A912,Trade_Reports!$M$3:$M$502,"APPROVED")/SUMIFS(Trade_Reports!$U$3:$U$502,Trade_Reports!$H$3:$H$502,$A912,Trade_Reports!$M$3:$M$502,"APPROVED"),""))</f>
        <v/>
      </c>
      <c r="W912" s="2" t="str">
        <f t="shared" si="7"/>
        <v/>
      </c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 t="str">
        <f t="shared" si="6"/>
        <v/>
      </c>
      <c r="P913" s="2"/>
      <c r="Q913" s="2"/>
      <c r="R913" s="2"/>
      <c r="S913" s="2"/>
      <c r="T913" s="2"/>
      <c r="U913" s="2"/>
      <c r="V913" s="26" t="str">
        <f>IF(OR($A913="",ISERROR(SEARCH("_",$A913))),"",IFERROR(SUMIFS(Trade_Reports!$Z$3:$Z$502,Trade_Reports!$H$3:$H$502,$A913,Trade_Reports!$M$3:$M$502,"APPROVED")/SUMIFS(Trade_Reports!$U$3:$U$502,Trade_Reports!$H$3:$H$502,$A913,Trade_Reports!$M$3:$M$502,"APPROVED"),""))</f>
        <v/>
      </c>
      <c r="W913" s="2" t="str">
        <f t="shared" si="7"/>
        <v/>
      </c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 t="str">
        <f t="shared" si="6"/>
        <v/>
      </c>
      <c r="P914" s="2"/>
      <c r="Q914" s="2"/>
      <c r="R914" s="2"/>
      <c r="S914" s="2"/>
      <c r="T914" s="2"/>
      <c r="U914" s="2"/>
      <c r="V914" s="26" t="str">
        <f>IF(OR($A914="",ISERROR(SEARCH("_",$A914))),"",IFERROR(SUMIFS(Trade_Reports!$Z$3:$Z$502,Trade_Reports!$H$3:$H$502,$A914,Trade_Reports!$M$3:$M$502,"APPROVED")/SUMIFS(Trade_Reports!$U$3:$U$502,Trade_Reports!$H$3:$H$502,$A914,Trade_Reports!$M$3:$M$502,"APPROVED"),""))</f>
        <v/>
      </c>
      <c r="W914" s="2" t="str">
        <f t="shared" si="7"/>
        <v/>
      </c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 t="str">
        <f t="shared" si="6"/>
        <v/>
      </c>
      <c r="P915" s="2"/>
      <c r="Q915" s="2"/>
      <c r="R915" s="2"/>
      <c r="S915" s="2"/>
      <c r="T915" s="2"/>
      <c r="U915" s="2"/>
      <c r="V915" s="26" t="str">
        <f>IF(OR($A915="",ISERROR(SEARCH("_",$A915))),"",IFERROR(SUMIFS(Trade_Reports!$Z$3:$Z$502,Trade_Reports!$H$3:$H$502,$A915,Trade_Reports!$M$3:$M$502,"APPROVED")/SUMIFS(Trade_Reports!$U$3:$U$502,Trade_Reports!$H$3:$H$502,$A915,Trade_Reports!$M$3:$M$502,"APPROVED"),""))</f>
        <v/>
      </c>
      <c r="W915" s="2" t="str">
        <f t="shared" si="7"/>
        <v/>
      </c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 t="str">
        <f t="shared" si="6"/>
        <v/>
      </c>
      <c r="P916" s="2"/>
      <c r="Q916" s="2"/>
      <c r="R916" s="2"/>
      <c r="S916" s="2"/>
      <c r="T916" s="2"/>
      <c r="U916" s="2"/>
      <c r="V916" s="26" t="str">
        <f>IF(OR($A916="",ISERROR(SEARCH("_",$A916))),"",IFERROR(SUMIFS(Trade_Reports!$Z$3:$Z$502,Trade_Reports!$H$3:$H$502,$A916,Trade_Reports!$M$3:$M$502,"APPROVED")/SUMIFS(Trade_Reports!$U$3:$U$502,Trade_Reports!$H$3:$H$502,$A916,Trade_Reports!$M$3:$M$502,"APPROVED"),""))</f>
        <v/>
      </c>
      <c r="W916" s="2" t="str">
        <f t="shared" si="7"/>
        <v/>
      </c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 t="str">
        <f t="shared" si="6"/>
        <v/>
      </c>
      <c r="P917" s="2"/>
      <c r="Q917" s="2"/>
      <c r="R917" s="2"/>
      <c r="S917" s="2"/>
      <c r="T917" s="2"/>
      <c r="U917" s="2"/>
      <c r="V917" s="26" t="str">
        <f>IF(OR($A917="",ISERROR(SEARCH("_",$A917))),"",IFERROR(SUMIFS(Trade_Reports!$Z$3:$Z$502,Trade_Reports!$H$3:$H$502,$A917,Trade_Reports!$M$3:$M$502,"APPROVED")/SUMIFS(Trade_Reports!$U$3:$U$502,Trade_Reports!$H$3:$H$502,$A917,Trade_Reports!$M$3:$M$502,"APPROVED"),""))</f>
        <v/>
      </c>
      <c r="W917" s="2" t="str">
        <f t="shared" si="7"/>
        <v/>
      </c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 t="str">
        <f t="shared" si="6"/>
        <v/>
      </c>
      <c r="P918" s="2"/>
      <c r="Q918" s="2"/>
      <c r="R918" s="2"/>
      <c r="S918" s="2"/>
      <c r="T918" s="2"/>
      <c r="U918" s="2"/>
      <c r="V918" s="26" t="str">
        <f>IF(OR($A918="",ISERROR(SEARCH("_",$A918))),"",IFERROR(SUMIFS(Trade_Reports!$Z$3:$Z$502,Trade_Reports!$H$3:$H$502,$A918,Trade_Reports!$M$3:$M$502,"APPROVED")/SUMIFS(Trade_Reports!$U$3:$U$502,Trade_Reports!$H$3:$H$502,$A918,Trade_Reports!$M$3:$M$502,"APPROVED"),""))</f>
        <v/>
      </c>
      <c r="W918" s="2" t="str">
        <f t="shared" si="7"/>
        <v/>
      </c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 t="str">
        <f t="shared" si="6"/>
        <v/>
      </c>
      <c r="P919" s="2"/>
      <c r="Q919" s="2"/>
      <c r="R919" s="2"/>
      <c r="S919" s="2"/>
      <c r="T919" s="2"/>
      <c r="U919" s="2"/>
      <c r="V919" s="26" t="str">
        <f>IF(OR($A919="",ISERROR(SEARCH("_",$A919))),"",IFERROR(SUMIFS(Trade_Reports!$Z$3:$Z$502,Trade_Reports!$H$3:$H$502,$A919,Trade_Reports!$M$3:$M$502,"APPROVED")/SUMIFS(Trade_Reports!$U$3:$U$502,Trade_Reports!$H$3:$H$502,$A919,Trade_Reports!$M$3:$M$502,"APPROVED"),""))</f>
        <v/>
      </c>
      <c r="W919" s="2" t="str">
        <f t="shared" si="7"/>
        <v/>
      </c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 t="str">
        <f t="shared" si="6"/>
        <v/>
      </c>
      <c r="P920" s="2"/>
      <c r="Q920" s="2"/>
      <c r="R920" s="2"/>
      <c r="S920" s="2"/>
      <c r="T920" s="2"/>
      <c r="U920" s="2"/>
      <c r="V920" s="26" t="str">
        <f>IF(OR($A920="",ISERROR(SEARCH("_",$A920))),"",IFERROR(SUMIFS(Trade_Reports!$Z$3:$Z$502,Trade_Reports!$H$3:$H$502,$A920,Trade_Reports!$M$3:$M$502,"APPROVED")/SUMIFS(Trade_Reports!$U$3:$U$502,Trade_Reports!$H$3:$H$502,$A920,Trade_Reports!$M$3:$M$502,"APPROVED"),""))</f>
        <v/>
      </c>
      <c r="W920" s="2" t="str">
        <f t="shared" si="7"/>
        <v/>
      </c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 t="str">
        <f t="shared" si="6"/>
        <v/>
      </c>
      <c r="P921" s="2"/>
      <c r="Q921" s="2"/>
      <c r="R921" s="2"/>
      <c r="S921" s="2"/>
      <c r="T921" s="2"/>
      <c r="U921" s="2"/>
      <c r="V921" s="26" t="str">
        <f>IF(OR($A921="",ISERROR(SEARCH("_",$A921))),"",IFERROR(SUMIFS(Trade_Reports!$Z$3:$Z$502,Trade_Reports!$H$3:$H$502,$A921,Trade_Reports!$M$3:$M$502,"APPROVED")/SUMIFS(Trade_Reports!$U$3:$U$502,Trade_Reports!$H$3:$H$502,$A921,Trade_Reports!$M$3:$M$502,"APPROVED"),""))</f>
        <v/>
      </c>
      <c r="W921" s="2" t="str">
        <f t="shared" si="7"/>
        <v/>
      </c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 t="str">
        <f t="shared" si="6"/>
        <v/>
      </c>
      <c r="P922" s="2"/>
      <c r="Q922" s="2"/>
      <c r="R922" s="2"/>
      <c r="S922" s="2"/>
      <c r="T922" s="2"/>
      <c r="U922" s="2"/>
      <c r="V922" s="26" t="str">
        <f>IF(OR($A922="",ISERROR(SEARCH("_",$A922))),"",IFERROR(SUMIFS(Trade_Reports!$Z$3:$Z$502,Trade_Reports!$H$3:$H$502,$A922,Trade_Reports!$M$3:$M$502,"APPROVED")/SUMIFS(Trade_Reports!$U$3:$U$502,Trade_Reports!$H$3:$H$502,$A922,Trade_Reports!$M$3:$M$502,"APPROVED"),""))</f>
        <v/>
      </c>
      <c r="W922" s="2" t="str">
        <f t="shared" si="7"/>
        <v/>
      </c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 t="str">
        <f t="shared" si="6"/>
        <v/>
      </c>
      <c r="P923" s="2"/>
      <c r="Q923" s="2"/>
      <c r="R923" s="2"/>
      <c r="S923" s="2"/>
      <c r="T923" s="2"/>
      <c r="U923" s="2"/>
      <c r="V923" s="26" t="str">
        <f>IF(OR($A923="",ISERROR(SEARCH("_",$A923))),"",IFERROR(SUMIFS(Trade_Reports!$Z$3:$Z$502,Trade_Reports!$H$3:$H$502,$A923,Trade_Reports!$M$3:$M$502,"APPROVED")/SUMIFS(Trade_Reports!$U$3:$U$502,Trade_Reports!$H$3:$H$502,$A923,Trade_Reports!$M$3:$M$502,"APPROVED"),""))</f>
        <v/>
      </c>
      <c r="W923" s="2" t="str">
        <f t="shared" si="7"/>
        <v/>
      </c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 t="str">
        <f t="shared" si="6"/>
        <v/>
      </c>
      <c r="P924" s="2"/>
      <c r="Q924" s="2"/>
      <c r="R924" s="2"/>
      <c r="S924" s="2"/>
      <c r="T924" s="2"/>
      <c r="U924" s="2"/>
      <c r="V924" s="26" t="str">
        <f>IF(OR($A924="",ISERROR(SEARCH("_",$A924))),"",IFERROR(SUMIFS(Trade_Reports!$Z$3:$Z$502,Trade_Reports!$H$3:$H$502,$A924,Trade_Reports!$M$3:$M$502,"APPROVED")/SUMIFS(Trade_Reports!$U$3:$U$502,Trade_Reports!$H$3:$H$502,$A924,Trade_Reports!$M$3:$M$502,"APPROVED"),""))</f>
        <v/>
      </c>
      <c r="W924" s="2" t="str">
        <f t="shared" si="7"/>
        <v/>
      </c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 t="str">
        <f t="shared" si="6"/>
        <v/>
      </c>
      <c r="P925" s="2"/>
      <c r="Q925" s="2"/>
      <c r="R925" s="2"/>
      <c r="S925" s="2"/>
      <c r="T925" s="2"/>
      <c r="U925" s="2"/>
      <c r="V925" s="26" t="str">
        <f>IF(OR($A925="",ISERROR(SEARCH("_",$A925))),"",IFERROR(SUMIFS(Trade_Reports!$Z$3:$Z$502,Trade_Reports!$H$3:$H$502,$A925,Trade_Reports!$M$3:$M$502,"APPROVED")/SUMIFS(Trade_Reports!$U$3:$U$502,Trade_Reports!$H$3:$H$502,$A925,Trade_Reports!$M$3:$M$502,"APPROVED"),""))</f>
        <v/>
      </c>
      <c r="W925" s="2" t="str">
        <f t="shared" si="7"/>
        <v/>
      </c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 t="str">
        <f t="shared" si="6"/>
        <v/>
      </c>
      <c r="P926" s="2"/>
      <c r="Q926" s="2"/>
      <c r="R926" s="2"/>
      <c r="S926" s="2"/>
      <c r="T926" s="2"/>
      <c r="U926" s="2"/>
      <c r="V926" s="26" t="str">
        <f>IF(OR($A926="",ISERROR(SEARCH("_",$A926))),"",IFERROR(SUMIFS(Trade_Reports!$Z$3:$Z$502,Trade_Reports!$H$3:$H$502,$A926,Trade_Reports!$M$3:$M$502,"APPROVED")/SUMIFS(Trade_Reports!$U$3:$U$502,Trade_Reports!$H$3:$H$502,$A926,Trade_Reports!$M$3:$M$502,"APPROVED"),""))</f>
        <v/>
      </c>
      <c r="W926" s="2" t="str">
        <f t="shared" si="7"/>
        <v/>
      </c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 t="str">
        <f t="shared" si="6"/>
        <v/>
      </c>
      <c r="P927" s="2"/>
      <c r="Q927" s="2"/>
      <c r="R927" s="2"/>
      <c r="S927" s="2"/>
      <c r="T927" s="2"/>
      <c r="U927" s="2"/>
      <c r="V927" s="26" t="str">
        <f>IF(OR($A927="",ISERROR(SEARCH("_",$A927))),"",IFERROR(SUMIFS(Trade_Reports!$Z$3:$Z$502,Trade_Reports!$H$3:$H$502,$A927,Trade_Reports!$M$3:$M$502,"APPROVED")/SUMIFS(Trade_Reports!$U$3:$U$502,Trade_Reports!$H$3:$H$502,$A927,Trade_Reports!$M$3:$M$502,"APPROVED"),""))</f>
        <v/>
      </c>
      <c r="W927" s="2" t="str">
        <f t="shared" si="7"/>
        <v/>
      </c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 t="str">
        <f t="shared" si="6"/>
        <v/>
      </c>
      <c r="P928" s="2"/>
      <c r="Q928" s="2"/>
      <c r="R928" s="2"/>
      <c r="S928" s="2"/>
      <c r="T928" s="2"/>
      <c r="U928" s="2"/>
      <c r="V928" s="26" t="str">
        <f>IF(OR($A928="",ISERROR(SEARCH("_",$A928))),"",IFERROR(SUMIFS(Trade_Reports!$Z$3:$Z$502,Trade_Reports!$H$3:$H$502,$A928,Trade_Reports!$M$3:$M$502,"APPROVED")/SUMIFS(Trade_Reports!$U$3:$U$502,Trade_Reports!$H$3:$H$502,$A928,Trade_Reports!$M$3:$M$502,"APPROVED"),""))</f>
        <v/>
      </c>
      <c r="W928" s="2" t="str">
        <f t="shared" si="7"/>
        <v/>
      </c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 t="str">
        <f t="shared" si="6"/>
        <v/>
      </c>
      <c r="P929" s="2"/>
      <c r="Q929" s="2"/>
      <c r="R929" s="2"/>
      <c r="S929" s="2"/>
      <c r="T929" s="2"/>
      <c r="U929" s="2"/>
      <c r="V929" s="26" t="str">
        <f>IF(OR($A929="",ISERROR(SEARCH("_",$A929))),"",IFERROR(SUMIFS(Trade_Reports!$Z$3:$Z$502,Trade_Reports!$H$3:$H$502,$A929,Trade_Reports!$M$3:$M$502,"APPROVED")/SUMIFS(Trade_Reports!$U$3:$U$502,Trade_Reports!$H$3:$H$502,$A929,Trade_Reports!$M$3:$M$502,"APPROVED"),""))</f>
        <v/>
      </c>
      <c r="W929" s="2" t="str">
        <f t="shared" si="7"/>
        <v/>
      </c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 t="str">
        <f t="shared" si="6"/>
        <v/>
      </c>
      <c r="P930" s="2"/>
      <c r="Q930" s="2"/>
      <c r="R930" s="2"/>
      <c r="S930" s="2"/>
      <c r="T930" s="2"/>
      <c r="U930" s="2"/>
      <c r="V930" s="26" t="str">
        <f>IF(OR($A930="",ISERROR(SEARCH("_",$A930))),"",IFERROR(SUMIFS(Trade_Reports!$Z$3:$Z$502,Trade_Reports!$H$3:$H$502,$A930,Trade_Reports!$M$3:$M$502,"APPROVED")/SUMIFS(Trade_Reports!$U$3:$U$502,Trade_Reports!$H$3:$H$502,$A930,Trade_Reports!$M$3:$M$502,"APPROVED"),""))</f>
        <v/>
      </c>
      <c r="W930" s="2" t="str">
        <f t="shared" si="7"/>
        <v/>
      </c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 t="str">
        <f t="shared" si="6"/>
        <v/>
      </c>
      <c r="P931" s="2"/>
      <c r="Q931" s="2"/>
      <c r="R931" s="2"/>
      <c r="S931" s="2"/>
      <c r="T931" s="2"/>
      <c r="U931" s="2"/>
      <c r="V931" s="26" t="str">
        <f>IF(OR($A931="",ISERROR(SEARCH("_",$A931))),"",IFERROR(SUMIFS(Trade_Reports!$Z$3:$Z$502,Trade_Reports!$H$3:$H$502,$A931,Trade_Reports!$M$3:$M$502,"APPROVED")/SUMIFS(Trade_Reports!$U$3:$U$502,Trade_Reports!$H$3:$H$502,$A931,Trade_Reports!$M$3:$M$502,"APPROVED"),""))</f>
        <v/>
      </c>
      <c r="W931" s="2" t="str">
        <f t="shared" si="7"/>
        <v/>
      </c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 t="str">
        <f t="shared" si="6"/>
        <v/>
      </c>
      <c r="P932" s="2"/>
      <c r="Q932" s="2"/>
      <c r="R932" s="2"/>
      <c r="S932" s="2"/>
      <c r="T932" s="2"/>
      <c r="U932" s="2"/>
      <c r="V932" s="26" t="str">
        <f>IF(OR($A932="",ISERROR(SEARCH("_",$A932))),"",IFERROR(SUMIFS(Trade_Reports!$Z$3:$Z$502,Trade_Reports!$H$3:$H$502,$A932,Trade_Reports!$M$3:$M$502,"APPROVED")/SUMIFS(Trade_Reports!$U$3:$U$502,Trade_Reports!$H$3:$H$502,$A932,Trade_Reports!$M$3:$M$502,"APPROVED"),""))</f>
        <v/>
      </c>
      <c r="W932" s="2" t="str">
        <f t="shared" si="7"/>
        <v/>
      </c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 t="str">
        <f t="shared" si="6"/>
        <v/>
      </c>
      <c r="P933" s="2"/>
      <c r="Q933" s="2"/>
      <c r="R933" s="2"/>
      <c r="S933" s="2"/>
      <c r="T933" s="2"/>
      <c r="U933" s="2"/>
      <c r="V933" s="26" t="str">
        <f>IF(OR($A933="",ISERROR(SEARCH("_",$A933))),"",IFERROR(SUMIFS(Trade_Reports!$Z$3:$Z$502,Trade_Reports!$H$3:$H$502,$A933,Trade_Reports!$M$3:$M$502,"APPROVED")/SUMIFS(Trade_Reports!$U$3:$U$502,Trade_Reports!$H$3:$H$502,$A933,Trade_Reports!$M$3:$M$502,"APPROVED"),""))</f>
        <v/>
      </c>
      <c r="W933" s="2" t="str">
        <f t="shared" si="7"/>
        <v/>
      </c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 t="str">
        <f t="shared" si="6"/>
        <v/>
      </c>
      <c r="P934" s="2"/>
      <c r="Q934" s="2"/>
      <c r="R934" s="2"/>
      <c r="S934" s="2"/>
      <c r="T934" s="2"/>
      <c r="U934" s="2"/>
      <c r="V934" s="26" t="str">
        <f>IF(OR($A934="",ISERROR(SEARCH("_",$A934))),"",IFERROR(SUMIFS(Trade_Reports!$Z$3:$Z$502,Trade_Reports!$H$3:$H$502,$A934,Trade_Reports!$M$3:$M$502,"APPROVED")/SUMIFS(Trade_Reports!$U$3:$U$502,Trade_Reports!$H$3:$H$502,$A934,Trade_Reports!$M$3:$M$502,"APPROVED"),""))</f>
        <v/>
      </c>
      <c r="W934" s="2" t="str">
        <f t="shared" si="7"/>
        <v/>
      </c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 t="str">
        <f t="shared" si="6"/>
        <v/>
      </c>
      <c r="P935" s="2"/>
      <c r="Q935" s="2"/>
      <c r="R935" s="2"/>
      <c r="S935" s="2"/>
      <c r="T935" s="2"/>
      <c r="U935" s="2"/>
      <c r="V935" s="26" t="str">
        <f>IF(OR($A935="",ISERROR(SEARCH("_",$A935))),"",IFERROR(SUMIFS(Trade_Reports!$Z$3:$Z$502,Trade_Reports!$H$3:$H$502,$A935,Trade_Reports!$M$3:$M$502,"APPROVED")/SUMIFS(Trade_Reports!$U$3:$U$502,Trade_Reports!$H$3:$H$502,$A935,Trade_Reports!$M$3:$M$502,"APPROVED"),""))</f>
        <v/>
      </c>
      <c r="W935" s="2" t="str">
        <f t="shared" si="7"/>
        <v/>
      </c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 t="str">
        <f t="shared" si="6"/>
        <v/>
      </c>
      <c r="P936" s="2"/>
      <c r="Q936" s="2"/>
      <c r="R936" s="2"/>
      <c r="S936" s="2"/>
      <c r="T936" s="2"/>
      <c r="U936" s="2"/>
      <c r="V936" s="26" t="str">
        <f>IF(OR($A936="",ISERROR(SEARCH("_",$A936))),"",IFERROR(SUMIFS(Trade_Reports!$Z$3:$Z$502,Trade_Reports!$H$3:$H$502,$A936,Trade_Reports!$M$3:$M$502,"APPROVED")/SUMIFS(Trade_Reports!$U$3:$U$502,Trade_Reports!$H$3:$H$502,$A936,Trade_Reports!$M$3:$M$502,"APPROVED"),""))</f>
        <v/>
      </c>
      <c r="W936" s="2" t="str">
        <f t="shared" si="7"/>
        <v/>
      </c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 t="str">
        <f t="shared" si="6"/>
        <v/>
      </c>
      <c r="P937" s="2"/>
      <c r="Q937" s="2"/>
      <c r="R937" s="2"/>
      <c r="S937" s="2"/>
      <c r="T937" s="2"/>
      <c r="U937" s="2"/>
      <c r="V937" s="26" t="str">
        <f>IF(OR($A937="",ISERROR(SEARCH("_",$A937))),"",IFERROR(SUMIFS(Trade_Reports!$Z$3:$Z$502,Trade_Reports!$H$3:$H$502,$A937,Trade_Reports!$M$3:$M$502,"APPROVED")/SUMIFS(Trade_Reports!$U$3:$U$502,Trade_Reports!$H$3:$H$502,$A937,Trade_Reports!$M$3:$M$502,"APPROVED"),""))</f>
        <v/>
      </c>
      <c r="W937" s="2" t="str">
        <f t="shared" si="7"/>
        <v/>
      </c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 t="str">
        <f t="shared" si="6"/>
        <v/>
      </c>
      <c r="P938" s="2"/>
      <c r="Q938" s="2"/>
      <c r="R938" s="2"/>
      <c r="S938" s="2"/>
      <c r="T938" s="2"/>
      <c r="U938" s="2"/>
      <c r="V938" s="26" t="str">
        <f>IF(OR($A938="",ISERROR(SEARCH("_",$A938))),"",IFERROR(SUMIFS(Trade_Reports!$Z$3:$Z$502,Trade_Reports!$H$3:$H$502,$A938,Trade_Reports!$M$3:$M$502,"APPROVED")/SUMIFS(Trade_Reports!$U$3:$U$502,Trade_Reports!$H$3:$H$502,$A938,Trade_Reports!$M$3:$M$502,"APPROVED"),""))</f>
        <v/>
      </c>
      <c r="W938" s="2" t="str">
        <f t="shared" si="7"/>
        <v/>
      </c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 t="str">
        <f t="shared" si="6"/>
        <v/>
      </c>
      <c r="P939" s="2"/>
      <c r="Q939" s="2"/>
      <c r="R939" s="2"/>
      <c r="S939" s="2"/>
      <c r="T939" s="2"/>
      <c r="U939" s="2"/>
      <c r="V939" s="26" t="str">
        <f>IF(OR($A939="",ISERROR(SEARCH("_",$A939))),"",IFERROR(SUMIFS(Trade_Reports!$Z$3:$Z$502,Trade_Reports!$H$3:$H$502,$A939,Trade_Reports!$M$3:$M$502,"APPROVED")/SUMIFS(Trade_Reports!$U$3:$U$502,Trade_Reports!$H$3:$H$502,$A939,Trade_Reports!$M$3:$M$502,"APPROVED"),""))</f>
        <v/>
      </c>
      <c r="W939" s="2" t="str">
        <f t="shared" si="7"/>
        <v/>
      </c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 t="str">
        <f t="shared" si="6"/>
        <v/>
      </c>
      <c r="P940" s="2"/>
      <c r="Q940" s="2"/>
      <c r="R940" s="2"/>
      <c r="S940" s="2"/>
      <c r="T940" s="2"/>
      <c r="U940" s="2"/>
      <c r="V940" s="26" t="str">
        <f>IF(OR($A940="",ISERROR(SEARCH("_",$A940))),"",IFERROR(SUMIFS(Trade_Reports!$Z$3:$Z$502,Trade_Reports!$H$3:$H$502,$A940,Trade_Reports!$M$3:$M$502,"APPROVED")/SUMIFS(Trade_Reports!$U$3:$U$502,Trade_Reports!$H$3:$H$502,$A940,Trade_Reports!$M$3:$M$502,"APPROVED"),""))</f>
        <v/>
      </c>
      <c r="W940" s="2" t="str">
        <f t="shared" si="7"/>
        <v/>
      </c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 t="str">
        <f t="shared" si="6"/>
        <v/>
      </c>
      <c r="P941" s="2"/>
      <c r="Q941" s="2"/>
      <c r="R941" s="2"/>
      <c r="S941" s="2"/>
      <c r="T941" s="2"/>
      <c r="U941" s="2"/>
      <c r="V941" s="26" t="str">
        <f>IF(OR($A941="",ISERROR(SEARCH("_",$A941))),"",IFERROR(SUMIFS(Trade_Reports!$Z$3:$Z$502,Trade_Reports!$H$3:$H$502,$A941,Trade_Reports!$M$3:$M$502,"APPROVED")/SUMIFS(Trade_Reports!$U$3:$U$502,Trade_Reports!$H$3:$H$502,$A941,Trade_Reports!$M$3:$M$502,"APPROVED"),""))</f>
        <v/>
      </c>
      <c r="W941" s="2" t="str">
        <f t="shared" si="7"/>
        <v/>
      </c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 t="str">
        <f t="shared" si="6"/>
        <v/>
      </c>
      <c r="P942" s="2"/>
      <c r="Q942" s="2"/>
      <c r="R942" s="2"/>
      <c r="S942" s="2"/>
      <c r="T942" s="2"/>
      <c r="U942" s="2"/>
      <c r="V942" s="26" t="str">
        <f>IF(OR($A942="",ISERROR(SEARCH("_",$A942))),"",IFERROR(SUMIFS(Trade_Reports!$Z$3:$Z$502,Trade_Reports!$H$3:$H$502,$A942,Trade_Reports!$M$3:$M$502,"APPROVED")/SUMIFS(Trade_Reports!$U$3:$U$502,Trade_Reports!$H$3:$H$502,$A942,Trade_Reports!$M$3:$M$502,"APPROVED"),""))</f>
        <v/>
      </c>
      <c r="W942" s="2" t="str">
        <f t="shared" si="7"/>
        <v/>
      </c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 t="str">
        <f t="shared" si="6"/>
        <v/>
      </c>
      <c r="P943" s="2"/>
      <c r="Q943" s="2"/>
      <c r="R943" s="2"/>
      <c r="S943" s="2"/>
      <c r="T943" s="2"/>
      <c r="U943" s="2"/>
      <c r="V943" s="26" t="str">
        <f>IF(OR($A943="",ISERROR(SEARCH("_",$A943))),"",IFERROR(SUMIFS(Trade_Reports!$Z$3:$Z$502,Trade_Reports!$H$3:$H$502,$A943,Trade_Reports!$M$3:$M$502,"APPROVED")/SUMIFS(Trade_Reports!$U$3:$U$502,Trade_Reports!$H$3:$H$502,$A943,Trade_Reports!$M$3:$M$502,"APPROVED"),""))</f>
        <v/>
      </c>
      <c r="W943" s="2" t="str">
        <f t="shared" si="7"/>
        <v/>
      </c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 t="str">
        <f t="shared" si="6"/>
        <v/>
      </c>
      <c r="P944" s="2"/>
      <c r="Q944" s="2"/>
      <c r="R944" s="2"/>
      <c r="S944" s="2"/>
      <c r="T944" s="2"/>
      <c r="U944" s="2"/>
      <c r="V944" s="26" t="str">
        <f>IF(OR($A944="",ISERROR(SEARCH("_",$A944))),"",IFERROR(SUMIFS(Trade_Reports!$Z$3:$Z$502,Trade_Reports!$H$3:$H$502,$A944,Trade_Reports!$M$3:$M$502,"APPROVED")/SUMIFS(Trade_Reports!$U$3:$U$502,Trade_Reports!$H$3:$H$502,$A944,Trade_Reports!$M$3:$M$502,"APPROVED"),""))</f>
        <v/>
      </c>
      <c r="W944" s="2" t="str">
        <f t="shared" si="7"/>
        <v/>
      </c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 t="str">
        <f t="shared" si="6"/>
        <v/>
      </c>
      <c r="P945" s="2"/>
      <c r="Q945" s="2"/>
      <c r="R945" s="2"/>
      <c r="S945" s="2"/>
      <c r="T945" s="2"/>
      <c r="U945" s="2"/>
      <c r="V945" s="26" t="str">
        <f>IF(OR($A945="",ISERROR(SEARCH("_",$A945))),"",IFERROR(SUMIFS(Trade_Reports!$Z$3:$Z$502,Trade_Reports!$H$3:$H$502,$A945,Trade_Reports!$M$3:$M$502,"APPROVED")/SUMIFS(Trade_Reports!$U$3:$U$502,Trade_Reports!$H$3:$H$502,$A945,Trade_Reports!$M$3:$M$502,"APPROVED"),""))</f>
        <v/>
      </c>
      <c r="W945" s="2" t="str">
        <f t="shared" si="7"/>
        <v/>
      </c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 t="str">
        <f t="shared" si="6"/>
        <v/>
      </c>
      <c r="P946" s="2"/>
      <c r="Q946" s="2"/>
      <c r="R946" s="2"/>
      <c r="S946" s="2"/>
      <c r="T946" s="2"/>
      <c r="U946" s="2"/>
      <c r="V946" s="26" t="str">
        <f>IF(OR($A946="",ISERROR(SEARCH("_",$A946))),"",IFERROR(SUMIFS(Trade_Reports!$Z$3:$Z$502,Trade_Reports!$H$3:$H$502,$A946,Trade_Reports!$M$3:$M$502,"APPROVED")/SUMIFS(Trade_Reports!$U$3:$U$502,Trade_Reports!$H$3:$H$502,$A946,Trade_Reports!$M$3:$M$502,"APPROVED"),""))</f>
        <v/>
      </c>
      <c r="W946" s="2" t="str">
        <f t="shared" si="7"/>
        <v/>
      </c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 t="str">
        <f t="shared" si="6"/>
        <v/>
      </c>
      <c r="P947" s="2"/>
      <c r="Q947" s="2"/>
      <c r="R947" s="2"/>
      <c r="S947" s="2"/>
      <c r="T947" s="2"/>
      <c r="U947" s="2"/>
      <c r="V947" s="26" t="str">
        <f>IF(OR($A947="",ISERROR(SEARCH("_",$A947))),"",IFERROR(SUMIFS(Trade_Reports!$Z$3:$Z$502,Trade_Reports!$H$3:$H$502,$A947,Trade_Reports!$M$3:$M$502,"APPROVED")/SUMIFS(Trade_Reports!$U$3:$U$502,Trade_Reports!$H$3:$H$502,$A947,Trade_Reports!$M$3:$M$502,"APPROVED"),""))</f>
        <v/>
      </c>
      <c r="W947" s="2" t="str">
        <f t="shared" si="7"/>
        <v/>
      </c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 t="str">
        <f t="shared" si="6"/>
        <v/>
      </c>
      <c r="P948" s="2"/>
      <c r="Q948" s="2"/>
      <c r="R948" s="2"/>
      <c r="S948" s="2"/>
      <c r="T948" s="2"/>
      <c r="U948" s="2"/>
      <c r="V948" s="26" t="str">
        <f>IF(OR($A948="",ISERROR(SEARCH("_",$A948))),"",IFERROR(SUMIFS(Trade_Reports!$Z$3:$Z$502,Trade_Reports!$H$3:$H$502,$A948,Trade_Reports!$M$3:$M$502,"APPROVED")/SUMIFS(Trade_Reports!$U$3:$U$502,Trade_Reports!$H$3:$H$502,$A948,Trade_Reports!$M$3:$M$502,"APPROVED"),""))</f>
        <v/>
      </c>
      <c r="W948" s="2" t="str">
        <f t="shared" si="7"/>
        <v/>
      </c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 t="str">
        <f t="shared" si="6"/>
        <v/>
      </c>
      <c r="P949" s="2"/>
      <c r="Q949" s="2"/>
      <c r="R949" s="2"/>
      <c r="S949" s="2"/>
      <c r="T949" s="2"/>
      <c r="U949" s="2"/>
      <c r="V949" s="26" t="str">
        <f>IF(OR($A949="",ISERROR(SEARCH("_",$A949))),"",IFERROR(SUMIFS(Trade_Reports!$Z$3:$Z$502,Trade_Reports!$H$3:$H$502,$A949,Trade_Reports!$M$3:$M$502,"APPROVED")/SUMIFS(Trade_Reports!$U$3:$U$502,Trade_Reports!$H$3:$H$502,$A949,Trade_Reports!$M$3:$M$502,"APPROVED"),""))</f>
        <v/>
      </c>
      <c r="W949" s="2" t="str">
        <f t="shared" si="7"/>
        <v/>
      </c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 t="str">
        <f t="shared" si="6"/>
        <v/>
      </c>
      <c r="P950" s="2"/>
      <c r="Q950" s="2"/>
      <c r="R950" s="2"/>
      <c r="S950" s="2"/>
      <c r="T950" s="2"/>
      <c r="U950" s="2"/>
      <c r="V950" s="26" t="str">
        <f>IF(OR($A950="",ISERROR(SEARCH("_",$A950))),"",IFERROR(SUMIFS(Trade_Reports!$Z$3:$Z$502,Trade_Reports!$H$3:$H$502,$A950,Trade_Reports!$M$3:$M$502,"APPROVED")/SUMIFS(Trade_Reports!$U$3:$U$502,Trade_Reports!$H$3:$H$502,$A950,Trade_Reports!$M$3:$M$502,"APPROVED"),""))</f>
        <v/>
      </c>
      <c r="W950" s="2" t="str">
        <f t="shared" si="7"/>
        <v/>
      </c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 t="str">
        <f t="shared" si="6"/>
        <v/>
      </c>
      <c r="P951" s="2"/>
      <c r="Q951" s="2"/>
      <c r="R951" s="2"/>
      <c r="S951" s="2"/>
      <c r="T951" s="2"/>
      <c r="U951" s="2"/>
      <c r="V951" s="26" t="str">
        <f>IF(OR($A951="",ISERROR(SEARCH("_",$A951))),"",IFERROR(SUMIFS(Trade_Reports!$Z$3:$Z$502,Trade_Reports!$H$3:$H$502,$A951,Trade_Reports!$M$3:$M$502,"APPROVED")/SUMIFS(Trade_Reports!$U$3:$U$502,Trade_Reports!$H$3:$H$502,$A951,Trade_Reports!$M$3:$M$502,"APPROVED"),""))</f>
        <v/>
      </c>
      <c r="W951" s="2" t="str">
        <f t="shared" si="7"/>
        <v/>
      </c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 t="str">
        <f t="shared" si="6"/>
        <v/>
      </c>
      <c r="P952" s="2"/>
      <c r="Q952" s="2"/>
      <c r="R952" s="2"/>
      <c r="S952" s="2"/>
      <c r="T952" s="2"/>
      <c r="U952" s="2"/>
      <c r="V952" s="26" t="str">
        <f>IF(OR($A952="",ISERROR(SEARCH("_",$A952))),"",IFERROR(SUMIFS(Trade_Reports!$Z$3:$Z$502,Trade_Reports!$H$3:$H$502,$A952,Trade_Reports!$M$3:$M$502,"APPROVED")/SUMIFS(Trade_Reports!$U$3:$U$502,Trade_Reports!$H$3:$H$502,$A952,Trade_Reports!$M$3:$M$502,"APPROVED"),""))</f>
        <v/>
      </c>
      <c r="W952" s="2" t="str">
        <f t="shared" si="7"/>
        <v/>
      </c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 t="str">
        <f t="shared" si="6"/>
        <v/>
      </c>
      <c r="P953" s="2"/>
      <c r="Q953" s="2"/>
      <c r="R953" s="2"/>
      <c r="S953" s="2"/>
      <c r="T953" s="2"/>
      <c r="U953" s="2"/>
      <c r="V953" s="26" t="str">
        <f>IF(OR($A953="",ISERROR(SEARCH("_",$A953))),"",IFERROR(SUMIFS(Trade_Reports!$Z$3:$Z$502,Trade_Reports!$H$3:$H$502,$A953,Trade_Reports!$M$3:$M$502,"APPROVED")/SUMIFS(Trade_Reports!$U$3:$U$502,Trade_Reports!$H$3:$H$502,$A953,Trade_Reports!$M$3:$M$502,"APPROVED"),""))</f>
        <v/>
      </c>
      <c r="W953" s="2" t="str">
        <f t="shared" si="7"/>
        <v/>
      </c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 t="str">
        <f t="shared" si="6"/>
        <v/>
      </c>
      <c r="P954" s="2"/>
      <c r="Q954" s="2"/>
      <c r="R954" s="2"/>
      <c r="S954" s="2"/>
      <c r="T954" s="2"/>
      <c r="U954" s="2"/>
      <c r="V954" s="26" t="str">
        <f>IF(OR($A954="",ISERROR(SEARCH("_",$A954))),"",IFERROR(SUMIFS(Trade_Reports!$Z$3:$Z$502,Trade_Reports!$H$3:$H$502,$A954,Trade_Reports!$M$3:$M$502,"APPROVED")/SUMIFS(Trade_Reports!$U$3:$U$502,Trade_Reports!$H$3:$H$502,$A954,Trade_Reports!$M$3:$M$502,"APPROVED"),""))</f>
        <v/>
      </c>
      <c r="W954" s="2" t="str">
        <f t="shared" si="7"/>
        <v/>
      </c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 t="str">
        <f t="shared" si="6"/>
        <v/>
      </c>
      <c r="P955" s="2"/>
      <c r="Q955" s="2"/>
      <c r="R955" s="2"/>
      <c r="S955" s="2"/>
      <c r="T955" s="2"/>
      <c r="U955" s="2"/>
      <c r="V955" s="26" t="str">
        <f>IF(OR($A955="",ISERROR(SEARCH("_",$A955))),"",IFERROR(SUMIFS(Trade_Reports!$Z$3:$Z$502,Trade_Reports!$H$3:$H$502,$A955,Trade_Reports!$M$3:$M$502,"APPROVED")/SUMIFS(Trade_Reports!$U$3:$U$502,Trade_Reports!$H$3:$H$502,$A955,Trade_Reports!$M$3:$M$502,"APPROVED"),""))</f>
        <v/>
      </c>
      <c r="W955" s="2" t="str">
        <f t="shared" si="7"/>
        <v/>
      </c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 t="str">
        <f t="shared" si="6"/>
        <v/>
      </c>
      <c r="P956" s="2"/>
      <c r="Q956" s="2"/>
      <c r="R956" s="2"/>
      <c r="S956" s="2"/>
      <c r="T956" s="2"/>
      <c r="U956" s="2"/>
      <c r="V956" s="26" t="str">
        <f>IF(OR($A956="",ISERROR(SEARCH("_",$A956))),"",IFERROR(SUMIFS(Trade_Reports!$Z$3:$Z$502,Trade_Reports!$H$3:$H$502,$A956,Trade_Reports!$M$3:$M$502,"APPROVED")/SUMIFS(Trade_Reports!$U$3:$U$502,Trade_Reports!$H$3:$H$502,$A956,Trade_Reports!$M$3:$M$502,"APPROVED"),""))</f>
        <v/>
      </c>
      <c r="W956" s="2" t="str">
        <f t="shared" si="7"/>
        <v/>
      </c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 t="str">
        <f t="shared" si="6"/>
        <v/>
      </c>
      <c r="P957" s="2"/>
      <c r="Q957" s="2"/>
      <c r="R957" s="2"/>
      <c r="S957" s="2"/>
      <c r="T957" s="2"/>
      <c r="U957" s="2"/>
      <c r="V957" s="26" t="str">
        <f>IF(OR($A957="",ISERROR(SEARCH("_",$A957))),"",IFERROR(SUMIFS(Trade_Reports!$Z$3:$Z$502,Trade_Reports!$H$3:$H$502,$A957,Trade_Reports!$M$3:$M$502,"APPROVED")/SUMIFS(Trade_Reports!$U$3:$U$502,Trade_Reports!$H$3:$H$502,$A957,Trade_Reports!$M$3:$M$502,"APPROVED"),""))</f>
        <v/>
      </c>
      <c r="W957" s="2" t="str">
        <f t="shared" si="7"/>
        <v/>
      </c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 t="str">
        <f t="shared" si="6"/>
        <v/>
      </c>
      <c r="P958" s="2"/>
      <c r="Q958" s="2"/>
      <c r="R958" s="2"/>
      <c r="S958" s="2"/>
      <c r="T958" s="2"/>
      <c r="U958" s="2"/>
      <c r="V958" s="26" t="str">
        <f>IF(OR($A958="",ISERROR(SEARCH("_",$A958))),"",IFERROR(SUMIFS(Trade_Reports!$Z$3:$Z$502,Trade_Reports!$H$3:$H$502,$A958,Trade_Reports!$M$3:$M$502,"APPROVED")/SUMIFS(Trade_Reports!$U$3:$U$502,Trade_Reports!$H$3:$H$502,$A958,Trade_Reports!$M$3:$M$502,"APPROVED"),""))</f>
        <v/>
      </c>
      <c r="W958" s="2" t="str">
        <f t="shared" si="7"/>
        <v/>
      </c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 t="str">
        <f t="shared" si="6"/>
        <v/>
      </c>
      <c r="P959" s="2"/>
      <c r="Q959" s="2"/>
      <c r="R959" s="2"/>
      <c r="S959" s="2"/>
      <c r="T959" s="2"/>
      <c r="U959" s="2"/>
      <c r="V959" s="26" t="str">
        <f>IF(OR($A959="",ISERROR(SEARCH("_",$A959))),"",IFERROR(SUMIFS(Trade_Reports!$Z$3:$Z$502,Trade_Reports!$H$3:$H$502,$A959,Trade_Reports!$M$3:$M$502,"APPROVED")/SUMIFS(Trade_Reports!$U$3:$U$502,Trade_Reports!$H$3:$H$502,$A959,Trade_Reports!$M$3:$M$502,"APPROVED"),""))</f>
        <v/>
      </c>
      <c r="W959" s="2" t="str">
        <f t="shared" si="7"/>
        <v/>
      </c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 t="str">
        <f t="shared" si="6"/>
        <v/>
      </c>
      <c r="P960" s="2"/>
      <c r="Q960" s="2"/>
      <c r="R960" s="2"/>
      <c r="S960" s="2"/>
      <c r="T960" s="2"/>
      <c r="U960" s="2"/>
      <c r="V960" s="26" t="str">
        <f>IF(OR($A960="",ISERROR(SEARCH("_",$A960))),"",IFERROR(SUMIFS(Trade_Reports!$Z$3:$Z$502,Trade_Reports!$H$3:$H$502,$A960,Trade_Reports!$M$3:$M$502,"APPROVED")/SUMIFS(Trade_Reports!$U$3:$U$502,Trade_Reports!$H$3:$H$502,$A960,Trade_Reports!$M$3:$M$502,"APPROVED"),""))</f>
        <v/>
      </c>
      <c r="W960" s="2" t="str">
        <f t="shared" si="7"/>
        <v/>
      </c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 t="str">
        <f t="shared" si="6"/>
        <v/>
      </c>
      <c r="P961" s="2"/>
      <c r="Q961" s="2"/>
      <c r="R961" s="2"/>
      <c r="S961" s="2"/>
      <c r="T961" s="2"/>
      <c r="U961" s="2"/>
      <c r="V961" s="26" t="str">
        <f>IF(OR($A961="",ISERROR(SEARCH("_",$A961))),"",IFERROR(SUMIFS(Trade_Reports!$Z$3:$Z$502,Trade_Reports!$H$3:$H$502,$A961,Trade_Reports!$M$3:$M$502,"APPROVED")/SUMIFS(Trade_Reports!$U$3:$U$502,Trade_Reports!$H$3:$H$502,$A961,Trade_Reports!$M$3:$M$502,"APPROVED"),""))</f>
        <v/>
      </c>
      <c r="W961" s="2" t="str">
        <f t="shared" si="7"/>
        <v/>
      </c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 t="str">
        <f t="shared" si="6"/>
        <v/>
      </c>
      <c r="P962" s="2"/>
      <c r="Q962" s="2"/>
      <c r="R962" s="2"/>
      <c r="S962" s="2"/>
      <c r="T962" s="2"/>
      <c r="U962" s="2"/>
      <c r="V962" s="26" t="str">
        <f>IF(OR($A962="",ISERROR(SEARCH("_",$A962))),"",IFERROR(SUMIFS(Trade_Reports!$Z$3:$Z$502,Trade_Reports!$H$3:$H$502,$A962,Trade_Reports!$M$3:$M$502,"APPROVED")/SUMIFS(Trade_Reports!$U$3:$U$502,Trade_Reports!$H$3:$H$502,$A962,Trade_Reports!$M$3:$M$502,"APPROVED"),""))</f>
        <v/>
      </c>
      <c r="W962" s="2" t="str">
        <f t="shared" si="7"/>
        <v/>
      </c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 t="str">
        <f t="shared" si="6"/>
        <v/>
      </c>
      <c r="P963" s="2"/>
      <c r="Q963" s="2"/>
      <c r="R963" s="2"/>
      <c r="S963" s="2"/>
      <c r="T963" s="2"/>
      <c r="U963" s="2"/>
      <c r="V963" s="26" t="str">
        <f>IF(OR($A963="",ISERROR(SEARCH("_",$A963))),"",IFERROR(SUMIFS(Trade_Reports!$Z$3:$Z$502,Trade_Reports!$H$3:$H$502,$A963,Trade_Reports!$M$3:$M$502,"APPROVED")/SUMIFS(Trade_Reports!$U$3:$U$502,Trade_Reports!$H$3:$H$502,$A963,Trade_Reports!$M$3:$M$502,"APPROVED"),""))</f>
        <v/>
      </c>
      <c r="W963" s="2" t="str">
        <f t="shared" si="7"/>
        <v/>
      </c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 t="str">
        <f t="shared" si="6"/>
        <v/>
      </c>
      <c r="P964" s="2"/>
      <c r="Q964" s="2"/>
      <c r="R964" s="2"/>
      <c r="S964" s="2"/>
      <c r="T964" s="2"/>
      <c r="U964" s="2"/>
      <c r="V964" s="26" t="str">
        <f>IF(OR($A964="",ISERROR(SEARCH("_",$A964))),"",IFERROR(SUMIFS(Trade_Reports!$Z$3:$Z$502,Trade_Reports!$H$3:$H$502,$A964,Trade_Reports!$M$3:$M$502,"APPROVED")/SUMIFS(Trade_Reports!$U$3:$U$502,Trade_Reports!$H$3:$H$502,$A964,Trade_Reports!$M$3:$M$502,"APPROVED"),""))</f>
        <v/>
      </c>
      <c r="W964" s="2" t="str">
        <f t="shared" si="7"/>
        <v/>
      </c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 t="str">
        <f t="shared" si="6"/>
        <v/>
      </c>
      <c r="P965" s="2"/>
      <c r="Q965" s="2"/>
      <c r="R965" s="2"/>
      <c r="S965" s="2"/>
      <c r="T965" s="2"/>
      <c r="U965" s="2"/>
      <c r="V965" s="26" t="str">
        <f>IF(OR($A965="",ISERROR(SEARCH("_",$A965))),"",IFERROR(SUMIFS(Trade_Reports!$Z$3:$Z$502,Trade_Reports!$H$3:$H$502,$A965,Trade_Reports!$M$3:$M$502,"APPROVED")/SUMIFS(Trade_Reports!$U$3:$U$502,Trade_Reports!$H$3:$H$502,$A965,Trade_Reports!$M$3:$M$502,"APPROVED"),""))</f>
        <v/>
      </c>
      <c r="W965" s="2" t="str">
        <f t="shared" si="7"/>
        <v/>
      </c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 t="str">
        <f t="shared" si="6"/>
        <v/>
      </c>
      <c r="P966" s="2"/>
      <c r="Q966" s="2"/>
      <c r="R966" s="2"/>
      <c r="S966" s="2"/>
      <c r="T966" s="2"/>
      <c r="U966" s="2"/>
      <c r="V966" s="26" t="str">
        <f>IF(OR($A966="",ISERROR(SEARCH("_",$A966))),"",IFERROR(SUMIFS(Trade_Reports!$Z$3:$Z$502,Trade_Reports!$H$3:$H$502,$A966,Trade_Reports!$M$3:$M$502,"APPROVED")/SUMIFS(Trade_Reports!$U$3:$U$502,Trade_Reports!$H$3:$H$502,$A966,Trade_Reports!$M$3:$M$502,"APPROVED"),""))</f>
        <v/>
      </c>
      <c r="W966" s="2" t="str">
        <f t="shared" si="7"/>
        <v/>
      </c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 t="str">
        <f t="shared" si="6"/>
        <v/>
      </c>
      <c r="P967" s="2"/>
      <c r="Q967" s="2"/>
      <c r="R967" s="2"/>
      <c r="S967" s="2"/>
      <c r="T967" s="2"/>
      <c r="U967" s="2"/>
      <c r="V967" s="26" t="str">
        <f>IF(OR($A967="",ISERROR(SEARCH("_",$A967))),"",IFERROR(SUMIFS(Trade_Reports!$Z$3:$Z$502,Trade_Reports!$H$3:$H$502,$A967,Trade_Reports!$M$3:$M$502,"APPROVED")/SUMIFS(Trade_Reports!$U$3:$U$502,Trade_Reports!$H$3:$H$502,$A967,Trade_Reports!$M$3:$M$502,"APPROVED"),""))</f>
        <v/>
      </c>
      <c r="W967" s="2" t="str">
        <f t="shared" si="7"/>
        <v/>
      </c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 t="str">
        <f t="shared" si="6"/>
        <v/>
      </c>
      <c r="P968" s="2"/>
      <c r="Q968" s="2"/>
      <c r="R968" s="2"/>
      <c r="S968" s="2"/>
      <c r="T968" s="2"/>
      <c r="U968" s="2"/>
      <c r="V968" s="26" t="str">
        <f>IF(OR($A968="",ISERROR(SEARCH("_",$A968))),"",IFERROR(SUMIFS(Trade_Reports!$Z$3:$Z$502,Trade_Reports!$H$3:$H$502,$A968,Trade_Reports!$M$3:$M$502,"APPROVED")/SUMIFS(Trade_Reports!$U$3:$U$502,Trade_Reports!$H$3:$H$502,$A968,Trade_Reports!$M$3:$M$502,"APPROVED"),""))</f>
        <v/>
      </c>
      <c r="W968" s="2" t="str">
        <f t="shared" si="7"/>
        <v/>
      </c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 t="str">
        <f t="shared" si="6"/>
        <v/>
      </c>
      <c r="P969" s="2"/>
      <c r="Q969" s="2"/>
      <c r="R969" s="2"/>
      <c r="S969" s="2"/>
      <c r="T969" s="2"/>
      <c r="U969" s="2"/>
      <c r="V969" s="26" t="str">
        <f>IF(OR($A969="",ISERROR(SEARCH("_",$A969))),"",IFERROR(SUMIFS(Trade_Reports!$Z$3:$Z$502,Trade_Reports!$H$3:$H$502,$A969,Trade_Reports!$M$3:$M$502,"APPROVED")/SUMIFS(Trade_Reports!$U$3:$U$502,Trade_Reports!$H$3:$H$502,$A969,Trade_Reports!$M$3:$M$502,"APPROVED"),""))</f>
        <v/>
      </c>
      <c r="W969" s="2" t="str">
        <f t="shared" si="7"/>
        <v/>
      </c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 t="str">
        <f t="shared" si="6"/>
        <v/>
      </c>
      <c r="P970" s="2"/>
      <c r="Q970" s="2"/>
      <c r="R970" s="2"/>
      <c r="S970" s="2"/>
      <c r="T970" s="2"/>
      <c r="U970" s="2"/>
      <c r="V970" s="26" t="str">
        <f>IF(OR($A970="",ISERROR(SEARCH("_",$A970))),"",IFERROR(SUMIFS(Trade_Reports!$Z$3:$Z$502,Trade_Reports!$H$3:$H$502,$A970,Trade_Reports!$M$3:$M$502,"APPROVED")/SUMIFS(Trade_Reports!$U$3:$U$502,Trade_Reports!$H$3:$H$502,$A970,Trade_Reports!$M$3:$M$502,"APPROVED"),""))</f>
        <v/>
      </c>
      <c r="W970" s="2" t="str">
        <f t="shared" si="7"/>
        <v/>
      </c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 t="str">
        <f t="shared" si="6"/>
        <v/>
      </c>
      <c r="P971" s="2"/>
      <c r="Q971" s="2"/>
      <c r="R971" s="2"/>
      <c r="S971" s="2"/>
      <c r="T971" s="2"/>
      <c r="U971" s="2"/>
      <c r="V971" s="26" t="str">
        <f>IF(OR($A971="",ISERROR(SEARCH("_",$A971))),"",IFERROR(SUMIFS(Trade_Reports!$Z$3:$Z$502,Trade_Reports!$H$3:$H$502,$A971,Trade_Reports!$M$3:$M$502,"APPROVED")/SUMIFS(Trade_Reports!$U$3:$U$502,Trade_Reports!$H$3:$H$502,$A971,Trade_Reports!$M$3:$M$502,"APPROVED"),""))</f>
        <v/>
      </c>
      <c r="W971" s="2" t="str">
        <f t="shared" si="7"/>
        <v/>
      </c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 t="str">
        <f t="shared" si="6"/>
        <v/>
      </c>
      <c r="P972" s="2"/>
      <c r="Q972" s="2"/>
      <c r="R972" s="2"/>
      <c r="S972" s="2"/>
      <c r="T972" s="2"/>
      <c r="U972" s="2"/>
      <c r="V972" s="26" t="str">
        <f>IF(OR($A972="",ISERROR(SEARCH("_",$A972))),"",IFERROR(SUMIFS(Trade_Reports!$Z$3:$Z$502,Trade_Reports!$H$3:$H$502,$A972,Trade_Reports!$M$3:$M$502,"APPROVED")/SUMIFS(Trade_Reports!$U$3:$U$502,Trade_Reports!$H$3:$H$502,$A972,Trade_Reports!$M$3:$M$502,"APPROVED"),""))</f>
        <v/>
      </c>
      <c r="W972" s="2" t="str">
        <f t="shared" si="7"/>
        <v/>
      </c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 t="str">
        <f t="shared" si="6"/>
        <v/>
      </c>
      <c r="P973" s="2"/>
      <c r="Q973" s="2"/>
      <c r="R973" s="2"/>
      <c r="S973" s="2"/>
      <c r="T973" s="2"/>
      <c r="U973" s="2"/>
      <c r="V973" s="26" t="str">
        <f>IF(OR($A973="",ISERROR(SEARCH("_",$A973))),"",IFERROR(SUMIFS(Trade_Reports!$Z$3:$Z$502,Trade_Reports!$H$3:$H$502,$A973,Trade_Reports!$M$3:$M$502,"APPROVED")/SUMIFS(Trade_Reports!$U$3:$U$502,Trade_Reports!$H$3:$H$502,$A973,Trade_Reports!$M$3:$M$502,"APPROVED"),""))</f>
        <v/>
      </c>
      <c r="W973" s="2" t="str">
        <f t="shared" si="7"/>
        <v/>
      </c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 t="str">
        <f t="shared" si="6"/>
        <v/>
      </c>
      <c r="P974" s="2"/>
      <c r="Q974" s="2"/>
      <c r="R974" s="2"/>
      <c r="S974" s="2"/>
      <c r="T974" s="2"/>
      <c r="U974" s="2"/>
      <c r="V974" s="26" t="str">
        <f>IF(OR($A974="",ISERROR(SEARCH("_",$A974))),"",IFERROR(SUMIFS(Trade_Reports!$Z$3:$Z$502,Trade_Reports!$H$3:$H$502,$A974,Trade_Reports!$M$3:$M$502,"APPROVED")/SUMIFS(Trade_Reports!$U$3:$U$502,Trade_Reports!$H$3:$H$502,$A974,Trade_Reports!$M$3:$M$502,"APPROVED"),""))</f>
        <v/>
      </c>
      <c r="W974" s="2" t="str">
        <f t="shared" si="7"/>
        <v/>
      </c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 t="str">
        <f t="shared" si="6"/>
        <v/>
      </c>
      <c r="P975" s="2"/>
      <c r="Q975" s="2"/>
      <c r="R975" s="2"/>
      <c r="S975" s="2"/>
      <c r="T975" s="2"/>
      <c r="U975" s="2"/>
      <c r="V975" s="26" t="str">
        <f>IF(OR($A975="",ISERROR(SEARCH("_",$A975))),"",IFERROR(SUMIFS(Trade_Reports!$Z$3:$Z$502,Trade_Reports!$H$3:$H$502,$A975,Trade_Reports!$M$3:$M$502,"APPROVED")/SUMIFS(Trade_Reports!$U$3:$U$502,Trade_Reports!$H$3:$H$502,$A975,Trade_Reports!$M$3:$M$502,"APPROVED"),""))</f>
        <v/>
      </c>
      <c r="W975" s="2" t="str">
        <f t="shared" si="7"/>
        <v/>
      </c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 t="str">
        <f t="shared" si="6"/>
        <v/>
      </c>
      <c r="P976" s="2"/>
      <c r="Q976" s="2"/>
      <c r="R976" s="2"/>
      <c r="S976" s="2"/>
      <c r="T976" s="2"/>
      <c r="U976" s="2"/>
      <c r="V976" s="26" t="str">
        <f>IF(OR($A976="",ISERROR(SEARCH("_",$A976))),"",IFERROR(SUMIFS(Trade_Reports!$Z$3:$Z$502,Trade_Reports!$H$3:$H$502,$A976,Trade_Reports!$M$3:$M$502,"APPROVED")/SUMIFS(Trade_Reports!$U$3:$U$502,Trade_Reports!$H$3:$H$502,$A976,Trade_Reports!$M$3:$M$502,"APPROVED"),""))</f>
        <v/>
      </c>
      <c r="W976" s="2" t="str">
        <f t="shared" si="7"/>
        <v/>
      </c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 t="str">
        <f t="shared" si="6"/>
        <v/>
      </c>
      <c r="P977" s="2"/>
      <c r="Q977" s="2"/>
      <c r="R977" s="2"/>
      <c r="S977" s="2"/>
      <c r="T977" s="2"/>
      <c r="U977" s="2"/>
      <c r="V977" s="26" t="str">
        <f>IF(OR($A977="",ISERROR(SEARCH("_",$A977))),"",IFERROR(SUMIFS(Trade_Reports!$Z$3:$Z$502,Trade_Reports!$H$3:$H$502,$A977,Trade_Reports!$M$3:$M$502,"APPROVED")/SUMIFS(Trade_Reports!$U$3:$U$502,Trade_Reports!$H$3:$H$502,$A977,Trade_Reports!$M$3:$M$502,"APPROVED"),""))</f>
        <v/>
      </c>
      <c r="W977" s="2" t="str">
        <f t="shared" si="7"/>
        <v/>
      </c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 t="str">
        <f t="shared" si="6"/>
        <v/>
      </c>
      <c r="P978" s="2"/>
      <c r="Q978" s="2"/>
      <c r="R978" s="2"/>
      <c r="S978" s="2"/>
      <c r="T978" s="2"/>
      <c r="U978" s="2"/>
      <c r="V978" s="26" t="str">
        <f>IF(OR($A978="",ISERROR(SEARCH("_",$A978))),"",IFERROR(SUMIFS(Trade_Reports!$Z$3:$Z$502,Trade_Reports!$H$3:$H$502,$A978,Trade_Reports!$M$3:$M$502,"APPROVED")/SUMIFS(Trade_Reports!$U$3:$U$502,Trade_Reports!$H$3:$H$502,$A978,Trade_Reports!$M$3:$M$502,"APPROVED"),""))</f>
        <v/>
      </c>
      <c r="W978" s="2" t="str">
        <f t="shared" si="7"/>
        <v/>
      </c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 t="str">
        <f t="shared" si="6"/>
        <v/>
      </c>
      <c r="P979" s="2"/>
      <c r="Q979" s="2"/>
      <c r="R979" s="2"/>
      <c r="S979" s="2"/>
      <c r="T979" s="2"/>
      <c r="U979" s="2"/>
      <c r="V979" s="26" t="str">
        <f>IF(OR($A979="",ISERROR(SEARCH("_",$A979))),"",IFERROR(SUMIFS(Trade_Reports!$Z$3:$Z$502,Trade_Reports!$H$3:$H$502,$A979,Trade_Reports!$M$3:$M$502,"APPROVED")/SUMIFS(Trade_Reports!$U$3:$U$502,Trade_Reports!$H$3:$H$502,$A979,Trade_Reports!$M$3:$M$502,"APPROVED"),""))</f>
        <v/>
      </c>
      <c r="W979" s="2" t="str">
        <f t="shared" si="7"/>
        <v/>
      </c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 t="str">
        <f t="shared" si="6"/>
        <v/>
      </c>
      <c r="P980" s="2"/>
      <c r="Q980" s="2"/>
      <c r="R980" s="2"/>
      <c r="S980" s="2"/>
      <c r="T980" s="2"/>
      <c r="U980" s="2"/>
      <c r="V980" s="26" t="str">
        <f>IF(OR($A980="",ISERROR(SEARCH("_",$A980))),"",IFERROR(SUMIFS(Trade_Reports!$Z$3:$Z$502,Trade_Reports!$H$3:$H$502,$A980,Trade_Reports!$M$3:$M$502,"APPROVED")/SUMIFS(Trade_Reports!$U$3:$U$502,Trade_Reports!$H$3:$H$502,$A980,Trade_Reports!$M$3:$M$502,"APPROVED"),""))</f>
        <v/>
      </c>
      <c r="W980" s="2" t="str">
        <f t="shared" si="7"/>
        <v/>
      </c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 t="str">
        <f t="shared" si="6"/>
        <v/>
      </c>
      <c r="P981" s="2"/>
      <c r="Q981" s="2"/>
      <c r="R981" s="2"/>
      <c r="S981" s="2"/>
      <c r="T981" s="2"/>
      <c r="U981" s="2"/>
      <c r="V981" s="26" t="str">
        <f>IF(OR($A981="",ISERROR(SEARCH("_",$A981))),"",IFERROR(SUMIFS(Trade_Reports!$Z$3:$Z$502,Trade_Reports!$H$3:$H$502,$A981,Trade_Reports!$M$3:$M$502,"APPROVED")/SUMIFS(Trade_Reports!$U$3:$U$502,Trade_Reports!$H$3:$H$502,$A981,Trade_Reports!$M$3:$M$502,"APPROVED"),""))</f>
        <v/>
      </c>
      <c r="W981" s="2" t="str">
        <f t="shared" si="7"/>
        <v/>
      </c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 t="str">
        <f t="shared" si="6"/>
        <v/>
      </c>
      <c r="P982" s="2"/>
      <c r="Q982" s="2"/>
      <c r="R982" s="2"/>
      <c r="S982" s="2"/>
      <c r="T982" s="2"/>
      <c r="U982" s="2"/>
      <c r="V982" s="26" t="str">
        <f>IF(OR($A982="",ISERROR(SEARCH("_",$A982))),"",IFERROR(SUMIFS(Trade_Reports!$Z$3:$Z$502,Trade_Reports!$H$3:$H$502,$A982,Trade_Reports!$M$3:$M$502,"APPROVED")/SUMIFS(Trade_Reports!$U$3:$U$502,Trade_Reports!$H$3:$H$502,$A982,Trade_Reports!$M$3:$M$502,"APPROVED"),""))</f>
        <v/>
      </c>
      <c r="W982" s="2" t="str">
        <f t="shared" si="7"/>
        <v/>
      </c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 t="str">
        <f t="shared" si="6"/>
        <v/>
      </c>
      <c r="P983" s="2"/>
      <c r="Q983" s="2"/>
      <c r="R983" s="2"/>
      <c r="S983" s="2"/>
      <c r="T983" s="2"/>
      <c r="U983" s="2"/>
      <c r="V983" s="26" t="str">
        <f>IF(OR($A983="",ISERROR(SEARCH("_",$A983))),"",IFERROR(SUMIFS(Trade_Reports!$Z$3:$Z$502,Trade_Reports!$H$3:$H$502,$A983,Trade_Reports!$M$3:$M$502,"APPROVED")/SUMIFS(Trade_Reports!$U$3:$U$502,Trade_Reports!$H$3:$H$502,$A983,Trade_Reports!$M$3:$M$502,"APPROVED"),""))</f>
        <v/>
      </c>
      <c r="W983" s="2" t="str">
        <f t="shared" si="7"/>
        <v/>
      </c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 t="str">
        <f t="shared" si="6"/>
        <v/>
      </c>
      <c r="P984" s="2"/>
      <c r="Q984" s="2"/>
      <c r="R984" s="2"/>
      <c r="S984" s="2"/>
      <c r="T984" s="2"/>
      <c r="U984" s="2"/>
      <c r="V984" s="26" t="str">
        <f>IF(OR($A984="",ISERROR(SEARCH("_",$A984))),"",IFERROR(SUMIFS(Trade_Reports!$Z$3:$Z$502,Trade_Reports!$H$3:$H$502,$A984,Trade_Reports!$M$3:$M$502,"APPROVED")/SUMIFS(Trade_Reports!$U$3:$U$502,Trade_Reports!$H$3:$H$502,$A984,Trade_Reports!$M$3:$M$502,"APPROVED"),""))</f>
        <v/>
      </c>
      <c r="W984" s="2" t="str">
        <f t="shared" si="7"/>
        <v/>
      </c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 t="str">
        <f t="shared" si="6"/>
        <v/>
      </c>
      <c r="P985" s="2"/>
      <c r="Q985" s="2"/>
      <c r="R985" s="2"/>
      <c r="S985" s="2"/>
      <c r="T985" s="2"/>
      <c r="U985" s="2"/>
      <c r="V985" s="26" t="str">
        <f>IF(OR($A985="",ISERROR(SEARCH("_",$A985))),"",IFERROR(SUMIFS(Trade_Reports!$Z$3:$Z$502,Trade_Reports!$H$3:$H$502,$A985,Trade_Reports!$M$3:$M$502,"APPROVED")/SUMIFS(Trade_Reports!$U$3:$U$502,Trade_Reports!$H$3:$H$502,$A985,Trade_Reports!$M$3:$M$502,"APPROVED"),""))</f>
        <v/>
      </c>
      <c r="W985" s="2" t="str">
        <f t="shared" si="7"/>
        <v/>
      </c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 t="str">
        <f t="shared" si="6"/>
        <v/>
      </c>
      <c r="P986" s="2"/>
      <c r="Q986" s="2"/>
      <c r="R986" s="2"/>
      <c r="S986" s="2"/>
      <c r="T986" s="2"/>
      <c r="U986" s="2"/>
      <c r="V986" s="26" t="str">
        <f>IF(OR($A986="",ISERROR(SEARCH("_",$A986))),"",IFERROR(SUMIFS(Trade_Reports!$Z$3:$Z$502,Trade_Reports!$H$3:$H$502,$A986,Trade_Reports!$M$3:$M$502,"APPROVED")/SUMIFS(Trade_Reports!$U$3:$U$502,Trade_Reports!$H$3:$H$502,$A986,Trade_Reports!$M$3:$M$502,"APPROVED"),""))</f>
        <v/>
      </c>
      <c r="W986" s="2" t="str">
        <f t="shared" si="7"/>
        <v/>
      </c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 t="str">
        <f t="shared" si="6"/>
        <v/>
      </c>
      <c r="P987" s="2"/>
      <c r="Q987" s="2"/>
      <c r="R987" s="2"/>
      <c r="S987" s="2"/>
      <c r="T987" s="2"/>
      <c r="U987" s="2"/>
      <c r="V987" s="26" t="str">
        <f>IF(OR($A987="",ISERROR(SEARCH("_",$A987))),"",IFERROR(SUMIFS(Trade_Reports!$Z$3:$Z$502,Trade_Reports!$H$3:$H$502,$A987,Trade_Reports!$M$3:$M$502,"APPROVED")/SUMIFS(Trade_Reports!$U$3:$U$502,Trade_Reports!$H$3:$H$502,$A987,Trade_Reports!$M$3:$M$502,"APPROVED"),""))</f>
        <v/>
      </c>
      <c r="W987" s="2" t="str">
        <f t="shared" si="7"/>
        <v/>
      </c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 t="str">
        <f t="shared" si="6"/>
        <v/>
      </c>
      <c r="P988" s="2"/>
      <c r="Q988" s="2"/>
      <c r="R988" s="2"/>
      <c r="S988" s="2"/>
      <c r="T988" s="2"/>
      <c r="U988" s="2"/>
      <c r="V988" s="26" t="str">
        <f>IF(OR($A988="",ISERROR(SEARCH("_",$A988))),"",IFERROR(SUMIFS(Trade_Reports!$Z$3:$Z$502,Trade_Reports!$H$3:$H$502,$A988,Trade_Reports!$M$3:$M$502,"APPROVED")/SUMIFS(Trade_Reports!$U$3:$U$502,Trade_Reports!$H$3:$H$502,$A988,Trade_Reports!$M$3:$M$502,"APPROVED"),""))</f>
        <v/>
      </c>
      <c r="W988" s="2" t="str">
        <f t="shared" si="7"/>
        <v/>
      </c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 t="str">
        <f t="shared" si="6"/>
        <v/>
      </c>
      <c r="P989" s="2"/>
      <c r="Q989" s="2"/>
      <c r="R989" s="2"/>
      <c r="S989" s="2"/>
      <c r="T989" s="2"/>
      <c r="U989" s="2"/>
      <c r="V989" s="26" t="str">
        <f>IF(OR($A989="",ISERROR(SEARCH("_",$A989))),"",IFERROR(SUMIFS(Trade_Reports!$Z$3:$Z$502,Trade_Reports!$H$3:$H$502,$A989,Trade_Reports!$M$3:$M$502,"APPROVED")/SUMIFS(Trade_Reports!$U$3:$U$502,Trade_Reports!$H$3:$H$502,$A989,Trade_Reports!$M$3:$M$502,"APPROVED"),""))</f>
        <v/>
      </c>
      <c r="W989" s="2" t="str">
        <f t="shared" si="7"/>
        <v/>
      </c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 t="str">
        <f t="shared" si="6"/>
        <v/>
      </c>
      <c r="P990" s="2"/>
      <c r="Q990" s="2"/>
      <c r="R990" s="2"/>
      <c r="S990" s="2"/>
      <c r="T990" s="2"/>
      <c r="U990" s="2"/>
      <c r="V990" s="26" t="str">
        <f>IF(OR($A990="",ISERROR(SEARCH("_",$A990))),"",IFERROR(SUMIFS(Trade_Reports!$Z$3:$Z$502,Trade_Reports!$H$3:$H$502,$A990,Trade_Reports!$M$3:$M$502,"APPROVED")/SUMIFS(Trade_Reports!$U$3:$U$502,Trade_Reports!$H$3:$H$502,$A990,Trade_Reports!$M$3:$M$502,"APPROVED"),""))</f>
        <v/>
      </c>
      <c r="W990" s="2" t="str">
        <f t="shared" si="7"/>
        <v/>
      </c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 t="str">
        <f t="shared" si="6"/>
        <v/>
      </c>
      <c r="P991" s="2"/>
      <c r="Q991" s="2"/>
      <c r="R991" s="2"/>
      <c r="S991" s="2"/>
      <c r="T991" s="2"/>
      <c r="U991" s="2"/>
      <c r="V991" s="26" t="str">
        <f>IF(OR($A991="",ISERROR(SEARCH("_",$A991))),"",IFERROR(SUMIFS(Trade_Reports!$Z$3:$Z$502,Trade_Reports!$H$3:$H$502,$A991,Trade_Reports!$M$3:$M$502,"APPROVED")/SUMIFS(Trade_Reports!$U$3:$U$502,Trade_Reports!$H$3:$H$502,$A991,Trade_Reports!$M$3:$M$502,"APPROVED"),""))</f>
        <v/>
      </c>
      <c r="W991" s="2" t="str">
        <f t="shared" si="7"/>
        <v/>
      </c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 t="str">
        <f t="shared" si="6"/>
        <v/>
      </c>
      <c r="P992" s="2"/>
      <c r="Q992" s="2"/>
      <c r="R992" s="2"/>
      <c r="S992" s="2"/>
      <c r="T992" s="2"/>
      <c r="U992" s="2"/>
      <c r="V992" s="26" t="str">
        <f>IF(OR($A992="",ISERROR(SEARCH("_",$A992))),"",IFERROR(SUMIFS(Trade_Reports!$Z$3:$Z$502,Trade_Reports!$H$3:$H$502,$A992,Trade_Reports!$M$3:$M$502,"APPROVED")/SUMIFS(Trade_Reports!$U$3:$U$502,Trade_Reports!$H$3:$H$502,$A992,Trade_Reports!$M$3:$M$502,"APPROVED"),""))</f>
        <v/>
      </c>
      <c r="W992" s="2" t="str">
        <f t="shared" si="7"/>
        <v/>
      </c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 t="str">
        <f t="shared" si="6"/>
        <v/>
      </c>
      <c r="P993" s="2"/>
      <c r="Q993" s="2"/>
      <c r="R993" s="2"/>
      <c r="S993" s="2"/>
      <c r="T993" s="2"/>
      <c r="U993" s="2"/>
      <c r="V993" s="26" t="str">
        <f>IF(OR($A993="",ISERROR(SEARCH("_",$A993))),"",IFERROR(SUMIFS(Trade_Reports!$Z$3:$Z$502,Trade_Reports!$H$3:$H$502,$A993,Trade_Reports!$M$3:$M$502,"APPROVED")/SUMIFS(Trade_Reports!$U$3:$U$502,Trade_Reports!$H$3:$H$502,$A993,Trade_Reports!$M$3:$M$502,"APPROVED"),""))</f>
        <v/>
      </c>
      <c r="W993" s="2" t="str">
        <f t="shared" si="7"/>
        <v/>
      </c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 t="str">
        <f t="shared" si="6"/>
        <v/>
      </c>
      <c r="P994" s="2"/>
      <c r="Q994" s="2"/>
      <c r="R994" s="2"/>
      <c r="S994" s="2"/>
      <c r="T994" s="2"/>
      <c r="U994" s="2"/>
      <c r="V994" s="26" t="str">
        <f>IF(OR($A994="",ISERROR(SEARCH("_",$A994))),"",IFERROR(SUMIFS(Trade_Reports!$Z$3:$Z$502,Trade_Reports!$H$3:$H$502,$A994,Trade_Reports!$M$3:$M$502,"APPROVED")/SUMIFS(Trade_Reports!$U$3:$U$502,Trade_Reports!$H$3:$H$502,$A994,Trade_Reports!$M$3:$M$502,"APPROVED"),""))</f>
        <v/>
      </c>
      <c r="W994" s="2" t="str">
        <f t="shared" si="7"/>
        <v/>
      </c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 t="str">
        <f t="shared" si="6"/>
        <v/>
      </c>
      <c r="P995" s="2"/>
      <c r="Q995" s="2"/>
      <c r="R995" s="2"/>
      <c r="S995" s="2"/>
      <c r="T995" s="2"/>
      <c r="U995" s="2"/>
      <c r="V995" s="26" t="str">
        <f>IF(OR($A995="",ISERROR(SEARCH("_",$A995))),"",IFERROR(SUMIFS(Trade_Reports!$Z$3:$Z$502,Trade_Reports!$H$3:$H$502,$A995,Trade_Reports!$M$3:$M$502,"APPROVED")/SUMIFS(Trade_Reports!$U$3:$U$502,Trade_Reports!$H$3:$H$502,$A995,Trade_Reports!$M$3:$M$502,"APPROVED"),""))</f>
        <v/>
      </c>
      <c r="W995" s="2" t="str">
        <f t="shared" si="7"/>
        <v/>
      </c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 t="str">
        <f t="shared" si="6"/>
        <v/>
      </c>
      <c r="P996" s="2"/>
      <c r="Q996" s="2"/>
      <c r="R996" s="2"/>
      <c r="S996" s="2"/>
      <c r="T996" s="2"/>
      <c r="U996" s="2"/>
      <c r="V996" s="26" t="str">
        <f>IF(OR($A996="",ISERROR(SEARCH("_",$A996))),"",IFERROR(SUMIFS(Trade_Reports!$Z$3:$Z$502,Trade_Reports!$H$3:$H$502,$A996,Trade_Reports!$M$3:$M$502,"APPROVED")/SUMIFS(Trade_Reports!$U$3:$U$502,Trade_Reports!$H$3:$H$502,$A996,Trade_Reports!$M$3:$M$502,"APPROVED"),""))</f>
        <v/>
      </c>
      <c r="W996" s="2" t="str">
        <f t="shared" si="7"/>
        <v/>
      </c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 t="str">
        <f t="shared" si="6"/>
        <v/>
      </c>
      <c r="P997" s="2"/>
      <c r="Q997" s="2"/>
      <c r="R997" s="2"/>
      <c r="S997" s="2"/>
      <c r="T997" s="2"/>
      <c r="U997" s="2"/>
      <c r="V997" s="26" t="str">
        <f>IF(OR($A997="",ISERROR(SEARCH("_",$A997))),"",IFERROR(SUMIFS(Trade_Reports!$Z$3:$Z$502,Trade_Reports!$H$3:$H$502,$A997,Trade_Reports!$M$3:$M$502,"APPROVED")/SUMIFS(Trade_Reports!$U$3:$U$502,Trade_Reports!$H$3:$H$502,$A997,Trade_Reports!$M$3:$M$502,"APPROVED"),""))</f>
        <v/>
      </c>
      <c r="W997" s="2" t="str">
        <f t="shared" si="7"/>
        <v/>
      </c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 t="str">
        <f t="shared" si="6"/>
        <v/>
      </c>
      <c r="P998" s="2"/>
      <c r="Q998" s="2"/>
      <c r="R998" s="2"/>
      <c r="S998" s="2"/>
      <c r="T998" s="2"/>
      <c r="U998" s="2"/>
      <c r="V998" s="26" t="str">
        <f>IF(OR($A998="",ISERROR(SEARCH("_",$A998))),"",IFERROR(SUMIFS(Trade_Reports!$Z$3:$Z$502,Trade_Reports!$H$3:$H$502,$A998,Trade_Reports!$M$3:$M$502,"APPROVED")/SUMIFS(Trade_Reports!$U$3:$U$502,Trade_Reports!$H$3:$H$502,$A998,Trade_Reports!$M$3:$M$502,"APPROVED"),""))</f>
        <v/>
      </c>
      <c r="W998" s="2" t="str">
        <f t="shared" si="7"/>
        <v/>
      </c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 t="str">
        <f t="shared" si="6"/>
        <v/>
      </c>
      <c r="P999" s="2"/>
      <c r="Q999" s="2"/>
      <c r="R999" s="2"/>
      <c r="S999" s="2"/>
      <c r="T999" s="2"/>
      <c r="U999" s="2"/>
      <c r="V999" s="26" t="str">
        <f>IF(OR($A999="",ISERROR(SEARCH("_",$A999))),"",IFERROR(SUMIFS(Trade_Reports!$Z$3:$Z$502,Trade_Reports!$H$3:$H$502,$A999,Trade_Reports!$M$3:$M$502,"APPROVED")/SUMIFS(Trade_Reports!$U$3:$U$502,Trade_Reports!$H$3:$H$502,$A999,Trade_Reports!$M$3:$M$502,"APPROVED"),""))</f>
        <v/>
      </c>
      <c r="W999" s="2" t="str">
        <f t="shared" si="7"/>
        <v/>
      </c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 t="str">
        <f t="shared" si="6"/>
        <v/>
      </c>
      <c r="P1000" s="2"/>
      <c r="Q1000" s="2"/>
      <c r="R1000" s="2"/>
      <c r="S1000" s="2"/>
      <c r="T1000" s="2"/>
      <c r="U1000" s="2"/>
      <c r="V1000" s="26" t="str">
        <f>IF(OR($A1000="",ISERROR(SEARCH("_",$A1000))),"",IFERROR(SUMIFS(Trade_Reports!$Z$3:$Z$502,Trade_Reports!$H$3:$H$502,$A1000,Trade_Reports!$M$3:$M$502,"APPROVED")/SUMIFS(Trade_Reports!$U$3:$U$502,Trade_Reports!$H$3:$H$502,$A1000,Trade_Reports!$M$3:$M$502,"APPROVED"),""))</f>
        <v/>
      </c>
      <c r="W1000" s="2" t="str">
        <f t="shared" si="7"/>
        <v/>
      </c>
      <c r="X1000" s="2"/>
      <c r="Y1000" s="2"/>
      <c r="Z1000" s="2"/>
    </row>
  </sheetData>
  <mergeCells count="2">
    <mergeCell ref="A1:N1"/>
    <mergeCell ref="O1:T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18" customWidth="1"/>
    <col min="3" max="3" width="12" customWidth="1"/>
    <col min="4" max="4" width="18" customWidth="1"/>
    <col min="5" max="5" width="16" customWidth="1"/>
    <col min="6" max="6" width="12" customWidth="1"/>
    <col min="7" max="7" width="26" customWidth="1"/>
    <col min="8" max="8" width="16" customWidth="1"/>
    <col min="9" max="9" width="18" customWidth="1"/>
    <col min="10" max="12" width="22" customWidth="1"/>
    <col min="13" max="14" width="14" customWidth="1"/>
    <col min="15" max="15" width="18" customWidth="1"/>
    <col min="16" max="16" width="16" customWidth="1"/>
    <col min="17" max="17" width="14" customWidth="1"/>
    <col min="18" max="18" width="16" customWidth="1"/>
    <col min="19" max="20" width="14" customWidth="1"/>
    <col min="21" max="21" width="16" customWidth="1"/>
    <col min="22" max="22" width="18" customWidth="1"/>
    <col min="23" max="24" width="16" customWidth="1"/>
    <col min="25" max="26" width="14" customWidth="1"/>
  </cols>
  <sheetData>
    <row r="1" spans="1:26" ht="25.5" customHeight="1" x14ac:dyDescent="0.3">
      <c r="A1" s="34" t="s">
        <v>149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  <c r="Y1" s="2"/>
      <c r="Z1" s="2"/>
    </row>
    <row r="2" spans="1:26" ht="19.5" customHeight="1" x14ac:dyDescent="0.3">
      <c r="A2" s="13" t="s">
        <v>150</v>
      </c>
      <c r="B2" s="13"/>
      <c r="C2" s="27" t="s">
        <v>151</v>
      </c>
      <c r="D2" s="13" t="s">
        <v>152</v>
      </c>
      <c r="E2" s="13" t="s">
        <v>153</v>
      </c>
      <c r="F2" s="13" t="s">
        <v>34</v>
      </c>
      <c r="G2" s="13" t="s">
        <v>154</v>
      </c>
      <c r="H2" s="13" t="s">
        <v>155</v>
      </c>
      <c r="I2" s="27" t="s">
        <v>156</v>
      </c>
      <c r="J2" s="13" t="s">
        <v>157</v>
      </c>
      <c r="K2" s="13" t="s">
        <v>158</v>
      </c>
      <c r="L2" s="13" t="s">
        <v>159</v>
      </c>
      <c r="M2" s="27" t="s">
        <v>33</v>
      </c>
      <c r="N2" s="13" t="s">
        <v>160</v>
      </c>
      <c r="O2" s="13" t="s">
        <v>161</v>
      </c>
      <c r="P2" s="27" t="s">
        <v>76</v>
      </c>
      <c r="Q2" s="13" t="s">
        <v>162</v>
      </c>
      <c r="R2" s="13" t="s">
        <v>163</v>
      </c>
      <c r="S2" s="13" t="s">
        <v>164</v>
      </c>
      <c r="T2" s="13" t="s">
        <v>165</v>
      </c>
      <c r="U2" s="13" t="s">
        <v>166</v>
      </c>
      <c r="V2" s="13" t="s">
        <v>167</v>
      </c>
      <c r="W2" s="13" t="s">
        <v>168</v>
      </c>
      <c r="X2" s="13" t="s">
        <v>169</v>
      </c>
      <c r="Y2" s="13" t="s">
        <v>170</v>
      </c>
      <c r="Z2" s="13" t="s">
        <v>171</v>
      </c>
    </row>
    <row r="3" spans="1:26" ht="28.8" x14ac:dyDescent="0.3">
      <c r="A3" s="16" t="s">
        <v>172</v>
      </c>
      <c r="B3" s="28"/>
      <c r="C3" s="29">
        <v>46019</v>
      </c>
      <c r="D3" s="16" t="s">
        <v>173</v>
      </c>
      <c r="E3" s="16" t="s">
        <v>174</v>
      </c>
      <c r="F3" s="16" t="s">
        <v>21</v>
      </c>
      <c r="G3" s="30" t="s">
        <v>175</v>
      </c>
      <c r="H3" s="16" t="s">
        <v>85</v>
      </c>
      <c r="I3" s="31">
        <v>5</v>
      </c>
      <c r="J3" s="15" t="s">
        <v>86</v>
      </c>
      <c r="K3" s="15" t="s">
        <v>176</v>
      </c>
      <c r="L3" s="15" t="s">
        <v>177</v>
      </c>
      <c r="M3" s="16" t="s">
        <v>47</v>
      </c>
      <c r="N3" s="17" t="s">
        <v>178</v>
      </c>
      <c r="O3" s="19">
        <f t="shared" ref="O3:O257" si="0">IF($M3="APPROVED",$C3,"")</f>
        <v>46019</v>
      </c>
      <c r="P3" s="17"/>
      <c r="Q3" s="17">
        <f t="shared" ref="Q3:Q257" ca="1" si="1">IF($C3="","",TODAY()-$C3)</f>
        <v>36</v>
      </c>
      <c r="R3" s="21">
        <f ca="1">IF($Q3="","",IF($Q3&lt;=Settings!$B$8,Settings!$C$8,IF($Q3&lt;=Settings!$B$9,Settings!$C$9,IF($Q3&lt;=Settings!$B$10,Settings!$C$10,IF($Q3&lt;=Settings!$B$11,Settings!$C$11,Settings!$C$12)))))</f>
        <v>0.6</v>
      </c>
      <c r="S3" s="21">
        <f>IF($F3="","",IFERROR(VLOOKUP($F3,Settings!$E$8:$F$11,2,FALSE),0))</f>
        <v>1.5</v>
      </c>
      <c r="T3" s="21">
        <f>IF($G3="",Settings!$B$16,1)</f>
        <v>1</v>
      </c>
      <c r="U3" s="21">
        <f t="shared" ref="U3:U257" ca="1" si="2">IF($C3="","",IF($M3&lt;&gt;"APPROVED",0,$R3*$S3*$T3))</f>
        <v>0.89999999999999991</v>
      </c>
      <c r="V3" s="32" t="str">
        <f ca="1">IF($C3="","",IF($Q3&gt;Settings!$B$4,IF($G3="","|","")&amp;"OLD_7D","")&amp;IF($Q3&gt;Settings!$B$5,IF(OR($G3="", $Q3&gt;Settings!$B$4),"|","")&amp;"OLD_30D",""))</f>
        <v>OLD_7D</v>
      </c>
      <c r="W3" s="21">
        <f ca="1">IF(OR($C3="", $M3&lt;&gt;"APPROVED",$I3="", $U3=0),"",SUMIFS($U$3:$U$502,$H$3:$H$502,$H3,$M$3:$M$502,"APPROVED",$Q$3:$Q$502,"&lt;="&amp;Settings!$B$4,$I$3:$I$502,"&lt;="&amp;$I3))</f>
        <v>0</v>
      </c>
      <c r="X3" s="21">
        <f ca="1">IF(OR($C3="", $M3&lt;&gt;"APPROVED",$I3="", $U3=0),"",SUMIFS($U$3:$U$502,$H$3:$H$502,$H3,$M$3:$M$502,"APPROVED",$Q$3:$Q$502,"&lt;="&amp;Settings!$B$5,$I$3:$I$502,"&lt;="&amp;$I3))</f>
        <v>0.89999999999999991</v>
      </c>
      <c r="Y3" s="21" t="str">
        <f>IF($P3="","",IFERROR(MATCH($P3,Lists!$H$2:$H$4,0),""))</f>
        <v/>
      </c>
      <c r="Z3" s="21" t="str">
        <f t="shared" ref="Z3:Z257" si="3">IF($Y3="","",$Y3*$U3)</f>
        <v/>
      </c>
    </row>
    <row r="4" spans="1:26" ht="28.8" x14ac:dyDescent="0.3">
      <c r="A4" s="16" t="str">
        <f t="shared" ref="A4:A258" si="4">IF($C4="","", "R"&amp;TEXT(ROW()-2,"00000"))</f>
        <v>R00002</v>
      </c>
      <c r="B4" s="28"/>
      <c r="C4" s="29">
        <v>46019</v>
      </c>
      <c r="D4" s="16" t="s">
        <v>173</v>
      </c>
      <c r="E4" s="16" t="s">
        <v>174</v>
      </c>
      <c r="F4" s="16" t="s">
        <v>21</v>
      </c>
      <c r="G4" s="33" t="s">
        <v>175</v>
      </c>
      <c r="H4" s="16" t="s">
        <v>85</v>
      </c>
      <c r="I4" s="31">
        <v>7</v>
      </c>
      <c r="J4" s="15"/>
      <c r="K4" s="15"/>
      <c r="L4" s="15"/>
      <c r="M4" s="16" t="s">
        <v>47</v>
      </c>
      <c r="N4" s="17" t="s">
        <v>179</v>
      </c>
      <c r="O4" s="19">
        <f t="shared" si="0"/>
        <v>46019</v>
      </c>
      <c r="P4" s="17"/>
      <c r="Q4" s="17">
        <f t="shared" ca="1" si="1"/>
        <v>36</v>
      </c>
      <c r="R4" s="21">
        <f ca="1">IF($Q4="","",IF($Q4&lt;=Settings!$B$8,Settings!$C$8,IF($Q4&lt;=Settings!$B$9,Settings!$C$9,IF($Q4&lt;=Settings!$B$10,Settings!$C$10,IF($Q4&lt;=Settings!$B$11,Settings!$C$11,Settings!$C$12)))))</f>
        <v>0.6</v>
      </c>
      <c r="S4" s="21">
        <f>IF($F4="","",IFERROR(VLOOKUP($F4,Settings!$E$8:$F$11,2,FALSE),0))</f>
        <v>1.5</v>
      </c>
      <c r="T4" s="21">
        <f>IF($G4="",Settings!$B$16,1)</f>
        <v>1</v>
      </c>
      <c r="U4" s="21">
        <f t="shared" ca="1" si="2"/>
        <v>0.89999999999999991</v>
      </c>
      <c r="V4" s="32" t="str">
        <f ca="1">IF($C4="","",IF($Q4&gt;Settings!$B$4,IF($G4="","|","")&amp;"OLD_7D","")&amp;IF($Q4&gt;Settings!$B$5,IF(OR($G4="", $Q4&gt;Settings!$B$4),"|","")&amp;"OLD_30D",""))</f>
        <v>OLD_7D</v>
      </c>
      <c r="W4" s="21">
        <f ca="1">IF(OR($C4="", $M4&lt;&gt;"APPROVED",$I4="", $U4=0),"",SUMIFS($U$3:$U$502,$H$3:$H$502,$H4,$M$3:$M$502,"APPROVED",$Q$3:$Q$502,"&lt;="&amp;Settings!$B$4,$I$3:$I$502,"&lt;="&amp;$I4))</f>
        <v>0</v>
      </c>
      <c r="X4" s="21">
        <f ca="1">IF(OR($C4="", $M4&lt;&gt;"APPROVED",$I4="", $U4=0),"",SUMIFS($U$3:$U$502,$H$3:$H$502,$H4,$M$3:$M$502,"APPROVED",$Q$3:$Q$502,"&lt;="&amp;Settings!$B$5,$I$3:$I$502,"&lt;="&amp;$I4))</f>
        <v>1.7999999999999998</v>
      </c>
      <c r="Y4" s="21" t="str">
        <f>IF($P4="","",IFERROR(MATCH($P4,Lists!$H$2:$H$4,0),""))</f>
        <v/>
      </c>
      <c r="Z4" s="21" t="str">
        <f t="shared" si="3"/>
        <v/>
      </c>
    </row>
    <row r="5" spans="1:26" ht="28.8" x14ac:dyDescent="0.3">
      <c r="A5" s="16" t="str">
        <f t="shared" si="4"/>
        <v>R00003</v>
      </c>
      <c r="B5" s="28"/>
      <c r="C5" s="29">
        <v>46018</v>
      </c>
      <c r="D5" s="16" t="s">
        <v>173</v>
      </c>
      <c r="E5" s="16" t="s">
        <v>174</v>
      </c>
      <c r="F5" s="16" t="s">
        <v>180</v>
      </c>
      <c r="G5" s="16"/>
      <c r="H5" s="16" t="s">
        <v>87</v>
      </c>
      <c r="I5" s="31">
        <v>10</v>
      </c>
      <c r="J5" s="15"/>
      <c r="K5" s="15"/>
      <c r="L5" s="15"/>
      <c r="M5" s="16" t="s">
        <v>47</v>
      </c>
      <c r="N5" s="17" t="s">
        <v>179</v>
      </c>
      <c r="O5" s="19">
        <f t="shared" si="0"/>
        <v>46018</v>
      </c>
      <c r="P5" s="17" t="s">
        <v>181</v>
      </c>
      <c r="Q5" s="17">
        <f t="shared" ca="1" si="1"/>
        <v>37</v>
      </c>
      <c r="R5" s="21">
        <f ca="1">IF($Q5="","",IF($Q5&lt;=Settings!$B$8,Settings!$C$8,IF($Q5&lt;=Settings!$B$9,Settings!$C$9,IF($Q5&lt;=Settings!$B$10,Settings!$C$10,IF($Q5&lt;=Settings!$B$11,Settings!$C$11,Settings!$C$12)))))</f>
        <v>0.6</v>
      </c>
      <c r="S5" s="21">
        <f>IF($F5="","",IFERROR(VLOOKUP($F5,Settings!$E$8:$F$11,2,FALSE),0))</f>
        <v>1.5</v>
      </c>
      <c r="T5" s="21">
        <f>IF($G5="",Settings!$B$16,1)</f>
        <v>1</v>
      </c>
      <c r="U5" s="21">
        <f t="shared" ca="1" si="2"/>
        <v>0.89999999999999991</v>
      </c>
      <c r="V5" s="32" t="str">
        <f ca="1">IF($C5="","",IF($Q5&gt;Settings!$B$4,IF($G5="","|","")&amp;"OLD_7D","")&amp;IF($Q5&gt;Settings!$B$5,IF(OR($G5="", $Q5&gt;Settings!$B$4),"|","")&amp;"OLD_30D",""))</f>
        <v>|OLD_7D</v>
      </c>
      <c r="W5" s="21">
        <f ca="1">IF(OR($C5="", $M5&lt;&gt;"APPROVED",$I5="", $U5=0),"",SUMIFS($U$3:$U$502,$H$3:$H$502,$H5,$M$3:$M$502,"APPROVED",$Q$3:$Q$502,"&lt;="&amp;Settings!$B$4,$I$3:$I$502,"&lt;="&amp;$I5))</f>
        <v>1.0499999999999998</v>
      </c>
      <c r="X5" s="21">
        <f ca="1">IF(OR($C5="", $M5&lt;&gt;"APPROVED",$I5="", $U5=0),"",SUMIFS($U$3:$U$502,$H$3:$H$502,$H5,$M$3:$M$502,"APPROVED",$Q$3:$Q$502,"&lt;="&amp;Settings!$B$5,$I$3:$I$502,"&lt;="&amp;$I5))</f>
        <v>1.9499999999999997</v>
      </c>
      <c r="Y5" s="21">
        <f>IF($P5="","",IFERROR(MATCH($P5,Lists!$H$2:$H$4,0),""))</f>
        <v>3</v>
      </c>
      <c r="Z5" s="21">
        <f t="shared" ca="1" si="3"/>
        <v>2.6999999999999997</v>
      </c>
    </row>
    <row r="6" spans="1:26" ht="14.4" x14ac:dyDescent="0.3">
      <c r="A6" s="16" t="str">
        <f t="shared" si="4"/>
        <v>R00004</v>
      </c>
      <c r="B6" s="28"/>
      <c r="C6" s="29">
        <v>46026</v>
      </c>
      <c r="D6" s="16"/>
      <c r="E6" s="16"/>
      <c r="F6" s="16" t="s">
        <v>21</v>
      </c>
      <c r="G6" s="16"/>
      <c r="H6" s="16" t="s">
        <v>85</v>
      </c>
      <c r="I6" s="31">
        <v>100</v>
      </c>
      <c r="J6" s="15"/>
      <c r="K6" s="15"/>
      <c r="L6" s="15"/>
      <c r="M6" s="16" t="s">
        <v>47</v>
      </c>
      <c r="N6" s="17"/>
      <c r="O6" s="19">
        <f t="shared" si="0"/>
        <v>46026</v>
      </c>
      <c r="P6" s="17"/>
      <c r="Q6" s="17">
        <f t="shared" ca="1" si="1"/>
        <v>29</v>
      </c>
      <c r="R6" s="21">
        <f ca="1">IF($Q6="","",IF($Q6&lt;=Settings!$B$8,Settings!$C$8,IF($Q6&lt;=Settings!$B$9,Settings!$C$9,IF($Q6&lt;=Settings!$B$10,Settings!$C$10,IF($Q6&lt;=Settings!$B$11,Settings!$C$11,Settings!$C$12)))))</f>
        <v>0.7</v>
      </c>
      <c r="S6" s="21">
        <f>IF($F6="","",IFERROR(VLOOKUP($F6,Settings!$E$8:$F$11,2,FALSE),0))</f>
        <v>1.5</v>
      </c>
      <c r="T6" s="21">
        <f>IF($G6="",Settings!$B$16,1)</f>
        <v>1</v>
      </c>
      <c r="U6" s="21">
        <f t="shared" ca="1" si="2"/>
        <v>1.0499999999999998</v>
      </c>
      <c r="V6" s="32" t="str">
        <f ca="1">IF($C6="","",IF($Q6&gt;Settings!$B$4,IF($G6="","|","")&amp;"OLD_7D","")&amp;IF($Q6&gt;Settings!$B$5,IF(OR($G6="", $Q6&gt;Settings!$B$4),"|","")&amp;"OLD_30D",""))</f>
        <v/>
      </c>
      <c r="W6" s="21">
        <f ca="1">IF(OR($C6="", $M6&lt;&gt;"APPROVED",$I6="", $U6=0),"",SUMIFS($U$3:$U$502,$H$3:$H$502,$H6,$M$3:$M$502,"APPROVED",$Q$3:$Q$502,"&lt;="&amp;Settings!$B$4,$I$3:$I$502,"&lt;="&amp;$I6))</f>
        <v>1.0499999999999998</v>
      </c>
      <c r="X6" s="21">
        <f ca="1">IF(OR($C6="", $M6&lt;&gt;"APPROVED",$I6="", $U6=0),"",SUMIFS($U$3:$U$502,$H$3:$H$502,$H6,$M$3:$M$502,"APPROVED",$Q$3:$Q$502,"&lt;="&amp;Settings!$B$5,$I$3:$I$502,"&lt;="&amp;$I6))</f>
        <v>2.8499999999999996</v>
      </c>
      <c r="Y6" s="21" t="str">
        <f>IF($P6="","",IFERROR(MATCH($P6,Lists!$H$2:$H$4,0),""))</f>
        <v/>
      </c>
      <c r="Z6" s="21" t="str">
        <f t="shared" si="3"/>
        <v/>
      </c>
    </row>
    <row r="7" spans="1:26" ht="28.8" x14ac:dyDescent="0.3">
      <c r="A7" s="16" t="str">
        <f t="shared" si="4"/>
        <v>R00005</v>
      </c>
      <c r="B7" s="28"/>
      <c r="C7" s="29">
        <v>46026</v>
      </c>
      <c r="D7" s="16"/>
      <c r="E7" s="16"/>
      <c r="F7" s="16" t="s">
        <v>21</v>
      </c>
      <c r="G7" s="16"/>
      <c r="H7" s="16" t="s">
        <v>87</v>
      </c>
      <c r="I7" s="31">
        <v>7</v>
      </c>
      <c r="J7" s="15"/>
      <c r="K7" s="15"/>
      <c r="L7" s="15"/>
      <c r="M7" s="16" t="s">
        <v>47</v>
      </c>
      <c r="N7" s="17"/>
      <c r="O7" s="19">
        <f t="shared" si="0"/>
        <v>46026</v>
      </c>
      <c r="P7" s="17" t="s">
        <v>181</v>
      </c>
      <c r="Q7" s="17">
        <f t="shared" ca="1" si="1"/>
        <v>29</v>
      </c>
      <c r="R7" s="21">
        <f ca="1">IF($Q7="","",IF($Q7&lt;=Settings!$B$8,Settings!$C$8,IF($Q7&lt;=Settings!$B$9,Settings!$C$9,IF($Q7&lt;=Settings!$B$10,Settings!$C$10,IF($Q7&lt;=Settings!$B$11,Settings!$C$11,Settings!$C$12)))))</f>
        <v>0.7</v>
      </c>
      <c r="S7" s="21">
        <f>IF($F7="","",IFERROR(VLOOKUP($F7,Settings!$E$8:$F$11,2,FALSE),0))</f>
        <v>1.5</v>
      </c>
      <c r="T7" s="21">
        <f>IF($G7="",Settings!$B$16,1)</f>
        <v>1</v>
      </c>
      <c r="U7" s="21">
        <f t="shared" ca="1" si="2"/>
        <v>1.0499999999999998</v>
      </c>
      <c r="V7" s="32" t="str">
        <f ca="1">IF($C7="","",IF($Q7&gt;Settings!$B$4,IF($G7="","|","")&amp;"OLD_7D","")&amp;IF($Q7&gt;Settings!$B$5,IF(OR($G7="", $Q7&gt;Settings!$B$4),"|","")&amp;"OLD_30D",""))</f>
        <v/>
      </c>
      <c r="W7" s="21">
        <f ca="1">IF(OR($C7="", $M7&lt;&gt;"APPROVED",$I7="", $U7=0),"",SUMIFS($U$3:$U$502,$H$3:$H$502,$H7,$M$3:$M$502,"APPROVED",$Q$3:$Q$502,"&lt;="&amp;Settings!$B$4,$I$3:$I$502,"&lt;="&amp;$I7))</f>
        <v>1.0499999999999998</v>
      </c>
      <c r="X7" s="21">
        <f ca="1">IF(OR($C7="", $M7&lt;&gt;"APPROVED",$I7="", $U7=0),"",SUMIFS($U$3:$U$502,$H$3:$H$502,$H7,$M$3:$M$502,"APPROVED",$Q$3:$Q$502,"&lt;="&amp;Settings!$B$5,$I$3:$I$502,"&lt;="&amp;$I7))</f>
        <v>1.0499999999999998</v>
      </c>
      <c r="Y7" s="21">
        <f>IF($P7="","",IFERROR(MATCH($P7,Lists!$H$2:$H$4,0),""))</f>
        <v>3</v>
      </c>
      <c r="Z7" s="21">
        <f t="shared" ca="1" si="3"/>
        <v>3.1499999999999995</v>
      </c>
    </row>
    <row r="8" spans="1:26" ht="14.4" x14ac:dyDescent="0.3">
      <c r="A8" s="16" t="str">
        <f t="shared" si="4"/>
        <v>R00006</v>
      </c>
      <c r="B8" s="28"/>
      <c r="C8" s="29">
        <v>46026</v>
      </c>
      <c r="D8" s="16"/>
      <c r="E8" s="16"/>
      <c r="F8" s="16" t="s">
        <v>21</v>
      </c>
      <c r="G8" s="16"/>
      <c r="H8" s="16" t="s">
        <v>85</v>
      </c>
      <c r="I8" s="31">
        <v>1000</v>
      </c>
      <c r="J8" s="15"/>
      <c r="K8" s="15"/>
      <c r="L8" s="15"/>
      <c r="M8" s="16" t="s">
        <v>47</v>
      </c>
      <c r="N8" s="17" t="s">
        <v>179</v>
      </c>
      <c r="O8" s="19">
        <f t="shared" si="0"/>
        <v>46026</v>
      </c>
      <c r="P8" s="17" t="s">
        <v>181</v>
      </c>
      <c r="Q8" s="17">
        <f t="shared" ca="1" si="1"/>
        <v>29</v>
      </c>
      <c r="R8" s="21">
        <f ca="1">IF($Q8="","",IF($Q8&lt;=Settings!$B$8,Settings!$C$8,IF($Q8&lt;=Settings!$B$9,Settings!$C$9,IF($Q8&lt;=Settings!$B$10,Settings!$C$10,IF($Q8&lt;=Settings!$B$11,Settings!$C$11,Settings!$C$12)))))</f>
        <v>0.7</v>
      </c>
      <c r="S8" s="21">
        <f>IF($F8="","",IFERROR(VLOOKUP($F8,Settings!$E$8:$F$11,2,FALSE),0))</f>
        <v>1.5</v>
      </c>
      <c r="T8" s="21">
        <f>IF($G8="",Settings!$B$16,1)</f>
        <v>1</v>
      </c>
      <c r="U8" s="21">
        <f t="shared" ca="1" si="2"/>
        <v>1.0499999999999998</v>
      </c>
      <c r="V8" s="32" t="str">
        <f ca="1">IF($C8="","",IF($Q8&gt;Settings!$B$4,IF($G8="","|","")&amp;"OLD_7D","")&amp;IF($Q8&gt;Settings!$B$5,IF(OR($G8="", $Q8&gt;Settings!$B$4),"|","")&amp;"OLD_30D",""))</f>
        <v/>
      </c>
      <c r="W8" s="21">
        <f ca="1">IF(OR($C8="", $M8&lt;&gt;"APPROVED",$I8="", $U8=0),"",SUMIFS($U$3:$U$502,$H$3:$H$502,$H8,$M$3:$M$502,"APPROVED",$Q$3:$Q$502,"&lt;="&amp;Settings!$B$4,$I$3:$I$502,"&lt;="&amp;$I8))</f>
        <v>2.0999999999999996</v>
      </c>
      <c r="X8" s="21">
        <f ca="1">IF(OR($C8="", $M8&lt;&gt;"APPROVED",$I8="", $U8=0),"",SUMIFS($U$3:$U$502,$H$3:$H$502,$H8,$M$3:$M$502,"APPROVED",$Q$3:$Q$502,"&lt;="&amp;Settings!$B$5,$I$3:$I$502,"&lt;="&amp;$I8))</f>
        <v>3.8999999999999995</v>
      </c>
      <c r="Y8" s="21">
        <f>IF($P8="","",IFERROR(MATCH($P8,Lists!$H$2:$H$4,0),""))</f>
        <v>3</v>
      </c>
      <c r="Z8" s="21">
        <f t="shared" ca="1" si="3"/>
        <v>3.1499999999999995</v>
      </c>
    </row>
    <row r="9" spans="1:26" ht="14.4" x14ac:dyDescent="0.3">
      <c r="A9" s="16" t="str">
        <f t="shared" si="4"/>
        <v/>
      </c>
      <c r="B9" s="28"/>
      <c r="C9" s="29"/>
      <c r="D9" s="16"/>
      <c r="E9" s="16"/>
      <c r="F9" s="16"/>
      <c r="G9" s="16"/>
      <c r="H9" s="16"/>
      <c r="I9" s="31"/>
      <c r="J9" s="15"/>
      <c r="K9" s="15"/>
      <c r="L9" s="15"/>
      <c r="M9" s="16"/>
      <c r="N9" s="17"/>
      <c r="O9" s="19" t="str">
        <f t="shared" si="0"/>
        <v/>
      </c>
      <c r="P9" s="17"/>
      <c r="Q9" s="17" t="str">
        <f t="shared" ca="1" si="1"/>
        <v/>
      </c>
      <c r="R9" s="21" t="str">
        <f ca="1">IF($Q9="","",IF($Q9&lt;=Settings!$B$8,Settings!$C$8,IF($Q9&lt;=Settings!$B$9,Settings!$C$9,IF($Q9&lt;=Settings!$B$10,Settings!$C$10,IF($Q9&lt;=Settings!$B$11,Settings!$C$11,Settings!$C$12)))))</f>
        <v/>
      </c>
      <c r="S9" s="21" t="str">
        <f>IF($F9="","",IFERROR(VLOOKUP($F9,Settings!$E$8:$F$11,2,FALSE),0))</f>
        <v/>
      </c>
      <c r="T9" s="21">
        <f>IF($G9="",Settings!$B$16,1)</f>
        <v>1</v>
      </c>
      <c r="U9" s="21" t="str">
        <f t="shared" si="2"/>
        <v/>
      </c>
      <c r="V9" s="32" t="str">
        <f>IF($C9="","",IF($Q9&gt;Settings!$B$4,IF($G9="","|","")&amp;"OLD_7D","")&amp;IF($Q9&gt;Settings!$B$5,IF(OR($G9="", $Q9&gt;Settings!$B$4),"|","")&amp;"OLD_30D",""))</f>
        <v/>
      </c>
      <c r="W9" s="21" t="str">
        <f>IF(OR($C9="", $M9&lt;&gt;"APPROVED",$I9="", $U9=0),"",SUMIFS($U$3:$U$502,$H$3:$H$502,$H9,$M$3:$M$502,"APPROVED",$Q$3:$Q$502,"&lt;="&amp;Settings!$B$4,$I$3:$I$502,"&lt;="&amp;$I9))</f>
        <v/>
      </c>
      <c r="X9" s="21" t="str">
        <f>IF(OR($C9="", $M9&lt;&gt;"APPROVED",$I9="", $U9=0),"",SUMIFS($U$3:$U$502,$H$3:$H$502,$H9,$M$3:$M$502,"APPROVED",$Q$3:$Q$502,"&lt;="&amp;Settings!$B$5,$I$3:$I$502,"&lt;="&amp;$I9))</f>
        <v/>
      </c>
      <c r="Y9" s="21" t="str">
        <f>IF($P9="","",IFERROR(MATCH($P9,Lists!$H$2:$H$4,0),""))</f>
        <v/>
      </c>
      <c r="Z9" s="21" t="str">
        <f t="shared" si="3"/>
        <v/>
      </c>
    </row>
    <row r="10" spans="1:26" ht="14.4" x14ac:dyDescent="0.3">
      <c r="A10" s="16" t="str">
        <f t="shared" si="4"/>
        <v/>
      </c>
      <c r="B10" s="28"/>
      <c r="C10" s="29"/>
      <c r="D10" s="16"/>
      <c r="E10" s="16"/>
      <c r="F10" s="16"/>
      <c r="G10" s="16"/>
      <c r="H10" s="16"/>
      <c r="I10" s="31"/>
      <c r="J10" s="15"/>
      <c r="K10" s="15"/>
      <c r="L10" s="15"/>
      <c r="M10" s="16"/>
      <c r="N10" s="17"/>
      <c r="O10" s="19" t="str">
        <f t="shared" si="0"/>
        <v/>
      </c>
      <c r="P10" s="17"/>
      <c r="Q10" s="17" t="str">
        <f t="shared" ca="1" si="1"/>
        <v/>
      </c>
      <c r="R10" s="21" t="str">
        <f ca="1">IF($Q10="","",IF($Q10&lt;=Settings!$B$8,Settings!$C$8,IF($Q10&lt;=Settings!$B$9,Settings!$C$9,IF($Q10&lt;=Settings!$B$10,Settings!$C$10,IF($Q10&lt;=Settings!$B$11,Settings!$C$11,Settings!$C$12)))))</f>
        <v/>
      </c>
      <c r="S10" s="21" t="str">
        <f>IF($F10="","",IFERROR(VLOOKUP($F10,Settings!$E$8:$F$11,2,FALSE),0))</f>
        <v/>
      </c>
      <c r="T10" s="21">
        <f>IF($G10="",Settings!$B$16,1)</f>
        <v>1</v>
      </c>
      <c r="U10" s="21" t="str">
        <f t="shared" si="2"/>
        <v/>
      </c>
      <c r="V10" s="32" t="str">
        <f>IF($C10="","",IF($Q10&gt;Settings!$B$4,IF($G10="","|","")&amp;"OLD_7D","")&amp;IF($Q10&gt;Settings!$B$5,IF(OR($G10="", $Q10&gt;Settings!$B$4),"|","")&amp;"OLD_30D",""))</f>
        <v/>
      </c>
      <c r="W10" s="21" t="str">
        <f>IF(OR($C10="", $M10&lt;&gt;"APPROVED",$I10="", $U10=0),"",SUMIFS($U$3:$U$502,$H$3:$H$502,$H10,$M$3:$M$502,"APPROVED",$Q$3:$Q$502,"&lt;="&amp;Settings!$B$4,$I$3:$I$502,"&lt;="&amp;$I10))</f>
        <v/>
      </c>
      <c r="X10" s="21" t="str">
        <f>IF(OR($C10="", $M10&lt;&gt;"APPROVED",$I10="", $U10=0),"",SUMIFS($U$3:$U$502,$H$3:$H$502,$H10,$M$3:$M$502,"APPROVED",$Q$3:$Q$502,"&lt;="&amp;Settings!$B$5,$I$3:$I$502,"&lt;="&amp;$I10))</f>
        <v/>
      </c>
      <c r="Y10" s="21" t="str">
        <f>IF($P10="","",IFERROR(MATCH($P10,Lists!$H$2:$H$4,0),""))</f>
        <v/>
      </c>
      <c r="Z10" s="21" t="str">
        <f t="shared" si="3"/>
        <v/>
      </c>
    </row>
    <row r="11" spans="1:26" ht="14.4" x14ac:dyDescent="0.3">
      <c r="A11" s="16" t="str">
        <f t="shared" si="4"/>
        <v/>
      </c>
      <c r="B11" s="28"/>
      <c r="C11" s="29"/>
      <c r="D11" s="16"/>
      <c r="E11" s="16"/>
      <c r="F11" s="16"/>
      <c r="G11" s="16"/>
      <c r="H11" s="16"/>
      <c r="I11" s="31"/>
      <c r="J11" s="15"/>
      <c r="K11" s="15"/>
      <c r="L11" s="15"/>
      <c r="M11" s="16"/>
      <c r="N11" s="17"/>
      <c r="O11" s="19" t="str">
        <f t="shared" si="0"/>
        <v/>
      </c>
      <c r="P11" s="17"/>
      <c r="Q11" s="17" t="str">
        <f t="shared" ca="1" si="1"/>
        <v/>
      </c>
      <c r="R11" s="21" t="str">
        <f ca="1">IF($Q11="","",IF($Q11&lt;=Settings!$B$8,Settings!$C$8,IF($Q11&lt;=Settings!$B$9,Settings!$C$9,IF($Q11&lt;=Settings!$B$10,Settings!$C$10,IF($Q11&lt;=Settings!$B$11,Settings!$C$11,Settings!$C$12)))))</f>
        <v/>
      </c>
      <c r="S11" s="21" t="str">
        <f>IF($F11="","",IFERROR(VLOOKUP($F11,Settings!$E$8:$F$11,2,FALSE),0))</f>
        <v/>
      </c>
      <c r="T11" s="21">
        <f>IF($G11="",Settings!$B$16,1)</f>
        <v>1</v>
      </c>
      <c r="U11" s="21" t="str">
        <f t="shared" si="2"/>
        <v/>
      </c>
      <c r="V11" s="32" t="str">
        <f>IF($C11="","",IF($Q11&gt;Settings!$B$4,IF($G11="","|","")&amp;"OLD_7D","")&amp;IF($Q11&gt;Settings!$B$5,IF(OR($G11="", $Q11&gt;Settings!$B$4),"|","")&amp;"OLD_30D",""))</f>
        <v/>
      </c>
      <c r="W11" s="21" t="str">
        <f>IF(OR($C11="", $M11&lt;&gt;"APPROVED",$I11="", $U11=0),"",SUMIFS($U$3:$U$502,$H$3:$H$502,$H11,$M$3:$M$502,"APPROVED",$Q$3:$Q$502,"&lt;="&amp;Settings!$B$4,$I$3:$I$502,"&lt;="&amp;$I11))</f>
        <v/>
      </c>
      <c r="X11" s="21" t="str">
        <f>IF(OR($C11="", $M11&lt;&gt;"APPROVED",$I11="", $U11=0),"",SUMIFS($U$3:$U$502,$H$3:$H$502,$H11,$M$3:$M$502,"APPROVED",$Q$3:$Q$502,"&lt;="&amp;Settings!$B$5,$I$3:$I$502,"&lt;="&amp;$I11))</f>
        <v/>
      </c>
      <c r="Y11" s="21" t="str">
        <f>IF($P11="","",IFERROR(MATCH($P11,Lists!$H$2:$H$4,0),""))</f>
        <v/>
      </c>
      <c r="Z11" s="21" t="str">
        <f t="shared" si="3"/>
        <v/>
      </c>
    </row>
    <row r="12" spans="1:26" ht="14.4" x14ac:dyDescent="0.3">
      <c r="A12" s="16" t="str">
        <f t="shared" si="4"/>
        <v/>
      </c>
      <c r="B12" s="28"/>
      <c r="C12" s="29"/>
      <c r="D12" s="16"/>
      <c r="E12" s="16"/>
      <c r="F12" s="16"/>
      <c r="G12" s="16"/>
      <c r="H12" s="16"/>
      <c r="I12" s="31"/>
      <c r="J12" s="15"/>
      <c r="K12" s="15"/>
      <c r="L12" s="15"/>
      <c r="M12" s="16"/>
      <c r="N12" s="17"/>
      <c r="O12" s="19" t="str">
        <f t="shared" si="0"/>
        <v/>
      </c>
      <c r="P12" s="17"/>
      <c r="Q12" s="17" t="str">
        <f t="shared" ca="1" si="1"/>
        <v/>
      </c>
      <c r="R12" s="21" t="str">
        <f ca="1">IF($Q12="","",IF($Q12&lt;=Settings!$B$8,Settings!$C$8,IF($Q12&lt;=Settings!$B$9,Settings!$C$9,IF($Q12&lt;=Settings!$B$10,Settings!$C$10,IF($Q12&lt;=Settings!$B$11,Settings!$C$11,Settings!$C$12)))))</f>
        <v/>
      </c>
      <c r="S12" s="21" t="str">
        <f>IF($F12="","",IFERROR(VLOOKUP($F12,Settings!$E$8:$F$11,2,FALSE),0))</f>
        <v/>
      </c>
      <c r="T12" s="21">
        <f>IF($G12="",Settings!$B$16,1)</f>
        <v>1</v>
      </c>
      <c r="U12" s="21" t="str">
        <f t="shared" si="2"/>
        <v/>
      </c>
      <c r="V12" s="32" t="str">
        <f>IF($C12="","",IF($Q12&gt;Settings!$B$4,IF($G12="","|","")&amp;"OLD_7D","")&amp;IF($Q12&gt;Settings!$B$5,IF(OR($G12="", $Q12&gt;Settings!$B$4),"|","")&amp;"OLD_30D",""))</f>
        <v/>
      </c>
      <c r="W12" s="21" t="str">
        <f>IF(OR($C12="", $M12&lt;&gt;"APPROVED",$I12="", $U12=0),"",SUMIFS($U$3:$U$502,$H$3:$H$502,$H12,$M$3:$M$502,"APPROVED",$Q$3:$Q$502,"&lt;="&amp;Settings!$B$4,$I$3:$I$502,"&lt;="&amp;$I12))</f>
        <v/>
      </c>
      <c r="X12" s="21" t="str">
        <f>IF(OR($C12="", $M12&lt;&gt;"APPROVED",$I12="", $U12=0),"",SUMIFS($U$3:$U$502,$H$3:$H$502,$H12,$M$3:$M$502,"APPROVED",$Q$3:$Q$502,"&lt;="&amp;Settings!$B$5,$I$3:$I$502,"&lt;="&amp;$I12))</f>
        <v/>
      </c>
      <c r="Y12" s="21" t="str">
        <f>IF($P12="","",IFERROR(MATCH($P12,Lists!$H$2:$H$4,0),""))</f>
        <v/>
      </c>
      <c r="Z12" s="21" t="str">
        <f t="shared" si="3"/>
        <v/>
      </c>
    </row>
    <row r="13" spans="1:26" ht="14.4" x14ac:dyDescent="0.3">
      <c r="A13" s="16" t="str">
        <f t="shared" si="4"/>
        <v/>
      </c>
      <c r="B13" s="28"/>
      <c r="C13" s="29"/>
      <c r="D13" s="16"/>
      <c r="E13" s="16"/>
      <c r="F13" s="16"/>
      <c r="G13" s="16"/>
      <c r="H13" s="16"/>
      <c r="I13" s="31"/>
      <c r="J13" s="15"/>
      <c r="K13" s="15"/>
      <c r="L13" s="15"/>
      <c r="M13" s="16"/>
      <c r="N13" s="17"/>
      <c r="O13" s="19" t="str">
        <f t="shared" si="0"/>
        <v/>
      </c>
      <c r="P13" s="17"/>
      <c r="Q13" s="17" t="str">
        <f t="shared" ca="1" si="1"/>
        <v/>
      </c>
      <c r="R13" s="21" t="str">
        <f ca="1">IF($Q13="","",IF($Q13&lt;=Settings!$B$8,Settings!$C$8,IF($Q13&lt;=Settings!$B$9,Settings!$C$9,IF($Q13&lt;=Settings!$B$10,Settings!$C$10,IF($Q13&lt;=Settings!$B$11,Settings!$C$11,Settings!$C$12)))))</f>
        <v/>
      </c>
      <c r="S13" s="21" t="str">
        <f>IF($F13="","",IFERROR(VLOOKUP($F13,Settings!$E$8:$F$11,2,FALSE),0))</f>
        <v/>
      </c>
      <c r="T13" s="21">
        <f>IF($G13="",Settings!$B$16,1)</f>
        <v>1</v>
      </c>
      <c r="U13" s="21" t="str">
        <f t="shared" si="2"/>
        <v/>
      </c>
      <c r="V13" s="32" t="str">
        <f>IF($C13="","",IF($Q13&gt;Settings!$B$4,IF($G13="","|","")&amp;"OLD_7D","")&amp;IF($Q13&gt;Settings!$B$5,IF(OR($G13="", $Q13&gt;Settings!$B$4),"|","")&amp;"OLD_30D",""))</f>
        <v/>
      </c>
      <c r="W13" s="21" t="str">
        <f>IF(OR($C13="", $M13&lt;&gt;"APPROVED",$I13="", $U13=0),"",SUMIFS($U$3:$U$502,$H$3:$H$502,$H13,$M$3:$M$502,"APPROVED",$Q$3:$Q$502,"&lt;="&amp;Settings!$B$4,$I$3:$I$502,"&lt;="&amp;$I13))</f>
        <v/>
      </c>
      <c r="X13" s="21" t="str">
        <f>IF(OR($C13="", $M13&lt;&gt;"APPROVED",$I13="", $U13=0),"",SUMIFS($U$3:$U$502,$H$3:$H$502,$H13,$M$3:$M$502,"APPROVED",$Q$3:$Q$502,"&lt;="&amp;Settings!$B$5,$I$3:$I$502,"&lt;="&amp;$I13))</f>
        <v/>
      </c>
      <c r="Y13" s="21" t="str">
        <f>IF($P13="","",IFERROR(MATCH($P13,Lists!$H$2:$H$4,0),""))</f>
        <v/>
      </c>
      <c r="Z13" s="21" t="str">
        <f t="shared" si="3"/>
        <v/>
      </c>
    </row>
    <row r="14" spans="1:26" ht="14.4" x14ac:dyDescent="0.3">
      <c r="A14" s="16" t="str">
        <f t="shared" si="4"/>
        <v/>
      </c>
      <c r="B14" s="28"/>
      <c r="C14" s="29"/>
      <c r="D14" s="16"/>
      <c r="E14" s="16"/>
      <c r="F14" s="16"/>
      <c r="G14" s="16"/>
      <c r="H14" s="16"/>
      <c r="I14" s="31"/>
      <c r="J14" s="15"/>
      <c r="K14" s="15"/>
      <c r="L14" s="15"/>
      <c r="M14" s="16"/>
      <c r="N14" s="17"/>
      <c r="O14" s="19" t="str">
        <f t="shared" si="0"/>
        <v/>
      </c>
      <c r="P14" s="17"/>
      <c r="Q14" s="17" t="str">
        <f t="shared" ca="1" si="1"/>
        <v/>
      </c>
      <c r="R14" s="21" t="str">
        <f ca="1">IF($Q14="","",IF($Q14&lt;=Settings!$B$8,Settings!$C$8,IF($Q14&lt;=Settings!$B$9,Settings!$C$9,IF($Q14&lt;=Settings!$B$10,Settings!$C$10,IF($Q14&lt;=Settings!$B$11,Settings!$C$11,Settings!$C$12)))))</f>
        <v/>
      </c>
      <c r="S14" s="21" t="str">
        <f>IF($F14="","",IFERROR(VLOOKUP($F14,Settings!$E$8:$F$11,2,FALSE),0))</f>
        <v/>
      </c>
      <c r="T14" s="21">
        <f>IF($G14="",Settings!$B$16,1)</f>
        <v>1</v>
      </c>
      <c r="U14" s="21" t="str">
        <f t="shared" si="2"/>
        <v/>
      </c>
      <c r="V14" s="32" t="str">
        <f>IF($C14="","",IF($Q14&gt;Settings!$B$4,IF($G14="","|","")&amp;"OLD_7D","")&amp;IF($Q14&gt;Settings!$B$5,IF(OR($G14="", $Q14&gt;Settings!$B$4),"|","")&amp;"OLD_30D",""))</f>
        <v/>
      </c>
      <c r="W14" s="21" t="str">
        <f>IF(OR($C14="", $M14&lt;&gt;"APPROVED",$I14="", $U14=0),"",SUMIFS($U$3:$U$502,$H$3:$H$502,$H14,$M$3:$M$502,"APPROVED",$Q$3:$Q$502,"&lt;="&amp;Settings!$B$4,$I$3:$I$502,"&lt;="&amp;$I14))</f>
        <v/>
      </c>
      <c r="X14" s="21" t="str">
        <f>IF(OR($C14="", $M14&lt;&gt;"APPROVED",$I14="", $U14=0),"",SUMIFS($U$3:$U$502,$H$3:$H$502,$H14,$M$3:$M$502,"APPROVED",$Q$3:$Q$502,"&lt;="&amp;Settings!$B$5,$I$3:$I$502,"&lt;="&amp;$I14))</f>
        <v/>
      </c>
      <c r="Y14" s="21" t="str">
        <f>IF($P14="","",IFERROR(MATCH($P14,Lists!$H$2:$H$4,0),""))</f>
        <v/>
      </c>
      <c r="Z14" s="21" t="str">
        <f t="shared" si="3"/>
        <v/>
      </c>
    </row>
    <row r="15" spans="1:26" ht="14.4" x14ac:dyDescent="0.3">
      <c r="A15" s="16" t="str">
        <f t="shared" si="4"/>
        <v/>
      </c>
      <c r="B15" s="28"/>
      <c r="C15" s="29"/>
      <c r="D15" s="16"/>
      <c r="E15" s="16"/>
      <c r="F15" s="16"/>
      <c r="G15" s="16"/>
      <c r="H15" s="16"/>
      <c r="I15" s="31"/>
      <c r="J15" s="15"/>
      <c r="K15" s="15"/>
      <c r="L15" s="15"/>
      <c r="M15" s="16"/>
      <c r="N15" s="17"/>
      <c r="O15" s="19" t="str">
        <f t="shared" si="0"/>
        <v/>
      </c>
      <c r="P15" s="17"/>
      <c r="Q15" s="17" t="str">
        <f t="shared" ca="1" si="1"/>
        <v/>
      </c>
      <c r="R15" s="21" t="str">
        <f ca="1">IF($Q15="","",IF($Q15&lt;=Settings!$B$8,Settings!$C$8,IF($Q15&lt;=Settings!$B$9,Settings!$C$9,IF($Q15&lt;=Settings!$B$10,Settings!$C$10,IF($Q15&lt;=Settings!$B$11,Settings!$C$11,Settings!$C$12)))))</f>
        <v/>
      </c>
      <c r="S15" s="21" t="str">
        <f>IF($F15="","",IFERROR(VLOOKUP($F15,Settings!$E$8:$F$11,2,FALSE),0))</f>
        <v/>
      </c>
      <c r="T15" s="21">
        <f>IF($G15="",Settings!$B$16,1)</f>
        <v>1</v>
      </c>
      <c r="U15" s="21" t="str">
        <f t="shared" si="2"/>
        <v/>
      </c>
      <c r="V15" s="32" t="str">
        <f>IF($C15="","",IF($Q15&gt;Settings!$B$4,IF($G15="","|","")&amp;"OLD_7D","")&amp;IF($Q15&gt;Settings!$B$5,IF(OR($G15="", $Q15&gt;Settings!$B$4),"|","")&amp;"OLD_30D",""))</f>
        <v/>
      </c>
      <c r="W15" s="21" t="str">
        <f>IF(OR($C15="", $M15&lt;&gt;"APPROVED",$I15="", $U15=0),"",SUMIFS($U$3:$U$502,$H$3:$H$502,$H15,$M$3:$M$502,"APPROVED",$Q$3:$Q$502,"&lt;="&amp;Settings!$B$4,$I$3:$I$502,"&lt;="&amp;$I15))</f>
        <v/>
      </c>
      <c r="X15" s="21" t="str">
        <f>IF(OR($C15="", $M15&lt;&gt;"APPROVED",$I15="", $U15=0),"",SUMIFS($U$3:$U$502,$H$3:$H$502,$H15,$M$3:$M$502,"APPROVED",$Q$3:$Q$502,"&lt;="&amp;Settings!$B$5,$I$3:$I$502,"&lt;="&amp;$I15))</f>
        <v/>
      </c>
      <c r="Y15" s="21" t="str">
        <f>IF($P15="","",IFERROR(MATCH($P15,Lists!$H$2:$H$4,0),""))</f>
        <v/>
      </c>
      <c r="Z15" s="21" t="str">
        <f t="shared" si="3"/>
        <v/>
      </c>
    </row>
    <row r="16" spans="1:26" ht="14.4" x14ac:dyDescent="0.3">
      <c r="A16" s="16" t="str">
        <f t="shared" si="4"/>
        <v/>
      </c>
      <c r="B16" s="28"/>
      <c r="C16" s="29"/>
      <c r="D16" s="16"/>
      <c r="E16" s="16"/>
      <c r="F16" s="16"/>
      <c r="G16" s="16"/>
      <c r="H16" s="16"/>
      <c r="I16" s="31"/>
      <c r="J16" s="15"/>
      <c r="K16" s="15"/>
      <c r="L16" s="15"/>
      <c r="M16" s="16"/>
      <c r="N16" s="17"/>
      <c r="O16" s="19" t="str">
        <f t="shared" si="0"/>
        <v/>
      </c>
      <c r="P16" s="17"/>
      <c r="Q16" s="17" t="str">
        <f t="shared" ca="1" si="1"/>
        <v/>
      </c>
      <c r="R16" s="21" t="str">
        <f ca="1">IF($Q16="","",IF($Q16&lt;=Settings!$B$8,Settings!$C$8,IF($Q16&lt;=Settings!$B$9,Settings!$C$9,IF($Q16&lt;=Settings!$B$10,Settings!$C$10,IF($Q16&lt;=Settings!$B$11,Settings!$C$11,Settings!$C$12)))))</f>
        <v/>
      </c>
      <c r="S16" s="21" t="str">
        <f>IF($F16="","",IFERROR(VLOOKUP($F16,Settings!$E$8:$F$11,2,FALSE),0))</f>
        <v/>
      </c>
      <c r="T16" s="21">
        <f>IF($G16="",Settings!$B$16,1)</f>
        <v>1</v>
      </c>
      <c r="U16" s="21" t="str">
        <f t="shared" si="2"/>
        <v/>
      </c>
      <c r="V16" s="32" t="str">
        <f>IF($C16="","",IF($Q16&gt;Settings!$B$4,IF($G16="","|","")&amp;"OLD_7D","")&amp;IF($Q16&gt;Settings!$B$5,IF(OR($G16="", $Q16&gt;Settings!$B$4),"|","")&amp;"OLD_30D",""))</f>
        <v/>
      </c>
      <c r="W16" s="21" t="str">
        <f>IF(OR($C16="", $M16&lt;&gt;"APPROVED",$I16="", $U16=0),"",SUMIFS($U$3:$U$502,$H$3:$H$502,$H16,$M$3:$M$502,"APPROVED",$Q$3:$Q$502,"&lt;="&amp;Settings!$B$4,$I$3:$I$502,"&lt;="&amp;$I16))</f>
        <v/>
      </c>
      <c r="X16" s="21" t="str">
        <f>IF(OR($C16="", $M16&lt;&gt;"APPROVED",$I16="", $U16=0),"",SUMIFS($U$3:$U$502,$H$3:$H$502,$H16,$M$3:$M$502,"APPROVED",$Q$3:$Q$502,"&lt;="&amp;Settings!$B$5,$I$3:$I$502,"&lt;="&amp;$I16))</f>
        <v/>
      </c>
      <c r="Y16" s="21" t="str">
        <f>IF($P16="","",IFERROR(MATCH($P16,Lists!$H$2:$H$4,0),""))</f>
        <v/>
      </c>
      <c r="Z16" s="21" t="str">
        <f t="shared" si="3"/>
        <v/>
      </c>
    </row>
    <row r="17" spans="1:26" ht="14.4" x14ac:dyDescent="0.3">
      <c r="A17" s="16" t="str">
        <f t="shared" si="4"/>
        <v/>
      </c>
      <c r="B17" s="28"/>
      <c r="C17" s="29"/>
      <c r="D17" s="16"/>
      <c r="E17" s="16"/>
      <c r="F17" s="16"/>
      <c r="G17" s="16"/>
      <c r="H17" s="16"/>
      <c r="I17" s="31"/>
      <c r="J17" s="15"/>
      <c r="K17" s="15"/>
      <c r="L17" s="15"/>
      <c r="M17" s="16"/>
      <c r="N17" s="17"/>
      <c r="O17" s="19" t="str">
        <f t="shared" si="0"/>
        <v/>
      </c>
      <c r="P17" s="17"/>
      <c r="Q17" s="17" t="str">
        <f t="shared" ca="1" si="1"/>
        <v/>
      </c>
      <c r="R17" s="21" t="str">
        <f ca="1">IF($Q17="","",IF($Q17&lt;=Settings!$B$8,Settings!$C$8,IF($Q17&lt;=Settings!$B$9,Settings!$C$9,IF($Q17&lt;=Settings!$B$10,Settings!$C$10,IF($Q17&lt;=Settings!$B$11,Settings!$C$11,Settings!$C$12)))))</f>
        <v/>
      </c>
      <c r="S17" s="21" t="str">
        <f>IF($F17="","",IFERROR(VLOOKUP($F17,Settings!$E$8:$F$11,2,FALSE),0))</f>
        <v/>
      </c>
      <c r="T17" s="21">
        <f>IF($G17="",Settings!$B$16,1)</f>
        <v>1</v>
      </c>
      <c r="U17" s="21" t="str">
        <f t="shared" si="2"/>
        <v/>
      </c>
      <c r="V17" s="32" t="str">
        <f>IF($C17="","",IF($Q17&gt;Settings!$B$4,IF($G17="","|","")&amp;"OLD_7D","")&amp;IF($Q17&gt;Settings!$B$5,IF(OR($G17="", $Q17&gt;Settings!$B$4),"|","")&amp;"OLD_30D",""))</f>
        <v/>
      </c>
      <c r="W17" s="21" t="str">
        <f>IF(OR($C17="", $M17&lt;&gt;"APPROVED",$I17="", $U17=0),"",SUMIFS($U$3:$U$502,$H$3:$H$502,$H17,$M$3:$M$502,"APPROVED",$Q$3:$Q$502,"&lt;="&amp;Settings!$B$4,$I$3:$I$502,"&lt;="&amp;$I17))</f>
        <v/>
      </c>
      <c r="X17" s="21" t="str">
        <f>IF(OR($C17="", $M17&lt;&gt;"APPROVED",$I17="", $U17=0),"",SUMIFS($U$3:$U$502,$H$3:$H$502,$H17,$M$3:$M$502,"APPROVED",$Q$3:$Q$502,"&lt;="&amp;Settings!$B$5,$I$3:$I$502,"&lt;="&amp;$I17))</f>
        <v/>
      </c>
      <c r="Y17" s="21" t="str">
        <f>IF($P17="","",IFERROR(MATCH($P17,Lists!$H$2:$H$4,0),""))</f>
        <v/>
      </c>
      <c r="Z17" s="21" t="str">
        <f t="shared" si="3"/>
        <v/>
      </c>
    </row>
    <row r="18" spans="1:26" ht="14.4" x14ac:dyDescent="0.3">
      <c r="A18" s="16" t="str">
        <f t="shared" si="4"/>
        <v/>
      </c>
      <c r="B18" s="28"/>
      <c r="C18" s="29"/>
      <c r="D18" s="16"/>
      <c r="E18" s="16"/>
      <c r="F18" s="16"/>
      <c r="G18" s="16"/>
      <c r="H18" s="16"/>
      <c r="I18" s="31"/>
      <c r="J18" s="15"/>
      <c r="K18" s="15"/>
      <c r="L18" s="15"/>
      <c r="M18" s="16"/>
      <c r="N18" s="17"/>
      <c r="O18" s="19" t="str">
        <f t="shared" si="0"/>
        <v/>
      </c>
      <c r="P18" s="17"/>
      <c r="Q18" s="17" t="str">
        <f t="shared" ca="1" si="1"/>
        <v/>
      </c>
      <c r="R18" s="21" t="str">
        <f ca="1">IF($Q18="","",IF($Q18&lt;=Settings!$B$8,Settings!$C$8,IF($Q18&lt;=Settings!$B$9,Settings!$C$9,IF($Q18&lt;=Settings!$B$10,Settings!$C$10,IF($Q18&lt;=Settings!$B$11,Settings!$C$11,Settings!$C$12)))))</f>
        <v/>
      </c>
      <c r="S18" s="21" t="str">
        <f>IF($F18="","",IFERROR(VLOOKUP($F18,Settings!$E$8:$F$11,2,FALSE),0))</f>
        <v/>
      </c>
      <c r="T18" s="21">
        <f>IF($G18="",Settings!$B$16,1)</f>
        <v>1</v>
      </c>
      <c r="U18" s="21" t="str">
        <f t="shared" si="2"/>
        <v/>
      </c>
      <c r="V18" s="32" t="str">
        <f>IF($C18="","",IF($Q18&gt;Settings!$B$4,IF($G18="","|","")&amp;"OLD_7D","")&amp;IF($Q18&gt;Settings!$B$5,IF(OR($G18="", $Q18&gt;Settings!$B$4),"|","")&amp;"OLD_30D",""))</f>
        <v/>
      </c>
      <c r="W18" s="21" t="str">
        <f>IF(OR($C18="", $M18&lt;&gt;"APPROVED",$I18="", $U18=0),"",SUMIFS($U$3:$U$502,$H$3:$H$502,$H18,$M$3:$M$502,"APPROVED",$Q$3:$Q$502,"&lt;="&amp;Settings!$B$4,$I$3:$I$502,"&lt;="&amp;$I18))</f>
        <v/>
      </c>
      <c r="X18" s="21" t="str">
        <f>IF(OR($C18="", $M18&lt;&gt;"APPROVED",$I18="", $U18=0),"",SUMIFS($U$3:$U$502,$H$3:$H$502,$H18,$M$3:$M$502,"APPROVED",$Q$3:$Q$502,"&lt;="&amp;Settings!$B$5,$I$3:$I$502,"&lt;="&amp;$I18))</f>
        <v/>
      </c>
      <c r="Y18" s="21" t="str">
        <f>IF($P18="","",IFERROR(MATCH($P18,Lists!$H$2:$H$4,0),""))</f>
        <v/>
      </c>
      <c r="Z18" s="21" t="str">
        <f t="shared" si="3"/>
        <v/>
      </c>
    </row>
    <row r="19" spans="1:26" ht="14.4" x14ac:dyDescent="0.3">
      <c r="A19" s="16" t="str">
        <f t="shared" si="4"/>
        <v/>
      </c>
      <c r="B19" s="28"/>
      <c r="C19" s="29"/>
      <c r="D19" s="16"/>
      <c r="E19" s="16"/>
      <c r="F19" s="16"/>
      <c r="G19" s="16"/>
      <c r="H19" s="16"/>
      <c r="I19" s="31"/>
      <c r="J19" s="15"/>
      <c r="K19" s="15"/>
      <c r="L19" s="15"/>
      <c r="M19" s="16"/>
      <c r="N19" s="17"/>
      <c r="O19" s="19" t="str">
        <f t="shared" si="0"/>
        <v/>
      </c>
      <c r="P19" s="17"/>
      <c r="Q19" s="17" t="str">
        <f t="shared" ca="1" si="1"/>
        <v/>
      </c>
      <c r="R19" s="21" t="str">
        <f ca="1">IF($Q19="","",IF($Q19&lt;=Settings!$B$8,Settings!$C$8,IF($Q19&lt;=Settings!$B$9,Settings!$C$9,IF($Q19&lt;=Settings!$B$10,Settings!$C$10,IF($Q19&lt;=Settings!$B$11,Settings!$C$11,Settings!$C$12)))))</f>
        <v/>
      </c>
      <c r="S19" s="21" t="str">
        <f>IF($F19="","",IFERROR(VLOOKUP($F19,Settings!$E$8:$F$11,2,FALSE),0))</f>
        <v/>
      </c>
      <c r="T19" s="21">
        <f>IF($G19="",Settings!$B$16,1)</f>
        <v>1</v>
      </c>
      <c r="U19" s="21" t="str">
        <f t="shared" si="2"/>
        <v/>
      </c>
      <c r="V19" s="32" t="str">
        <f>IF($C19="","",IF($Q19&gt;Settings!$B$4,IF($G19="","|","")&amp;"OLD_7D","")&amp;IF($Q19&gt;Settings!$B$5,IF(OR($G19="", $Q19&gt;Settings!$B$4),"|","")&amp;"OLD_30D",""))</f>
        <v/>
      </c>
      <c r="W19" s="21" t="str">
        <f>IF(OR($C19="", $M19&lt;&gt;"APPROVED",$I19="", $U19=0),"",SUMIFS($U$3:$U$502,$H$3:$H$502,$H19,$M$3:$M$502,"APPROVED",$Q$3:$Q$502,"&lt;="&amp;Settings!$B$4,$I$3:$I$502,"&lt;="&amp;$I19))</f>
        <v/>
      </c>
      <c r="X19" s="21" t="str">
        <f>IF(OR($C19="", $M19&lt;&gt;"APPROVED",$I19="", $U19=0),"",SUMIFS($U$3:$U$502,$H$3:$H$502,$H19,$M$3:$M$502,"APPROVED",$Q$3:$Q$502,"&lt;="&amp;Settings!$B$5,$I$3:$I$502,"&lt;="&amp;$I19))</f>
        <v/>
      </c>
      <c r="Y19" s="21" t="str">
        <f>IF($P19="","",IFERROR(MATCH($P19,Lists!$H$2:$H$4,0),""))</f>
        <v/>
      </c>
      <c r="Z19" s="21" t="str">
        <f t="shared" si="3"/>
        <v/>
      </c>
    </row>
    <row r="20" spans="1:26" ht="14.4" x14ac:dyDescent="0.3">
      <c r="A20" s="16" t="str">
        <f t="shared" si="4"/>
        <v/>
      </c>
      <c r="B20" s="28"/>
      <c r="C20" s="29"/>
      <c r="D20" s="16"/>
      <c r="E20" s="16"/>
      <c r="F20" s="16"/>
      <c r="G20" s="16"/>
      <c r="H20" s="16"/>
      <c r="I20" s="31"/>
      <c r="J20" s="15"/>
      <c r="K20" s="15"/>
      <c r="L20" s="15"/>
      <c r="M20" s="16"/>
      <c r="N20" s="17"/>
      <c r="O20" s="19" t="str">
        <f t="shared" si="0"/>
        <v/>
      </c>
      <c r="P20" s="17"/>
      <c r="Q20" s="17" t="str">
        <f t="shared" ca="1" si="1"/>
        <v/>
      </c>
      <c r="R20" s="21" t="str">
        <f ca="1">IF($Q20="","",IF($Q20&lt;=Settings!$B$8,Settings!$C$8,IF($Q20&lt;=Settings!$B$9,Settings!$C$9,IF($Q20&lt;=Settings!$B$10,Settings!$C$10,IF($Q20&lt;=Settings!$B$11,Settings!$C$11,Settings!$C$12)))))</f>
        <v/>
      </c>
      <c r="S20" s="21" t="str">
        <f>IF($F20="","",IFERROR(VLOOKUP($F20,Settings!$E$8:$F$11,2,FALSE),0))</f>
        <v/>
      </c>
      <c r="T20" s="21">
        <f>IF($G20="",Settings!$B$16,1)</f>
        <v>1</v>
      </c>
      <c r="U20" s="21" t="str">
        <f t="shared" si="2"/>
        <v/>
      </c>
      <c r="V20" s="32" t="str">
        <f>IF($C20="","",IF($Q20&gt;Settings!$B$4,IF($G20="","|","")&amp;"OLD_7D","")&amp;IF($Q20&gt;Settings!$B$5,IF(OR($G20="", $Q20&gt;Settings!$B$4),"|","")&amp;"OLD_30D",""))</f>
        <v/>
      </c>
      <c r="W20" s="21" t="str">
        <f>IF(OR($C20="", $M20&lt;&gt;"APPROVED",$I20="", $U20=0),"",SUMIFS($U$3:$U$502,$H$3:$H$502,$H20,$M$3:$M$502,"APPROVED",$Q$3:$Q$502,"&lt;="&amp;Settings!$B$4,$I$3:$I$502,"&lt;="&amp;$I20))</f>
        <v/>
      </c>
      <c r="X20" s="21" t="str">
        <f>IF(OR($C20="", $M20&lt;&gt;"APPROVED",$I20="", $U20=0),"",SUMIFS($U$3:$U$502,$H$3:$H$502,$H20,$M$3:$M$502,"APPROVED",$Q$3:$Q$502,"&lt;="&amp;Settings!$B$5,$I$3:$I$502,"&lt;="&amp;$I20))</f>
        <v/>
      </c>
      <c r="Y20" s="21" t="str">
        <f>IF($P20="","",IFERROR(MATCH($P20,Lists!$H$2:$H$4,0),""))</f>
        <v/>
      </c>
      <c r="Z20" s="21" t="str">
        <f t="shared" si="3"/>
        <v/>
      </c>
    </row>
    <row r="21" spans="1:26" ht="15.75" customHeight="1" x14ac:dyDescent="0.3">
      <c r="A21" s="16" t="str">
        <f t="shared" si="4"/>
        <v/>
      </c>
      <c r="B21" s="28"/>
      <c r="C21" s="29"/>
      <c r="D21" s="16"/>
      <c r="E21" s="16"/>
      <c r="F21" s="16"/>
      <c r="G21" s="16"/>
      <c r="H21" s="16"/>
      <c r="I21" s="31"/>
      <c r="J21" s="15"/>
      <c r="K21" s="15"/>
      <c r="L21" s="15"/>
      <c r="M21" s="16"/>
      <c r="N21" s="17"/>
      <c r="O21" s="19" t="str">
        <f t="shared" si="0"/>
        <v/>
      </c>
      <c r="P21" s="17"/>
      <c r="Q21" s="17" t="str">
        <f t="shared" ca="1" si="1"/>
        <v/>
      </c>
      <c r="R21" s="21" t="str">
        <f ca="1">IF($Q21="","",IF($Q21&lt;=Settings!$B$8,Settings!$C$8,IF($Q21&lt;=Settings!$B$9,Settings!$C$9,IF($Q21&lt;=Settings!$B$10,Settings!$C$10,IF($Q21&lt;=Settings!$B$11,Settings!$C$11,Settings!$C$12)))))</f>
        <v/>
      </c>
      <c r="S21" s="21" t="str">
        <f>IF($F21="","",IFERROR(VLOOKUP($F21,Settings!$E$8:$F$11,2,FALSE),0))</f>
        <v/>
      </c>
      <c r="T21" s="21">
        <f>IF($G21="",Settings!$B$16,1)</f>
        <v>1</v>
      </c>
      <c r="U21" s="21" t="str">
        <f t="shared" si="2"/>
        <v/>
      </c>
      <c r="V21" s="32" t="str">
        <f>IF($C21="","",IF($Q21&gt;Settings!$B$4,IF($G21="","|","")&amp;"OLD_7D","")&amp;IF($Q21&gt;Settings!$B$5,IF(OR($G21="", $Q21&gt;Settings!$B$4),"|","")&amp;"OLD_30D",""))</f>
        <v/>
      </c>
      <c r="W21" s="21" t="str">
        <f>IF(OR($C21="", $M21&lt;&gt;"APPROVED",$I21="", $U21=0),"",SUMIFS($U$3:$U$502,$H$3:$H$502,$H21,$M$3:$M$502,"APPROVED",$Q$3:$Q$502,"&lt;="&amp;Settings!$B$4,$I$3:$I$502,"&lt;="&amp;$I21))</f>
        <v/>
      </c>
      <c r="X21" s="21" t="str">
        <f>IF(OR($C21="", $M21&lt;&gt;"APPROVED",$I21="", $U21=0),"",SUMIFS($U$3:$U$502,$H$3:$H$502,$H21,$M$3:$M$502,"APPROVED",$Q$3:$Q$502,"&lt;="&amp;Settings!$B$5,$I$3:$I$502,"&lt;="&amp;$I21))</f>
        <v/>
      </c>
      <c r="Y21" s="21" t="str">
        <f>IF($P21="","",IFERROR(MATCH($P21,Lists!$H$2:$H$4,0),""))</f>
        <v/>
      </c>
      <c r="Z21" s="21" t="str">
        <f t="shared" si="3"/>
        <v/>
      </c>
    </row>
    <row r="22" spans="1:26" ht="15.75" customHeight="1" x14ac:dyDescent="0.3">
      <c r="A22" s="16" t="str">
        <f t="shared" si="4"/>
        <v/>
      </c>
      <c r="B22" s="28"/>
      <c r="C22" s="29"/>
      <c r="D22" s="16"/>
      <c r="E22" s="16"/>
      <c r="F22" s="16"/>
      <c r="G22" s="16"/>
      <c r="H22" s="16"/>
      <c r="I22" s="31"/>
      <c r="J22" s="15"/>
      <c r="K22" s="15"/>
      <c r="L22" s="15"/>
      <c r="M22" s="16"/>
      <c r="N22" s="17"/>
      <c r="O22" s="19" t="str">
        <f t="shared" si="0"/>
        <v/>
      </c>
      <c r="P22" s="17"/>
      <c r="Q22" s="17" t="str">
        <f t="shared" ca="1" si="1"/>
        <v/>
      </c>
      <c r="R22" s="21" t="str">
        <f ca="1">IF($Q22="","",IF($Q22&lt;=Settings!$B$8,Settings!$C$8,IF($Q22&lt;=Settings!$B$9,Settings!$C$9,IF($Q22&lt;=Settings!$B$10,Settings!$C$10,IF($Q22&lt;=Settings!$B$11,Settings!$C$11,Settings!$C$12)))))</f>
        <v/>
      </c>
      <c r="S22" s="21" t="str">
        <f>IF($F22="","",IFERROR(VLOOKUP($F22,Settings!$E$8:$F$11,2,FALSE),0))</f>
        <v/>
      </c>
      <c r="T22" s="21">
        <f>IF($G22="",Settings!$B$16,1)</f>
        <v>1</v>
      </c>
      <c r="U22" s="21" t="str">
        <f t="shared" si="2"/>
        <v/>
      </c>
      <c r="V22" s="32" t="str">
        <f>IF($C22="","",IF($Q22&gt;Settings!$B$4,IF($G22="","|","")&amp;"OLD_7D","")&amp;IF($Q22&gt;Settings!$B$5,IF(OR($G22="", $Q22&gt;Settings!$B$4),"|","")&amp;"OLD_30D",""))</f>
        <v/>
      </c>
      <c r="W22" s="21" t="str">
        <f>IF(OR($C22="", $M22&lt;&gt;"APPROVED",$I22="", $U22=0),"",SUMIFS($U$3:$U$502,$H$3:$H$502,$H22,$M$3:$M$502,"APPROVED",$Q$3:$Q$502,"&lt;="&amp;Settings!$B$4,$I$3:$I$502,"&lt;="&amp;$I22))</f>
        <v/>
      </c>
      <c r="X22" s="21" t="str">
        <f>IF(OR($C22="", $M22&lt;&gt;"APPROVED",$I22="", $U22=0),"",SUMIFS($U$3:$U$502,$H$3:$H$502,$H22,$M$3:$M$502,"APPROVED",$Q$3:$Q$502,"&lt;="&amp;Settings!$B$5,$I$3:$I$502,"&lt;="&amp;$I22))</f>
        <v/>
      </c>
      <c r="Y22" s="21" t="str">
        <f>IF($P22="","",IFERROR(MATCH($P22,Lists!$H$2:$H$4,0),""))</f>
        <v/>
      </c>
      <c r="Z22" s="21" t="str">
        <f t="shared" si="3"/>
        <v/>
      </c>
    </row>
    <row r="23" spans="1:26" ht="15.75" customHeight="1" x14ac:dyDescent="0.3">
      <c r="A23" s="16" t="str">
        <f t="shared" si="4"/>
        <v/>
      </c>
      <c r="B23" s="28"/>
      <c r="C23" s="29"/>
      <c r="D23" s="16"/>
      <c r="E23" s="16"/>
      <c r="F23" s="16"/>
      <c r="G23" s="16"/>
      <c r="H23" s="16"/>
      <c r="I23" s="31"/>
      <c r="J23" s="15"/>
      <c r="K23" s="15"/>
      <c r="L23" s="15"/>
      <c r="M23" s="16"/>
      <c r="N23" s="17"/>
      <c r="O23" s="19" t="str">
        <f t="shared" si="0"/>
        <v/>
      </c>
      <c r="P23" s="17"/>
      <c r="Q23" s="17" t="str">
        <f t="shared" ca="1" si="1"/>
        <v/>
      </c>
      <c r="R23" s="21" t="str">
        <f ca="1">IF($Q23="","",IF($Q23&lt;=Settings!$B$8,Settings!$C$8,IF($Q23&lt;=Settings!$B$9,Settings!$C$9,IF($Q23&lt;=Settings!$B$10,Settings!$C$10,IF($Q23&lt;=Settings!$B$11,Settings!$C$11,Settings!$C$12)))))</f>
        <v/>
      </c>
      <c r="S23" s="21" t="str">
        <f>IF($F23="","",IFERROR(VLOOKUP($F23,Settings!$E$8:$F$11,2,FALSE),0))</f>
        <v/>
      </c>
      <c r="T23" s="21">
        <f>IF($G23="",Settings!$B$16,1)</f>
        <v>1</v>
      </c>
      <c r="U23" s="21" t="str">
        <f t="shared" si="2"/>
        <v/>
      </c>
      <c r="V23" s="32" t="str">
        <f>IF($C23="","",IF($Q23&gt;Settings!$B$4,IF($G23="","|","")&amp;"OLD_7D","")&amp;IF($Q23&gt;Settings!$B$5,IF(OR($G23="", $Q23&gt;Settings!$B$4),"|","")&amp;"OLD_30D",""))</f>
        <v/>
      </c>
      <c r="W23" s="21" t="str">
        <f>IF(OR($C23="", $M23&lt;&gt;"APPROVED",$I23="", $U23=0),"",SUMIFS($U$3:$U$502,$H$3:$H$502,$H23,$M$3:$M$502,"APPROVED",$Q$3:$Q$502,"&lt;="&amp;Settings!$B$4,$I$3:$I$502,"&lt;="&amp;$I23))</f>
        <v/>
      </c>
      <c r="X23" s="21" t="str">
        <f>IF(OR($C23="", $M23&lt;&gt;"APPROVED",$I23="", $U23=0),"",SUMIFS($U$3:$U$502,$H$3:$H$502,$H23,$M$3:$M$502,"APPROVED",$Q$3:$Q$502,"&lt;="&amp;Settings!$B$5,$I$3:$I$502,"&lt;="&amp;$I23))</f>
        <v/>
      </c>
      <c r="Y23" s="21" t="str">
        <f>IF($P23="","",IFERROR(MATCH($P23,Lists!$H$2:$H$4,0),""))</f>
        <v/>
      </c>
      <c r="Z23" s="21" t="str">
        <f t="shared" si="3"/>
        <v/>
      </c>
    </row>
    <row r="24" spans="1:26" ht="15.75" customHeight="1" x14ac:dyDescent="0.3">
      <c r="A24" s="16" t="str">
        <f t="shared" si="4"/>
        <v/>
      </c>
      <c r="B24" s="28"/>
      <c r="C24" s="29"/>
      <c r="D24" s="16"/>
      <c r="E24" s="16"/>
      <c r="F24" s="16"/>
      <c r="G24" s="16"/>
      <c r="H24" s="16"/>
      <c r="I24" s="31"/>
      <c r="J24" s="15"/>
      <c r="K24" s="15"/>
      <c r="L24" s="15"/>
      <c r="M24" s="16"/>
      <c r="N24" s="17"/>
      <c r="O24" s="19" t="str">
        <f t="shared" si="0"/>
        <v/>
      </c>
      <c r="P24" s="17"/>
      <c r="Q24" s="17" t="str">
        <f t="shared" ca="1" si="1"/>
        <v/>
      </c>
      <c r="R24" s="21" t="str">
        <f ca="1">IF($Q24="","",IF($Q24&lt;=Settings!$B$8,Settings!$C$8,IF($Q24&lt;=Settings!$B$9,Settings!$C$9,IF($Q24&lt;=Settings!$B$10,Settings!$C$10,IF($Q24&lt;=Settings!$B$11,Settings!$C$11,Settings!$C$12)))))</f>
        <v/>
      </c>
      <c r="S24" s="21" t="str">
        <f>IF($F24="","",IFERROR(VLOOKUP($F24,Settings!$E$8:$F$11,2,FALSE),0))</f>
        <v/>
      </c>
      <c r="T24" s="21">
        <f>IF($G24="",Settings!$B$16,1)</f>
        <v>1</v>
      </c>
      <c r="U24" s="21" t="str">
        <f t="shared" si="2"/>
        <v/>
      </c>
      <c r="V24" s="32" t="str">
        <f>IF($C24="","",IF($Q24&gt;Settings!$B$4,IF($G24="","|","")&amp;"OLD_7D","")&amp;IF($Q24&gt;Settings!$B$5,IF(OR($G24="", $Q24&gt;Settings!$B$4),"|","")&amp;"OLD_30D",""))</f>
        <v/>
      </c>
      <c r="W24" s="21" t="str">
        <f>IF(OR($C24="", $M24&lt;&gt;"APPROVED",$I24="", $U24=0),"",SUMIFS($U$3:$U$502,$H$3:$H$502,$H24,$M$3:$M$502,"APPROVED",$Q$3:$Q$502,"&lt;="&amp;Settings!$B$4,$I$3:$I$502,"&lt;="&amp;$I24))</f>
        <v/>
      </c>
      <c r="X24" s="21" t="str">
        <f>IF(OR($C24="", $M24&lt;&gt;"APPROVED",$I24="", $U24=0),"",SUMIFS($U$3:$U$502,$H$3:$H$502,$H24,$M$3:$M$502,"APPROVED",$Q$3:$Q$502,"&lt;="&amp;Settings!$B$5,$I$3:$I$502,"&lt;="&amp;$I24))</f>
        <v/>
      </c>
      <c r="Y24" s="21" t="str">
        <f>IF($P24="","",IFERROR(MATCH($P24,Lists!$H$2:$H$4,0),""))</f>
        <v/>
      </c>
      <c r="Z24" s="21" t="str">
        <f t="shared" si="3"/>
        <v/>
      </c>
    </row>
    <row r="25" spans="1:26" ht="15.75" customHeight="1" x14ac:dyDescent="0.3">
      <c r="A25" s="16" t="str">
        <f t="shared" si="4"/>
        <v/>
      </c>
      <c r="B25" s="28"/>
      <c r="C25" s="29"/>
      <c r="D25" s="16"/>
      <c r="E25" s="16"/>
      <c r="F25" s="16"/>
      <c r="G25" s="16"/>
      <c r="H25" s="16"/>
      <c r="I25" s="31"/>
      <c r="J25" s="15"/>
      <c r="K25" s="15"/>
      <c r="L25" s="15"/>
      <c r="M25" s="16"/>
      <c r="N25" s="17"/>
      <c r="O25" s="19" t="str">
        <f t="shared" si="0"/>
        <v/>
      </c>
      <c r="P25" s="17"/>
      <c r="Q25" s="17" t="str">
        <f t="shared" ca="1" si="1"/>
        <v/>
      </c>
      <c r="R25" s="21" t="str">
        <f ca="1">IF($Q25="","",IF($Q25&lt;=Settings!$B$8,Settings!$C$8,IF($Q25&lt;=Settings!$B$9,Settings!$C$9,IF($Q25&lt;=Settings!$B$10,Settings!$C$10,IF($Q25&lt;=Settings!$B$11,Settings!$C$11,Settings!$C$12)))))</f>
        <v/>
      </c>
      <c r="S25" s="21" t="str">
        <f>IF($F25="","",IFERROR(VLOOKUP($F25,Settings!$E$8:$F$11,2,FALSE),0))</f>
        <v/>
      </c>
      <c r="T25" s="21">
        <f>IF($G25="",Settings!$B$16,1)</f>
        <v>1</v>
      </c>
      <c r="U25" s="21" t="str">
        <f t="shared" si="2"/>
        <v/>
      </c>
      <c r="V25" s="32" t="str">
        <f>IF($C25="","",IF($Q25&gt;Settings!$B$4,IF($G25="","|","")&amp;"OLD_7D","")&amp;IF($Q25&gt;Settings!$B$5,IF(OR($G25="", $Q25&gt;Settings!$B$4),"|","")&amp;"OLD_30D",""))</f>
        <v/>
      </c>
      <c r="W25" s="21" t="str">
        <f>IF(OR($C25="", $M25&lt;&gt;"APPROVED",$I25="", $U25=0),"",SUMIFS($U$3:$U$502,$H$3:$H$502,$H25,$M$3:$M$502,"APPROVED",$Q$3:$Q$502,"&lt;="&amp;Settings!$B$4,$I$3:$I$502,"&lt;="&amp;$I25))</f>
        <v/>
      </c>
      <c r="X25" s="21" t="str">
        <f>IF(OR($C25="", $M25&lt;&gt;"APPROVED",$I25="", $U25=0),"",SUMIFS($U$3:$U$502,$H$3:$H$502,$H25,$M$3:$M$502,"APPROVED",$Q$3:$Q$502,"&lt;="&amp;Settings!$B$5,$I$3:$I$502,"&lt;="&amp;$I25))</f>
        <v/>
      </c>
      <c r="Y25" s="21" t="str">
        <f>IF($P25="","",IFERROR(MATCH($P25,Lists!$H$2:$H$4,0),""))</f>
        <v/>
      </c>
      <c r="Z25" s="21" t="str">
        <f t="shared" si="3"/>
        <v/>
      </c>
    </row>
    <row r="26" spans="1:26" ht="15.75" customHeight="1" x14ac:dyDescent="0.3">
      <c r="A26" s="16" t="str">
        <f t="shared" si="4"/>
        <v/>
      </c>
      <c r="B26" s="28"/>
      <c r="C26" s="29"/>
      <c r="D26" s="16"/>
      <c r="E26" s="16"/>
      <c r="F26" s="16"/>
      <c r="G26" s="16"/>
      <c r="H26" s="16"/>
      <c r="I26" s="31"/>
      <c r="J26" s="15"/>
      <c r="K26" s="15"/>
      <c r="L26" s="15"/>
      <c r="M26" s="16"/>
      <c r="N26" s="17"/>
      <c r="O26" s="19" t="str">
        <f t="shared" si="0"/>
        <v/>
      </c>
      <c r="P26" s="17"/>
      <c r="Q26" s="17" t="str">
        <f t="shared" ca="1" si="1"/>
        <v/>
      </c>
      <c r="R26" s="21" t="str">
        <f ca="1">IF($Q26="","",IF($Q26&lt;=Settings!$B$8,Settings!$C$8,IF($Q26&lt;=Settings!$B$9,Settings!$C$9,IF($Q26&lt;=Settings!$B$10,Settings!$C$10,IF($Q26&lt;=Settings!$B$11,Settings!$C$11,Settings!$C$12)))))</f>
        <v/>
      </c>
      <c r="S26" s="21" t="str">
        <f>IF($F26="","",IFERROR(VLOOKUP($F26,Settings!$E$8:$F$11,2,FALSE),0))</f>
        <v/>
      </c>
      <c r="T26" s="21">
        <f>IF($G26="",Settings!$B$16,1)</f>
        <v>1</v>
      </c>
      <c r="U26" s="21" t="str">
        <f t="shared" si="2"/>
        <v/>
      </c>
      <c r="V26" s="32" t="str">
        <f>IF($C26="","",IF($Q26&gt;Settings!$B$4,IF($G26="","|","")&amp;"OLD_7D","")&amp;IF($Q26&gt;Settings!$B$5,IF(OR($G26="", $Q26&gt;Settings!$B$4),"|","")&amp;"OLD_30D",""))</f>
        <v/>
      </c>
      <c r="W26" s="21" t="str">
        <f>IF(OR($C26="", $M26&lt;&gt;"APPROVED",$I26="", $U26=0),"",SUMIFS($U$3:$U$502,$H$3:$H$502,$H26,$M$3:$M$502,"APPROVED",$Q$3:$Q$502,"&lt;="&amp;Settings!$B$4,$I$3:$I$502,"&lt;="&amp;$I26))</f>
        <v/>
      </c>
      <c r="X26" s="21" t="str">
        <f>IF(OR($C26="", $M26&lt;&gt;"APPROVED",$I26="", $U26=0),"",SUMIFS($U$3:$U$502,$H$3:$H$502,$H26,$M$3:$M$502,"APPROVED",$Q$3:$Q$502,"&lt;="&amp;Settings!$B$5,$I$3:$I$502,"&lt;="&amp;$I26))</f>
        <v/>
      </c>
      <c r="Y26" s="21" t="str">
        <f>IF($P26="","",IFERROR(MATCH($P26,Lists!$H$2:$H$4,0),""))</f>
        <v/>
      </c>
      <c r="Z26" s="21" t="str">
        <f t="shared" si="3"/>
        <v/>
      </c>
    </row>
    <row r="27" spans="1:26" ht="15.75" customHeight="1" x14ac:dyDescent="0.3">
      <c r="A27" s="16" t="str">
        <f t="shared" si="4"/>
        <v/>
      </c>
      <c r="B27" s="28"/>
      <c r="C27" s="29"/>
      <c r="D27" s="16"/>
      <c r="E27" s="16"/>
      <c r="F27" s="16"/>
      <c r="G27" s="16"/>
      <c r="H27" s="16"/>
      <c r="I27" s="31"/>
      <c r="J27" s="15"/>
      <c r="K27" s="15"/>
      <c r="L27" s="15"/>
      <c r="M27" s="16"/>
      <c r="N27" s="17"/>
      <c r="O27" s="19" t="str">
        <f t="shared" si="0"/>
        <v/>
      </c>
      <c r="P27" s="17"/>
      <c r="Q27" s="17" t="str">
        <f t="shared" ca="1" si="1"/>
        <v/>
      </c>
      <c r="R27" s="21" t="str">
        <f ca="1">IF($Q27="","",IF($Q27&lt;=Settings!$B$8,Settings!$C$8,IF($Q27&lt;=Settings!$B$9,Settings!$C$9,IF($Q27&lt;=Settings!$B$10,Settings!$C$10,IF($Q27&lt;=Settings!$B$11,Settings!$C$11,Settings!$C$12)))))</f>
        <v/>
      </c>
      <c r="S27" s="21" t="str">
        <f>IF($F27="","",IFERROR(VLOOKUP($F27,Settings!$E$8:$F$11,2,FALSE),0))</f>
        <v/>
      </c>
      <c r="T27" s="21">
        <f>IF($G27="",Settings!$B$16,1)</f>
        <v>1</v>
      </c>
      <c r="U27" s="21" t="str">
        <f t="shared" si="2"/>
        <v/>
      </c>
      <c r="V27" s="32" t="str">
        <f>IF($C27="","",IF($Q27&gt;Settings!$B$4,IF($G27="","|","")&amp;"OLD_7D","")&amp;IF($Q27&gt;Settings!$B$5,IF(OR($G27="", $Q27&gt;Settings!$B$4),"|","")&amp;"OLD_30D",""))</f>
        <v/>
      </c>
      <c r="W27" s="21" t="str">
        <f>IF(OR($C27="", $M27&lt;&gt;"APPROVED",$I27="", $U27=0),"",SUMIFS($U$3:$U$502,$H$3:$H$502,$H27,$M$3:$M$502,"APPROVED",$Q$3:$Q$502,"&lt;="&amp;Settings!$B$4,$I$3:$I$502,"&lt;="&amp;$I27))</f>
        <v/>
      </c>
      <c r="X27" s="21" t="str">
        <f>IF(OR($C27="", $M27&lt;&gt;"APPROVED",$I27="", $U27=0),"",SUMIFS($U$3:$U$502,$H$3:$H$502,$H27,$M$3:$M$502,"APPROVED",$Q$3:$Q$502,"&lt;="&amp;Settings!$B$5,$I$3:$I$502,"&lt;="&amp;$I27))</f>
        <v/>
      </c>
      <c r="Y27" s="21" t="str">
        <f>IF($P27="","",IFERROR(MATCH($P27,Lists!$H$2:$H$4,0),""))</f>
        <v/>
      </c>
      <c r="Z27" s="21" t="str">
        <f t="shared" si="3"/>
        <v/>
      </c>
    </row>
    <row r="28" spans="1:26" ht="15.75" customHeight="1" x14ac:dyDescent="0.3">
      <c r="A28" s="16" t="str">
        <f t="shared" si="4"/>
        <v/>
      </c>
      <c r="B28" s="28"/>
      <c r="C28" s="29"/>
      <c r="D28" s="16"/>
      <c r="E28" s="16"/>
      <c r="F28" s="16"/>
      <c r="G28" s="16"/>
      <c r="H28" s="16"/>
      <c r="I28" s="31"/>
      <c r="J28" s="15"/>
      <c r="K28" s="15"/>
      <c r="L28" s="15"/>
      <c r="M28" s="16"/>
      <c r="N28" s="17"/>
      <c r="O28" s="19" t="str">
        <f t="shared" si="0"/>
        <v/>
      </c>
      <c r="P28" s="17"/>
      <c r="Q28" s="17" t="str">
        <f t="shared" ca="1" si="1"/>
        <v/>
      </c>
      <c r="R28" s="21" t="str">
        <f ca="1">IF($Q28="","",IF($Q28&lt;=Settings!$B$8,Settings!$C$8,IF($Q28&lt;=Settings!$B$9,Settings!$C$9,IF($Q28&lt;=Settings!$B$10,Settings!$C$10,IF($Q28&lt;=Settings!$B$11,Settings!$C$11,Settings!$C$12)))))</f>
        <v/>
      </c>
      <c r="S28" s="21" t="str">
        <f>IF($F28="","",IFERROR(VLOOKUP($F28,Settings!$E$8:$F$11,2,FALSE),0))</f>
        <v/>
      </c>
      <c r="T28" s="21">
        <f>IF($G28="",Settings!$B$16,1)</f>
        <v>1</v>
      </c>
      <c r="U28" s="21" t="str">
        <f t="shared" si="2"/>
        <v/>
      </c>
      <c r="V28" s="32" t="str">
        <f>IF($C28="","",IF($Q28&gt;Settings!$B$4,IF($G28="","|","")&amp;"OLD_7D","")&amp;IF($Q28&gt;Settings!$B$5,IF(OR($G28="", $Q28&gt;Settings!$B$4),"|","")&amp;"OLD_30D",""))</f>
        <v/>
      </c>
      <c r="W28" s="21" t="str">
        <f>IF(OR($C28="", $M28&lt;&gt;"APPROVED",$I28="", $U28=0),"",SUMIFS($U$3:$U$502,$H$3:$H$502,$H28,$M$3:$M$502,"APPROVED",$Q$3:$Q$502,"&lt;="&amp;Settings!$B$4,$I$3:$I$502,"&lt;="&amp;$I28))</f>
        <v/>
      </c>
      <c r="X28" s="21" t="str">
        <f>IF(OR($C28="", $M28&lt;&gt;"APPROVED",$I28="", $U28=0),"",SUMIFS($U$3:$U$502,$H$3:$H$502,$H28,$M$3:$M$502,"APPROVED",$Q$3:$Q$502,"&lt;="&amp;Settings!$B$5,$I$3:$I$502,"&lt;="&amp;$I28))</f>
        <v/>
      </c>
      <c r="Y28" s="21" t="str">
        <f>IF($P28="","",IFERROR(MATCH($P28,Lists!$H$2:$H$4,0),""))</f>
        <v/>
      </c>
      <c r="Z28" s="21" t="str">
        <f t="shared" si="3"/>
        <v/>
      </c>
    </row>
    <row r="29" spans="1:26" ht="15.75" customHeight="1" x14ac:dyDescent="0.3">
      <c r="A29" s="16" t="str">
        <f t="shared" si="4"/>
        <v/>
      </c>
      <c r="B29" s="28"/>
      <c r="C29" s="29"/>
      <c r="D29" s="16"/>
      <c r="E29" s="16"/>
      <c r="F29" s="16"/>
      <c r="G29" s="16"/>
      <c r="H29" s="16"/>
      <c r="I29" s="31"/>
      <c r="J29" s="15"/>
      <c r="K29" s="15"/>
      <c r="L29" s="15"/>
      <c r="M29" s="16"/>
      <c r="N29" s="17"/>
      <c r="O29" s="19" t="str">
        <f t="shared" si="0"/>
        <v/>
      </c>
      <c r="P29" s="17"/>
      <c r="Q29" s="17" t="str">
        <f t="shared" ca="1" si="1"/>
        <v/>
      </c>
      <c r="R29" s="21" t="str">
        <f ca="1">IF($Q29="","",IF($Q29&lt;=Settings!$B$8,Settings!$C$8,IF($Q29&lt;=Settings!$B$9,Settings!$C$9,IF($Q29&lt;=Settings!$B$10,Settings!$C$10,IF($Q29&lt;=Settings!$B$11,Settings!$C$11,Settings!$C$12)))))</f>
        <v/>
      </c>
      <c r="S29" s="21" t="str">
        <f>IF($F29="","",IFERROR(VLOOKUP($F29,Settings!$E$8:$F$11,2,FALSE),0))</f>
        <v/>
      </c>
      <c r="T29" s="21">
        <f>IF($G29="",Settings!$B$16,1)</f>
        <v>1</v>
      </c>
      <c r="U29" s="21" t="str">
        <f t="shared" si="2"/>
        <v/>
      </c>
      <c r="V29" s="32" t="str">
        <f>IF($C29="","",IF($Q29&gt;Settings!$B$4,IF($G29="","|","")&amp;"OLD_7D","")&amp;IF($Q29&gt;Settings!$B$5,IF(OR($G29="", $Q29&gt;Settings!$B$4),"|","")&amp;"OLD_30D",""))</f>
        <v/>
      </c>
      <c r="W29" s="21" t="str">
        <f>IF(OR($C29="", $M29&lt;&gt;"APPROVED",$I29="", $U29=0),"",SUMIFS($U$3:$U$502,$H$3:$H$502,$H29,$M$3:$M$502,"APPROVED",$Q$3:$Q$502,"&lt;="&amp;Settings!$B$4,$I$3:$I$502,"&lt;="&amp;$I29))</f>
        <v/>
      </c>
      <c r="X29" s="21" t="str">
        <f>IF(OR($C29="", $M29&lt;&gt;"APPROVED",$I29="", $U29=0),"",SUMIFS($U$3:$U$502,$H$3:$H$502,$H29,$M$3:$M$502,"APPROVED",$Q$3:$Q$502,"&lt;="&amp;Settings!$B$5,$I$3:$I$502,"&lt;="&amp;$I29))</f>
        <v/>
      </c>
      <c r="Y29" s="21" t="str">
        <f>IF($P29="","",IFERROR(MATCH($P29,Lists!$H$2:$H$4,0),""))</f>
        <v/>
      </c>
      <c r="Z29" s="21" t="str">
        <f t="shared" si="3"/>
        <v/>
      </c>
    </row>
    <row r="30" spans="1:26" ht="15.75" customHeight="1" x14ac:dyDescent="0.3">
      <c r="A30" s="16" t="str">
        <f t="shared" si="4"/>
        <v/>
      </c>
      <c r="B30" s="28"/>
      <c r="C30" s="29"/>
      <c r="D30" s="16"/>
      <c r="E30" s="16"/>
      <c r="F30" s="16"/>
      <c r="G30" s="16"/>
      <c r="H30" s="16"/>
      <c r="I30" s="31"/>
      <c r="J30" s="15"/>
      <c r="K30" s="15"/>
      <c r="L30" s="15"/>
      <c r="M30" s="16"/>
      <c r="N30" s="17"/>
      <c r="O30" s="19" t="str">
        <f t="shared" si="0"/>
        <v/>
      </c>
      <c r="P30" s="17"/>
      <c r="Q30" s="17" t="str">
        <f t="shared" ca="1" si="1"/>
        <v/>
      </c>
      <c r="R30" s="21" t="str">
        <f ca="1">IF($Q30="","",IF($Q30&lt;=Settings!$B$8,Settings!$C$8,IF($Q30&lt;=Settings!$B$9,Settings!$C$9,IF($Q30&lt;=Settings!$B$10,Settings!$C$10,IF($Q30&lt;=Settings!$B$11,Settings!$C$11,Settings!$C$12)))))</f>
        <v/>
      </c>
      <c r="S30" s="21" t="str">
        <f>IF($F30="","",IFERROR(VLOOKUP($F30,Settings!$E$8:$F$11,2,FALSE),0))</f>
        <v/>
      </c>
      <c r="T30" s="21">
        <f>IF($G30="",Settings!$B$16,1)</f>
        <v>1</v>
      </c>
      <c r="U30" s="21" t="str">
        <f t="shared" si="2"/>
        <v/>
      </c>
      <c r="V30" s="32" t="str">
        <f>IF($C30="","",IF($Q30&gt;Settings!$B$4,IF($G30="","|","")&amp;"OLD_7D","")&amp;IF($Q30&gt;Settings!$B$5,IF(OR($G30="", $Q30&gt;Settings!$B$4),"|","")&amp;"OLD_30D",""))</f>
        <v/>
      </c>
      <c r="W30" s="21" t="str">
        <f>IF(OR($C30="", $M30&lt;&gt;"APPROVED",$I30="", $U30=0),"",SUMIFS($U$3:$U$502,$H$3:$H$502,$H30,$M$3:$M$502,"APPROVED",$Q$3:$Q$502,"&lt;="&amp;Settings!$B$4,$I$3:$I$502,"&lt;="&amp;$I30))</f>
        <v/>
      </c>
      <c r="X30" s="21" t="str">
        <f>IF(OR($C30="", $M30&lt;&gt;"APPROVED",$I30="", $U30=0),"",SUMIFS($U$3:$U$502,$H$3:$H$502,$H30,$M$3:$M$502,"APPROVED",$Q$3:$Q$502,"&lt;="&amp;Settings!$B$5,$I$3:$I$502,"&lt;="&amp;$I30))</f>
        <v/>
      </c>
      <c r="Y30" s="21" t="str">
        <f>IF($P30="","",IFERROR(MATCH($P30,Lists!$H$2:$H$4,0),""))</f>
        <v/>
      </c>
      <c r="Z30" s="21" t="str">
        <f t="shared" si="3"/>
        <v/>
      </c>
    </row>
    <row r="31" spans="1:26" ht="15.75" customHeight="1" x14ac:dyDescent="0.3">
      <c r="A31" s="16" t="str">
        <f t="shared" si="4"/>
        <v/>
      </c>
      <c r="B31" s="28"/>
      <c r="C31" s="29"/>
      <c r="D31" s="16"/>
      <c r="E31" s="16"/>
      <c r="F31" s="16"/>
      <c r="G31" s="16"/>
      <c r="H31" s="16"/>
      <c r="I31" s="31"/>
      <c r="J31" s="15"/>
      <c r="K31" s="15"/>
      <c r="L31" s="15"/>
      <c r="M31" s="16"/>
      <c r="N31" s="17"/>
      <c r="O31" s="19" t="str">
        <f t="shared" si="0"/>
        <v/>
      </c>
      <c r="P31" s="17"/>
      <c r="Q31" s="17" t="str">
        <f t="shared" ca="1" si="1"/>
        <v/>
      </c>
      <c r="R31" s="21" t="str">
        <f ca="1">IF($Q31="","",IF($Q31&lt;=Settings!$B$8,Settings!$C$8,IF($Q31&lt;=Settings!$B$9,Settings!$C$9,IF($Q31&lt;=Settings!$B$10,Settings!$C$10,IF($Q31&lt;=Settings!$B$11,Settings!$C$11,Settings!$C$12)))))</f>
        <v/>
      </c>
      <c r="S31" s="21" t="str">
        <f>IF($F31="","",IFERROR(VLOOKUP($F31,Settings!$E$8:$F$11,2,FALSE),0))</f>
        <v/>
      </c>
      <c r="T31" s="21">
        <f>IF($G31="",Settings!$B$16,1)</f>
        <v>1</v>
      </c>
      <c r="U31" s="21" t="str">
        <f t="shared" si="2"/>
        <v/>
      </c>
      <c r="V31" s="32" t="str">
        <f>IF($C31="","",IF($Q31&gt;Settings!$B$4,IF($G31="","|","")&amp;"OLD_7D","")&amp;IF($Q31&gt;Settings!$B$5,IF(OR($G31="", $Q31&gt;Settings!$B$4),"|","")&amp;"OLD_30D",""))</f>
        <v/>
      </c>
      <c r="W31" s="21" t="str">
        <f>IF(OR($C31="", $M31&lt;&gt;"APPROVED",$I31="", $U31=0),"",SUMIFS($U$3:$U$502,$H$3:$H$502,$H31,$M$3:$M$502,"APPROVED",$Q$3:$Q$502,"&lt;="&amp;Settings!$B$4,$I$3:$I$502,"&lt;="&amp;$I31))</f>
        <v/>
      </c>
      <c r="X31" s="21" t="str">
        <f>IF(OR($C31="", $M31&lt;&gt;"APPROVED",$I31="", $U31=0),"",SUMIFS($U$3:$U$502,$H$3:$H$502,$H31,$M$3:$M$502,"APPROVED",$Q$3:$Q$502,"&lt;="&amp;Settings!$B$5,$I$3:$I$502,"&lt;="&amp;$I31))</f>
        <v/>
      </c>
      <c r="Y31" s="21" t="str">
        <f>IF($P31="","",IFERROR(MATCH($P31,Lists!$H$2:$H$4,0),""))</f>
        <v/>
      </c>
      <c r="Z31" s="21" t="str">
        <f t="shared" si="3"/>
        <v/>
      </c>
    </row>
    <row r="32" spans="1:26" ht="15.75" customHeight="1" x14ac:dyDescent="0.3">
      <c r="A32" s="16" t="str">
        <f t="shared" si="4"/>
        <v/>
      </c>
      <c r="B32" s="28"/>
      <c r="C32" s="29"/>
      <c r="D32" s="16"/>
      <c r="E32" s="16"/>
      <c r="F32" s="16"/>
      <c r="G32" s="16"/>
      <c r="H32" s="16"/>
      <c r="I32" s="31"/>
      <c r="J32" s="15"/>
      <c r="K32" s="15"/>
      <c r="L32" s="15"/>
      <c r="M32" s="16"/>
      <c r="N32" s="17"/>
      <c r="O32" s="19" t="str">
        <f t="shared" si="0"/>
        <v/>
      </c>
      <c r="P32" s="17"/>
      <c r="Q32" s="17" t="str">
        <f t="shared" ca="1" si="1"/>
        <v/>
      </c>
      <c r="R32" s="21" t="str">
        <f ca="1">IF($Q32="","",IF($Q32&lt;=Settings!$B$8,Settings!$C$8,IF($Q32&lt;=Settings!$B$9,Settings!$C$9,IF($Q32&lt;=Settings!$B$10,Settings!$C$10,IF($Q32&lt;=Settings!$B$11,Settings!$C$11,Settings!$C$12)))))</f>
        <v/>
      </c>
      <c r="S32" s="21" t="str">
        <f>IF($F32="","",IFERROR(VLOOKUP($F32,Settings!$E$8:$F$11,2,FALSE),0))</f>
        <v/>
      </c>
      <c r="T32" s="21">
        <f>IF($G32="",Settings!$B$16,1)</f>
        <v>1</v>
      </c>
      <c r="U32" s="21" t="str">
        <f t="shared" si="2"/>
        <v/>
      </c>
      <c r="V32" s="32" t="str">
        <f>IF($C32="","",IF($Q32&gt;Settings!$B$4,IF($G32="","|","")&amp;"OLD_7D","")&amp;IF($Q32&gt;Settings!$B$5,IF(OR($G32="", $Q32&gt;Settings!$B$4),"|","")&amp;"OLD_30D",""))</f>
        <v/>
      </c>
      <c r="W32" s="21" t="str">
        <f>IF(OR($C32="", $M32&lt;&gt;"APPROVED",$I32="", $U32=0),"",SUMIFS($U$3:$U$502,$H$3:$H$502,$H32,$M$3:$M$502,"APPROVED",$Q$3:$Q$502,"&lt;="&amp;Settings!$B$4,$I$3:$I$502,"&lt;="&amp;$I32))</f>
        <v/>
      </c>
      <c r="X32" s="21" t="str">
        <f>IF(OR($C32="", $M32&lt;&gt;"APPROVED",$I32="", $U32=0),"",SUMIFS($U$3:$U$502,$H$3:$H$502,$H32,$M$3:$M$502,"APPROVED",$Q$3:$Q$502,"&lt;="&amp;Settings!$B$5,$I$3:$I$502,"&lt;="&amp;$I32))</f>
        <v/>
      </c>
      <c r="Y32" s="21" t="str">
        <f>IF($P32="","",IFERROR(MATCH($P32,Lists!$H$2:$H$4,0),""))</f>
        <v/>
      </c>
      <c r="Z32" s="21" t="str">
        <f t="shared" si="3"/>
        <v/>
      </c>
    </row>
    <row r="33" spans="1:26" ht="15.75" customHeight="1" x14ac:dyDescent="0.3">
      <c r="A33" s="16" t="str">
        <f t="shared" si="4"/>
        <v/>
      </c>
      <c r="B33" s="28"/>
      <c r="C33" s="29"/>
      <c r="D33" s="16"/>
      <c r="E33" s="16"/>
      <c r="F33" s="16"/>
      <c r="G33" s="16"/>
      <c r="H33" s="16"/>
      <c r="I33" s="31"/>
      <c r="J33" s="15"/>
      <c r="K33" s="15"/>
      <c r="L33" s="15"/>
      <c r="M33" s="16"/>
      <c r="N33" s="17"/>
      <c r="O33" s="19" t="str">
        <f t="shared" si="0"/>
        <v/>
      </c>
      <c r="P33" s="17"/>
      <c r="Q33" s="17" t="str">
        <f t="shared" ca="1" si="1"/>
        <v/>
      </c>
      <c r="R33" s="21" t="str">
        <f ca="1">IF($Q33="","",IF($Q33&lt;=Settings!$B$8,Settings!$C$8,IF($Q33&lt;=Settings!$B$9,Settings!$C$9,IF($Q33&lt;=Settings!$B$10,Settings!$C$10,IF($Q33&lt;=Settings!$B$11,Settings!$C$11,Settings!$C$12)))))</f>
        <v/>
      </c>
      <c r="S33" s="21" t="str">
        <f>IF($F33="","",IFERROR(VLOOKUP($F33,Settings!$E$8:$F$11,2,FALSE),0))</f>
        <v/>
      </c>
      <c r="T33" s="21">
        <f>IF($G33="",Settings!$B$16,1)</f>
        <v>1</v>
      </c>
      <c r="U33" s="21" t="str">
        <f t="shared" si="2"/>
        <v/>
      </c>
      <c r="V33" s="32" t="str">
        <f>IF($C33="","",IF($Q33&gt;Settings!$B$4,IF($G33="","|","")&amp;"OLD_7D","")&amp;IF($Q33&gt;Settings!$B$5,IF(OR($G33="", $Q33&gt;Settings!$B$4),"|","")&amp;"OLD_30D",""))</f>
        <v/>
      </c>
      <c r="W33" s="21" t="str">
        <f>IF(OR($C33="", $M33&lt;&gt;"APPROVED",$I33="", $U33=0),"",SUMIFS($U$3:$U$502,$H$3:$H$502,$H33,$M$3:$M$502,"APPROVED",$Q$3:$Q$502,"&lt;="&amp;Settings!$B$4,$I$3:$I$502,"&lt;="&amp;$I33))</f>
        <v/>
      </c>
      <c r="X33" s="21" t="str">
        <f>IF(OR($C33="", $M33&lt;&gt;"APPROVED",$I33="", $U33=0),"",SUMIFS($U$3:$U$502,$H$3:$H$502,$H33,$M$3:$M$502,"APPROVED",$Q$3:$Q$502,"&lt;="&amp;Settings!$B$5,$I$3:$I$502,"&lt;="&amp;$I33))</f>
        <v/>
      </c>
      <c r="Y33" s="21" t="str">
        <f>IF($P33="","",IFERROR(MATCH($P33,Lists!$H$2:$H$4,0),""))</f>
        <v/>
      </c>
      <c r="Z33" s="21" t="str">
        <f t="shared" si="3"/>
        <v/>
      </c>
    </row>
    <row r="34" spans="1:26" ht="15.75" customHeight="1" x14ac:dyDescent="0.3">
      <c r="A34" s="16" t="str">
        <f t="shared" si="4"/>
        <v/>
      </c>
      <c r="B34" s="28"/>
      <c r="C34" s="29"/>
      <c r="D34" s="16"/>
      <c r="E34" s="16"/>
      <c r="F34" s="16"/>
      <c r="G34" s="16"/>
      <c r="H34" s="16"/>
      <c r="I34" s="31"/>
      <c r="J34" s="15"/>
      <c r="K34" s="15"/>
      <c r="L34" s="15"/>
      <c r="M34" s="16"/>
      <c r="N34" s="17"/>
      <c r="O34" s="19" t="str">
        <f t="shared" si="0"/>
        <v/>
      </c>
      <c r="P34" s="17"/>
      <c r="Q34" s="17" t="str">
        <f t="shared" ca="1" si="1"/>
        <v/>
      </c>
      <c r="R34" s="21" t="str">
        <f ca="1">IF($Q34="","",IF($Q34&lt;=Settings!$B$8,Settings!$C$8,IF($Q34&lt;=Settings!$B$9,Settings!$C$9,IF($Q34&lt;=Settings!$B$10,Settings!$C$10,IF($Q34&lt;=Settings!$B$11,Settings!$C$11,Settings!$C$12)))))</f>
        <v/>
      </c>
      <c r="S34" s="21" t="str">
        <f>IF($F34="","",IFERROR(VLOOKUP($F34,Settings!$E$8:$F$11,2,FALSE),0))</f>
        <v/>
      </c>
      <c r="T34" s="21">
        <f>IF($G34="",Settings!$B$16,1)</f>
        <v>1</v>
      </c>
      <c r="U34" s="21" t="str">
        <f t="shared" si="2"/>
        <v/>
      </c>
      <c r="V34" s="32" t="str">
        <f>IF($C34="","",IF($Q34&gt;Settings!$B$4,IF($G34="","|","")&amp;"OLD_7D","")&amp;IF($Q34&gt;Settings!$B$5,IF(OR($G34="", $Q34&gt;Settings!$B$4),"|","")&amp;"OLD_30D",""))</f>
        <v/>
      </c>
      <c r="W34" s="21" t="str">
        <f>IF(OR($C34="", $M34&lt;&gt;"APPROVED",$I34="", $U34=0),"",SUMIFS($U$3:$U$502,$H$3:$H$502,$H34,$M$3:$M$502,"APPROVED",$Q$3:$Q$502,"&lt;="&amp;Settings!$B$4,$I$3:$I$502,"&lt;="&amp;$I34))</f>
        <v/>
      </c>
      <c r="X34" s="21" t="str">
        <f>IF(OR($C34="", $M34&lt;&gt;"APPROVED",$I34="", $U34=0),"",SUMIFS($U$3:$U$502,$H$3:$H$502,$H34,$M$3:$M$502,"APPROVED",$Q$3:$Q$502,"&lt;="&amp;Settings!$B$5,$I$3:$I$502,"&lt;="&amp;$I34))</f>
        <v/>
      </c>
      <c r="Y34" s="21" t="str">
        <f>IF($P34="","",IFERROR(MATCH($P34,Lists!$H$2:$H$4,0),""))</f>
        <v/>
      </c>
      <c r="Z34" s="21" t="str">
        <f t="shared" si="3"/>
        <v/>
      </c>
    </row>
    <row r="35" spans="1:26" ht="15.75" customHeight="1" x14ac:dyDescent="0.3">
      <c r="A35" s="16" t="str">
        <f t="shared" si="4"/>
        <v/>
      </c>
      <c r="B35" s="28"/>
      <c r="C35" s="29"/>
      <c r="D35" s="16"/>
      <c r="E35" s="16"/>
      <c r="F35" s="16"/>
      <c r="G35" s="16"/>
      <c r="H35" s="16"/>
      <c r="I35" s="31"/>
      <c r="J35" s="15"/>
      <c r="K35" s="15"/>
      <c r="L35" s="15"/>
      <c r="M35" s="16"/>
      <c r="N35" s="17"/>
      <c r="O35" s="19" t="str">
        <f t="shared" si="0"/>
        <v/>
      </c>
      <c r="P35" s="17"/>
      <c r="Q35" s="17" t="str">
        <f t="shared" ca="1" si="1"/>
        <v/>
      </c>
      <c r="R35" s="21" t="str">
        <f ca="1">IF($Q35="","",IF($Q35&lt;=Settings!$B$8,Settings!$C$8,IF($Q35&lt;=Settings!$B$9,Settings!$C$9,IF($Q35&lt;=Settings!$B$10,Settings!$C$10,IF($Q35&lt;=Settings!$B$11,Settings!$C$11,Settings!$C$12)))))</f>
        <v/>
      </c>
      <c r="S35" s="21" t="str">
        <f>IF($F35="","",IFERROR(VLOOKUP($F35,Settings!$E$8:$F$11,2,FALSE),0))</f>
        <v/>
      </c>
      <c r="T35" s="21">
        <f>IF($G35="",Settings!$B$16,1)</f>
        <v>1</v>
      </c>
      <c r="U35" s="21" t="str">
        <f t="shared" si="2"/>
        <v/>
      </c>
      <c r="V35" s="32" t="str">
        <f>IF($C35="","",IF($Q35&gt;Settings!$B$4,IF($G35="","|","")&amp;"OLD_7D","")&amp;IF($Q35&gt;Settings!$B$5,IF(OR($G35="", $Q35&gt;Settings!$B$4),"|","")&amp;"OLD_30D",""))</f>
        <v/>
      </c>
      <c r="W35" s="21" t="str">
        <f>IF(OR($C35="", $M35&lt;&gt;"APPROVED",$I35="", $U35=0),"",SUMIFS($U$3:$U$502,$H$3:$H$502,$H35,$M$3:$M$502,"APPROVED",$Q$3:$Q$502,"&lt;="&amp;Settings!$B$4,$I$3:$I$502,"&lt;="&amp;$I35))</f>
        <v/>
      </c>
      <c r="X35" s="21" t="str">
        <f>IF(OR($C35="", $M35&lt;&gt;"APPROVED",$I35="", $U35=0),"",SUMIFS($U$3:$U$502,$H$3:$H$502,$H35,$M$3:$M$502,"APPROVED",$Q$3:$Q$502,"&lt;="&amp;Settings!$B$5,$I$3:$I$502,"&lt;="&amp;$I35))</f>
        <v/>
      </c>
      <c r="Y35" s="21" t="str">
        <f>IF($P35="","",IFERROR(MATCH($P35,Lists!$H$2:$H$4,0),""))</f>
        <v/>
      </c>
      <c r="Z35" s="21" t="str">
        <f t="shared" si="3"/>
        <v/>
      </c>
    </row>
    <row r="36" spans="1:26" ht="15.75" customHeight="1" x14ac:dyDescent="0.3">
      <c r="A36" s="16" t="str">
        <f t="shared" si="4"/>
        <v/>
      </c>
      <c r="B36" s="28"/>
      <c r="C36" s="29"/>
      <c r="D36" s="16"/>
      <c r="E36" s="16"/>
      <c r="F36" s="16"/>
      <c r="G36" s="16"/>
      <c r="H36" s="16"/>
      <c r="I36" s="31"/>
      <c r="J36" s="15"/>
      <c r="K36" s="15"/>
      <c r="L36" s="15"/>
      <c r="M36" s="16"/>
      <c r="N36" s="17"/>
      <c r="O36" s="19" t="str">
        <f t="shared" si="0"/>
        <v/>
      </c>
      <c r="P36" s="17"/>
      <c r="Q36" s="17" t="str">
        <f t="shared" ca="1" si="1"/>
        <v/>
      </c>
      <c r="R36" s="21" t="str">
        <f ca="1">IF($Q36="","",IF($Q36&lt;=Settings!$B$8,Settings!$C$8,IF($Q36&lt;=Settings!$B$9,Settings!$C$9,IF($Q36&lt;=Settings!$B$10,Settings!$C$10,IF($Q36&lt;=Settings!$B$11,Settings!$C$11,Settings!$C$12)))))</f>
        <v/>
      </c>
      <c r="S36" s="21" t="str">
        <f>IF($F36="","",IFERROR(VLOOKUP($F36,Settings!$E$8:$F$11,2,FALSE),0))</f>
        <v/>
      </c>
      <c r="T36" s="21">
        <f>IF($G36="",Settings!$B$16,1)</f>
        <v>1</v>
      </c>
      <c r="U36" s="21" t="str">
        <f t="shared" si="2"/>
        <v/>
      </c>
      <c r="V36" s="32" t="str">
        <f>IF($C36="","",IF($Q36&gt;Settings!$B$4,IF($G36="","|","")&amp;"OLD_7D","")&amp;IF($Q36&gt;Settings!$B$5,IF(OR($G36="", $Q36&gt;Settings!$B$4),"|","")&amp;"OLD_30D",""))</f>
        <v/>
      </c>
      <c r="W36" s="21" t="str">
        <f>IF(OR($C36="", $M36&lt;&gt;"APPROVED",$I36="", $U36=0),"",SUMIFS($U$3:$U$502,$H$3:$H$502,$H36,$M$3:$M$502,"APPROVED",$Q$3:$Q$502,"&lt;="&amp;Settings!$B$4,$I$3:$I$502,"&lt;="&amp;$I36))</f>
        <v/>
      </c>
      <c r="X36" s="21" t="str">
        <f>IF(OR($C36="", $M36&lt;&gt;"APPROVED",$I36="", $U36=0),"",SUMIFS($U$3:$U$502,$H$3:$H$502,$H36,$M$3:$M$502,"APPROVED",$Q$3:$Q$502,"&lt;="&amp;Settings!$B$5,$I$3:$I$502,"&lt;="&amp;$I36))</f>
        <v/>
      </c>
      <c r="Y36" s="21" t="str">
        <f>IF($P36="","",IFERROR(MATCH($P36,Lists!$H$2:$H$4,0),""))</f>
        <v/>
      </c>
      <c r="Z36" s="21" t="str">
        <f t="shared" si="3"/>
        <v/>
      </c>
    </row>
    <row r="37" spans="1:26" ht="15.75" customHeight="1" x14ac:dyDescent="0.3">
      <c r="A37" s="16" t="str">
        <f t="shared" si="4"/>
        <v/>
      </c>
      <c r="B37" s="28"/>
      <c r="C37" s="29"/>
      <c r="D37" s="16"/>
      <c r="E37" s="16"/>
      <c r="F37" s="16"/>
      <c r="G37" s="16"/>
      <c r="H37" s="16"/>
      <c r="I37" s="31"/>
      <c r="J37" s="15"/>
      <c r="K37" s="15"/>
      <c r="L37" s="15"/>
      <c r="M37" s="16"/>
      <c r="N37" s="17"/>
      <c r="O37" s="19" t="str">
        <f t="shared" si="0"/>
        <v/>
      </c>
      <c r="P37" s="17"/>
      <c r="Q37" s="17" t="str">
        <f t="shared" ca="1" si="1"/>
        <v/>
      </c>
      <c r="R37" s="21" t="str">
        <f ca="1">IF($Q37="","",IF($Q37&lt;=Settings!$B$8,Settings!$C$8,IF($Q37&lt;=Settings!$B$9,Settings!$C$9,IF($Q37&lt;=Settings!$B$10,Settings!$C$10,IF($Q37&lt;=Settings!$B$11,Settings!$C$11,Settings!$C$12)))))</f>
        <v/>
      </c>
      <c r="S37" s="21" t="str">
        <f>IF($F37="","",IFERROR(VLOOKUP($F37,Settings!$E$8:$F$11,2,FALSE),0))</f>
        <v/>
      </c>
      <c r="T37" s="21">
        <f>IF($G37="",Settings!$B$16,1)</f>
        <v>1</v>
      </c>
      <c r="U37" s="21" t="str">
        <f t="shared" si="2"/>
        <v/>
      </c>
      <c r="V37" s="32" t="str">
        <f>IF($C37="","",IF($Q37&gt;Settings!$B$4,IF($G37="","|","")&amp;"OLD_7D","")&amp;IF($Q37&gt;Settings!$B$5,IF(OR($G37="", $Q37&gt;Settings!$B$4),"|","")&amp;"OLD_30D",""))</f>
        <v/>
      </c>
      <c r="W37" s="21" t="str">
        <f>IF(OR($C37="", $M37&lt;&gt;"APPROVED",$I37="", $U37=0),"",SUMIFS($U$3:$U$502,$H$3:$H$502,$H37,$M$3:$M$502,"APPROVED",$Q$3:$Q$502,"&lt;="&amp;Settings!$B$4,$I$3:$I$502,"&lt;="&amp;$I37))</f>
        <v/>
      </c>
      <c r="X37" s="21" t="str">
        <f>IF(OR($C37="", $M37&lt;&gt;"APPROVED",$I37="", $U37=0),"",SUMIFS($U$3:$U$502,$H$3:$H$502,$H37,$M$3:$M$502,"APPROVED",$Q$3:$Q$502,"&lt;="&amp;Settings!$B$5,$I$3:$I$502,"&lt;="&amp;$I37))</f>
        <v/>
      </c>
      <c r="Y37" s="21" t="str">
        <f>IF($P37="","",IFERROR(MATCH($P37,Lists!$H$2:$H$4,0),""))</f>
        <v/>
      </c>
      <c r="Z37" s="21" t="str">
        <f t="shared" si="3"/>
        <v/>
      </c>
    </row>
    <row r="38" spans="1:26" ht="15.75" customHeight="1" x14ac:dyDescent="0.3">
      <c r="A38" s="16" t="str">
        <f t="shared" si="4"/>
        <v/>
      </c>
      <c r="B38" s="28"/>
      <c r="C38" s="29"/>
      <c r="D38" s="16"/>
      <c r="E38" s="16"/>
      <c r="F38" s="16"/>
      <c r="G38" s="16"/>
      <c r="H38" s="16"/>
      <c r="I38" s="31"/>
      <c r="J38" s="15"/>
      <c r="K38" s="15"/>
      <c r="L38" s="15"/>
      <c r="M38" s="16"/>
      <c r="N38" s="17"/>
      <c r="O38" s="19" t="str">
        <f t="shared" si="0"/>
        <v/>
      </c>
      <c r="P38" s="17"/>
      <c r="Q38" s="17" t="str">
        <f t="shared" ca="1" si="1"/>
        <v/>
      </c>
      <c r="R38" s="21" t="str">
        <f ca="1">IF($Q38="","",IF($Q38&lt;=Settings!$B$8,Settings!$C$8,IF($Q38&lt;=Settings!$B$9,Settings!$C$9,IF($Q38&lt;=Settings!$B$10,Settings!$C$10,IF($Q38&lt;=Settings!$B$11,Settings!$C$11,Settings!$C$12)))))</f>
        <v/>
      </c>
      <c r="S38" s="21" t="str">
        <f>IF($F38="","",IFERROR(VLOOKUP($F38,Settings!$E$8:$F$11,2,FALSE),0))</f>
        <v/>
      </c>
      <c r="T38" s="21">
        <f>IF($G38="",Settings!$B$16,1)</f>
        <v>1</v>
      </c>
      <c r="U38" s="21" t="str">
        <f t="shared" si="2"/>
        <v/>
      </c>
      <c r="V38" s="32" t="str">
        <f>IF($C38="","",IF($Q38&gt;Settings!$B$4,IF($G38="","|","")&amp;"OLD_7D","")&amp;IF($Q38&gt;Settings!$B$5,IF(OR($G38="", $Q38&gt;Settings!$B$4),"|","")&amp;"OLD_30D",""))</f>
        <v/>
      </c>
      <c r="W38" s="21" t="str">
        <f>IF(OR($C38="", $M38&lt;&gt;"APPROVED",$I38="", $U38=0),"",SUMIFS($U$3:$U$502,$H$3:$H$502,$H38,$M$3:$M$502,"APPROVED",$Q$3:$Q$502,"&lt;="&amp;Settings!$B$4,$I$3:$I$502,"&lt;="&amp;$I38))</f>
        <v/>
      </c>
      <c r="X38" s="21" t="str">
        <f>IF(OR($C38="", $M38&lt;&gt;"APPROVED",$I38="", $U38=0),"",SUMIFS($U$3:$U$502,$H$3:$H$502,$H38,$M$3:$M$502,"APPROVED",$Q$3:$Q$502,"&lt;="&amp;Settings!$B$5,$I$3:$I$502,"&lt;="&amp;$I38))</f>
        <v/>
      </c>
      <c r="Y38" s="21" t="str">
        <f>IF($P38="","",IFERROR(MATCH($P38,Lists!$H$2:$H$4,0),""))</f>
        <v/>
      </c>
      <c r="Z38" s="21" t="str">
        <f t="shared" si="3"/>
        <v/>
      </c>
    </row>
    <row r="39" spans="1:26" ht="15.75" customHeight="1" x14ac:dyDescent="0.3">
      <c r="A39" s="16" t="str">
        <f t="shared" si="4"/>
        <v/>
      </c>
      <c r="B39" s="28"/>
      <c r="C39" s="29"/>
      <c r="D39" s="16"/>
      <c r="E39" s="16"/>
      <c r="F39" s="16"/>
      <c r="G39" s="16"/>
      <c r="H39" s="16"/>
      <c r="I39" s="31"/>
      <c r="J39" s="15"/>
      <c r="K39" s="15"/>
      <c r="L39" s="15"/>
      <c r="M39" s="16"/>
      <c r="N39" s="17"/>
      <c r="O39" s="19" t="str">
        <f t="shared" si="0"/>
        <v/>
      </c>
      <c r="P39" s="17"/>
      <c r="Q39" s="17" t="str">
        <f t="shared" ca="1" si="1"/>
        <v/>
      </c>
      <c r="R39" s="21" t="str">
        <f ca="1">IF($Q39="","",IF($Q39&lt;=Settings!$B$8,Settings!$C$8,IF($Q39&lt;=Settings!$B$9,Settings!$C$9,IF($Q39&lt;=Settings!$B$10,Settings!$C$10,IF($Q39&lt;=Settings!$B$11,Settings!$C$11,Settings!$C$12)))))</f>
        <v/>
      </c>
      <c r="S39" s="21" t="str">
        <f>IF($F39="","",IFERROR(VLOOKUP($F39,Settings!$E$8:$F$11,2,FALSE),0))</f>
        <v/>
      </c>
      <c r="T39" s="21">
        <f>IF($G39="",Settings!$B$16,1)</f>
        <v>1</v>
      </c>
      <c r="U39" s="21" t="str">
        <f t="shared" si="2"/>
        <v/>
      </c>
      <c r="V39" s="32" t="str">
        <f>IF($C39="","",IF($Q39&gt;Settings!$B$4,IF($G39="","|","")&amp;"OLD_7D","")&amp;IF($Q39&gt;Settings!$B$5,IF(OR($G39="", $Q39&gt;Settings!$B$4),"|","")&amp;"OLD_30D",""))</f>
        <v/>
      </c>
      <c r="W39" s="21" t="str">
        <f>IF(OR($C39="", $M39&lt;&gt;"APPROVED",$I39="", $U39=0),"",SUMIFS($U$3:$U$502,$H$3:$H$502,$H39,$M$3:$M$502,"APPROVED",$Q$3:$Q$502,"&lt;="&amp;Settings!$B$4,$I$3:$I$502,"&lt;="&amp;$I39))</f>
        <v/>
      </c>
      <c r="X39" s="21" t="str">
        <f>IF(OR($C39="", $M39&lt;&gt;"APPROVED",$I39="", $U39=0),"",SUMIFS($U$3:$U$502,$H$3:$H$502,$H39,$M$3:$M$502,"APPROVED",$Q$3:$Q$502,"&lt;="&amp;Settings!$B$5,$I$3:$I$502,"&lt;="&amp;$I39))</f>
        <v/>
      </c>
      <c r="Y39" s="21" t="str">
        <f>IF($P39="","",IFERROR(MATCH($P39,Lists!$H$2:$H$4,0),""))</f>
        <v/>
      </c>
      <c r="Z39" s="21" t="str">
        <f t="shared" si="3"/>
        <v/>
      </c>
    </row>
    <row r="40" spans="1:26" ht="15.75" customHeight="1" x14ac:dyDescent="0.3">
      <c r="A40" s="16" t="str">
        <f t="shared" si="4"/>
        <v/>
      </c>
      <c r="B40" s="28"/>
      <c r="C40" s="29"/>
      <c r="D40" s="16"/>
      <c r="E40" s="16"/>
      <c r="F40" s="16"/>
      <c r="G40" s="16"/>
      <c r="H40" s="16"/>
      <c r="I40" s="31"/>
      <c r="J40" s="15"/>
      <c r="K40" s="15"/>
      <c r="L40" s="15"/>
      <c r="M40" s="16"/>
      <c r="N40" s="17"/>
      <c r="O40" s="19" t="str">
        <f t="shared" si="0"/>
        <v/>
      </c>
      <c r="P40" s="17"/>
      <c r="Q40" s="17" t="str">
        <f t="shared" ca="1" si="1"/>
        <v/>
      </c>
      <c r="R40" s="21" t="str">
        <f ca="1">IF($Q40="","",IF($Q40&lt;=Settings!$B$8,Settings!$C$8,IF($Q40&lt;=Settings!$B$9,Settings!$C$9,IF($Q40&lt;=Settings!$B$10,Settings!$C$10,IF($Q40&lt;=Settings!$B$11,Settings!$C$11,Settings!$C$12)))))</f>
        <v/>
      </c>
      <c r="S40" s="21" t="str">
        <f>IF($F40="","",IFERROR(VLOOKUP($F40,Settings!$E$8:$F$11,2,FALSE),0))</f>
        <v/>
      </c>
      <c r="T40" s="21">
        <f>IF($G40="",Settings!$B$16,1)</f>
        <v>1</v>
      </c>
      <c r="U40" s="21" t="str">
        <f t="shared" si="2"/>
        <v/>
      </c>
      <c r="V40" s="32" t="str">
        <f>IF($C40="","",IF($Q40&gt;Settings!$B$4,IF($G40="","|","")&amp;"OLD_7D","")&amp;IF($Q40&gt;Settings!$B$5,IF(OR($G40="", $Q40&gt;Settings!$B$4),"|","")&amp;"OLD_30D",""))</f>
        <v/>
      </c>
      <c r="W40" s="21" t="str">
        <f>IF(OR($C40="", $M40&lt;&gt;"APPROVED",$I40="", $U40=0),"",SUMIFS($U$3:$U$502,$H$3:$H$502,$H40,$M$3:$M$502,"APPROVED",$Q$3:$Q$502,"&lt;="&amp;Settings!$B$4,$I$3:$I$502,"&lt;="&amp;$I40))</f>
        <v/>
      </c>
      <c r="X40" s="21" t="str">
        <f>IF(OR($C40="", $M40&lt;&gt;"APPROVED",$I40="", $U40=0),"",SUMIFS($U$3:$U$502,$H$3:$H$502,$H40,$M$3:$M$502,"APPROVED",$Q$3:$Q$502,"&lt;="&amp;Settings!$B$5,$I$3:$I$502,"&lt;="&amp;$I40))</f>
        <v/>
      </c>
      <c r="Y40" s="21" t="str">
        <f>IF($P40="","",IFERROR(MATCH($P40,Lists!$H$2:$H$4,0),""))</f>
        <v/>
      </c>
      <c r="Z40" s="21" t="str">
        <f t="shared" si="3"/>
        <v/>
      </c>
    </row>
    <row r="41" spans="1:26" ht="15.75" customHeight="1" x14ac:dyDescent="0.3">
      <c r="A41" s="16" t="str">
        <f t="shared" si="4"/>
        <v/>
      </c>
      <c r="B41" s="28"/>
      <c r="C41" s="29"/>
      <c r="D41" s="16"/>
      <c r="E41" s="16"/>
      <c r="F41" s="16"/>
      <c r="G41" s="16"/>
      <c r="H41" s="16"/>
      <c r="I41" s="31"/>
      <c r="J41" s="15"/>
      <c r="K41" s="15"/>
      <c r="L41" s="15"/>
      <c r="M41" s="16"/>
      <c r="N41" s="17"/>
      <c r="O41" s="19" t="str">
        <f t="shared" si="0"/>
        <v/>
      </c>
      <c r="P41" s="17"/>
      <c r="Q41" s="17" t="str">
        <f t="shared" ca="1" si="1"/>
        <v/>
      </c>
      <c r="R41" s="21" t="str">
        <f ca="1">IF($Q41="","",IF($Q41&lt;=Settings!$B$8,Settings!$C$8,IF($Q41&lt;=Settings!$B$9,Settings!$C$9,IF($Q41&lt;=Settings!$B$10,Settings!$C$10,IF($Q41&lt;=Settings!$B$11,Settings!$C$11,Settings!$C$12)))))</f>
        <v/>
      </c>
      <c r="S41" s="21" t="str">
        <f>IF($F41="","",IFERROR(VLOOKUP($F41,Settings!$E$8:$F$11,2,FALSE),0))</f>
        <v/>
      </c>
      <c r="T41" s="21">
        <f>IF($G41="",Settings!$B$16,1)</f>
        <v>1</v>
      </c>
      <c r="U41" s="21" t="str">
        <f t="shared" si="2"/>
        <v/>
      </c>
      <c r="V41" s="32" t="str">
        <f>IF($C41="","",IF($Q41&gt;Settings!$B$4,IF($G41="","|","")&amp;"OLD_7D","")&amp;IF($Q41&gt;Settings!$B$5,IF(OR($G41="", $Q41&gt;Settings!$B$4),"|","")&amp;"OLD_30D",""))</f>
        <v/>
      </c>
      <c r="W41" s="21" t="str">
        <f>IF(OR($C41="", $M41&lt;&gt;"APPROVED",$I41="", $U41=0),"",SUMIFS($U$3:$U$502,$H$3:$H$502,$H41,$M$3:$M$502,"APPROVED",$Q$3:$Q$502,"&lt;="&amp;Settings!$B$4,$I$3:$I$502,"&lt;="&amp;$I41))</f>
        <v/>
      </c>
      <c r="X41" s="21" t="str">
        <f>IF(OR($C41="", $M41&lt;&gt;"APPROVED",$I41="", $U41=0),"",SUMIFS($U$3:$U$502,$H$3:$H$502,$H41,$M$3:$M$502,"APPROVED",$Q$3:$Q$502,"&lt;="&amp;Settings!$B$5,$I$3:$I$502,"&lt;="&amp;$I41))</f>
        <v/>
      </c>
      <c r="Y41" s="21" t="str">
        <f>IF($P41="","",IFERROR(MATCH($P41,Lists!$H$2:$H$4,0),""))</f>
        <v/>
      </c>
      <c r="Z41" s="21" t="str">
        <f t="shared" si="3"/>
        <v/>
      </c>
    </row>
    <row r="42" spans="1:26" ht="15.75" customHeight="1" x14ac:dyDescent="0.3">
      <c r="A42" s="16" t="str">
        <f t="shared" si="4"/>
        <v/>
      </c>
      <c r="B42" s="28"/>
      <c r="C42" s="29"/>
      <c r="D42" s="16"/>
      <c r="E42" s="16"/>
      <c r="F42" s="16"/>
      <c r="G42" s="16"/>
      <c r="H42" s="16"/>
      <c r="I42" s="31"/>
      <c r="J42" s="15"/>
      <c r="K42" s="15"/>
      <c r="L42" s="15"/>
      <c r="M42" s="16"/>
      <c r="N42" s="17"/>
      <c r="O42" s="19" t="str">
        <f t="shared" si="0"/>
        <v/>
      </c>
      <c r="P42" s="17"/>
      <c r="Q42" s="17" t="str">
        <f t="shared" ca="1" si="1"/>
        <v/>
      </c>
      <c r="R42" s="21" t="str">
        <f ca="1">IF($Q42="","",IF($Q42&lt;=Settings!$B$8,Settings!$C$8,IF($Q42&lt;=Settings!$B$9,Settings!$C$9,IF($Q42&lt;=Settings!$B$10,Settings!$C$10,IF($Q42&lt;=Settings!$B$11,Settings!$C$11,Settings!$C$12)))))</f>
        <v/>
      </c>
      <c r="S42" s="21" t="str">
        <f>IF($F42="","",IFERROR(VLOOKUP($F42,Settings!$E$8:$F$11,2,FALSE),0))</f>
        <v/>
      </c>
      <c r="T42" s="21">
        <f>IF($G42="",Settings!$B$16,1)</f>
        <v>1</v>
      </c>
      <c r="U42" s="21" t="str">
        <f t="shared" si="2"/>
        <v/>
      </c>
      <c r="V42" s="32" t="str">
        <f>IF($C42="","",IF($Q42&gt;Settings!$B$4,IF($G42="","|","")&amp;"OLD_7D","")&amp;IF($Q42&gt;Settings!$B$5,IF(OR($G42="", $Q42&gt;Settings!$B$4),"|","")&amp;"OLD_30D",""))</f>
        <v/>
      </c>
      <c r="W42" s="21" t="str">
        <f>IF(OR($C42="", $M42&lt;&gt;"APPROVED",$I42="", $U42=0),"",SUMIFS($U$3:$U$502,$H$3:$H$502,$H42,$M$3:$M$502,"APPROVED",$Q$3:$Q$502,"&lt;="&amp;Settings!$B$4,$I$3:$I$502,"&lt;="&amp;$I42))</f>
        <v/>
      </c>
      <c r="X42" s="21" t="str">
        <f>IF(OR($C42="", $M42&lt;&gt;"APPROVED",$I42="", $U42=0),"",SUMIFS($U$3:$U$502,$H$3:$H$502,$H42,$M$3:$M$502,"APPROVED",$Q$3:$Q$502,"&lt;="&amp;Settings!$B$5,$I$3:$I$502,"&lt;="&amp;$I42))</f>
        <v/>
      </c>
      <c r="Y42" s="21" t="str">
        <f>IF($P42="","",IFERROR(MATCH($P42,Lists!$H$2:$H$4,0),""))</f>
        <v/>
      </c>
      <c r="Z42" s="21" t="str">
        <f t="shared" si="3"/>
        <v/>
      </c>
    </row>
    <row r="43" spans="1:26" ht="15.75" customHeight="1" x14ac:dyDescent="0.3">
      <c r="A43" s="16" t="str">
        <f t="shared" si="4"/>
        <v/>
      </c>
      <c r="B43" s="28"/>
      <c r="C43" s="29"/>
      <c r="D43" s="16"/>
      <c r="E43" s="16"/>
      <c r="F43" s="16"/>
      <c r="G43" s="16"/>
      <c r="H43" s="16"/>
      <c r="I43" s="31"/>
      <c r="J43" s="15"/>
      <c r="K43" s="15"/>
      <c r="L43" s="15"/>
      <c r="M43" s="16"/>
      <c r="N43" s="17"/>
      <c r="O43" s="19" t="str">
        <f t="shared" si="0"/>
        <v/>
      </c>
      <c r="P43" s="17"/>
      <c r="Q43" s="17" t="str">
        <f t="shared" ca="1" si="1"/>
        <v/>
      </c>
      <c r="R43" s="21" t="str">
        <f ca="1">IF($Q43="","",IF($Q43&lt;=Settings!$B$8,Settings!$C$8,IF($Q43&lt;=Settings!$B$9,Settings!$C$9,IF($Q43&lt;=Settings!$B$10,Settings!$C$10,IF($Q43&lt;=Settings!$B$11,Settings!$C$11,Settings!$C$12)))))</f>
        <v/>
      </c>
      <c r="S43" s="21" t="str">
        <f>IF($F43="","",IFERROR(VLOOKUP($F43,Settings!$E$8:$F$11,2,FALSE),0))</f>
        <v/>
      </c>
      <c r="T43" s="21">
        <f>IF($G43="",Settings!$B$16,1)</f>
        <v>1</v>
      </c>
      <c r="U43" s="21" t="str">
        <f t="shared" si="2"/>
        <v/>
      </c>
      <c r="V43" s="32" t="str">
        <f>IF($C43="","",IF($Q43&gt;Settings!$B$4,IF($G43="","|","")&amp;"OLD_7D","")&amp;IF($Q43&gt;Settings!$B$5,IF(OR($G43="", $Q43&gt;Settings!$B$4),"|","")&amp;"OLD_30D",""))</f>
        <v/>
      </c>
      <c r="W43" s="21" t="str">
        <f>IF(OR($C43="", $M43&lt;&gt;"APPROVED",$I43="", $U43=0),"",SUMIFS($U$3:$U$502,$H$3:$H$502,$H43,$M$3:$M$502,"APPROVED",$Q$3:$Q$502,"&lt;="&amp;Settings!$B$4,$I$3:$I$502,"&lt;="&amp;$I43))</f>
        <v/>
      </c>
      <c r="X43" s="21" t="str">
        <f>IF(OR($C43="", $M43&lt;&gt;"APPROVED",$I43="", $U43=0),"",SUMIFS($U$3:$U$502,$H$3:$H$502,$H43,$M$3:$M$502,"APPROVED",$Q$3:$Q$502,"&lt;="&amp;Settings!$B$5,$I$3:$I$502,"&lt;="&amp;$I43))</f>
        <v/>
      </c>
      <c r="Y43" s="21" t="str">
        <f>IF($P43="","",IFERROR(MATCH($P43,Lists!$H$2:$H$4,0),""))</f>
        <v/>
      </c>
      <c r="Z43" s="21" t="str">
        <f t="shared" si="3"/>
        <v/>
      </c>
    </row>
    <row r="44" spans="1:26" ht="15.75" customHeight="1" x14ac:dyDescent="0.3">
      <c r="A44" s="16" t="str">
        <f t="shared" si="4"/>
        <v/>
      </c>
      <c r="B44" s="28"/>
      <c r="C44" s="29"/>
      <c r="D44" s="16"/>
      <c r="E44" s="16"/>
      <c r="F44" s="16"/>
      <c r="G44" s="16"/>
      <c r="H44" s="16"/>
      <c r="I44" s="31"/>
      <c r="J44" s="15"/>
      <c r="K44" s="15"/>
      <c r="L44" s="15"/>
      <c r="M44" s="16"/>
      <c r="N44" s="17"/>
      <c r="O44" s="19" t="str">
        <f t="shared" si="0"/>
        <v/>
      </c>
      <c r="P44" s="17"/>
      <c r="Q44" s="17" t="str">
        <f t="shared" ca="1" si="1"/>
        <v/>
      </c>
      <c r="R44" s="21" t="str">
        <f ca="1">IF($Q44="","",IF($Q44&lt;=Settings!$B$8,Settings!$C$8,IF($Q44&lt;=Settings!$B$9,Settings!$C$9,IF($Q44&lt;=Settings!$B$10,Settings!$C$10,IF($Q44&lt;=Settings!$B$11,Settings!$C$11,Settings!$C$12)))))</f>
        <v/>
      </c>
      <c r="S44" s="21" t="str">
        <f>IF($F44="","",IFERROR(VLOOKUP($F44,Settings!$E$8:$F$11,2,FALSE),0))</f>
        <v/>
      </c>
      <c r="T44" s="21">
        <f>IF($G44="",Settings!$B$16,1)</f>
        <v>1</v>
      </c>
      <c r="U44" s="21" t="str">
        <f t="shared" si="2"/>
        <v/>
      </c>
      <c r="V44" s="32" t="str">
        <f>IF($C44="","",IF($Q44&gt;Settings!$B$4,IF($G44="","|","")&amp;"OLD_7D","")&amp;IF($Q44&gt;Settings!$B$5,IF(OR($G44="", $Q44&gt;Settings!$B$4),"|","")&amp;"OLD_30D",""))</f>
        <v/>
      </c>
      <c r="W44" s="21" t="str">
        <f>IF(OR($C44="", $M44&lt;&gt;"APPROVED",$I44="", $U44=0),"",SUMIFS($U$3:$U$502,$H$3:$H$502,$H44,$M$3:$M$502,"APPROVED",$Q$3:$Q$502,"&lt;="&amp;Settings!$B$4,$I$3:$I$502,"&lt;="&amp;$I44))</f>
        <v/>
      </c>
      <c r="X44" s="21" t="str">
        <f>IF(OR($C44="", $M44&lt;&gt;"APPROVED",$I44="", $U44=0),"",SUMIFS($U$3:$U$502,$H$3:$H$502,$H44,$M$3:$M$502,"APPROVED",$Q$3:$Q$502,"&lt;="&amp;Settings!$B$5,$I$3:$I$502,"&lt;="&amp;$I44))</f>
        <v/>
      </c>
      <c r="Y44" s="21" t="str">
        <f>IF($P44="","",IFERROR(MATCH($P44,Lists!$H$2:$H$4,0),""))</f>
        <v/>
      </c>
      <c r="Z44" s="21" t="str">
        <f t="shared" si="3"/>
        <v/>
      </c>
    </row>
    <row r="45" spans="1:26" ht="15.75" customHeight="1" x14ac:dyDescent="0.3">
      <c r="A45" s="16" t="str">
        <f t="shared" si="4"/>
        <v/>
      </c>
      <c r="B45" s="28"/>
      <c r="C45" s="29"/>
      <c r="D45" s="16"/>
      <c r="E45" s="16"/>
      <c r="F45" s="16"/>
      <c r="G45" s="16"/>
      <c r="H45" s="16"/>
      <c r="I45" s="31"/>
      <c r="J45" s="15"/>
      <c r="K45" s="15"/>
      <c r="L45" s="15"/>
      <c r="M45" s="16"/>
      <c r="N45" s="17"/>
      <c r="O45" s="19" t="str">
        <f t="shared" si="0"/>
        <v/>
      </c>
      <c r="P45" s="17"/>
      <c r="Q45" s="17" t="str">
        <f t="shared" ca="1" si="1"/>
        <v/>
      </c>
      <c r="R45" s="21" t="str">
        <f ca="1">IF($Q45="","",IF($Q45&lt;=Settings!$B$8,Settings!$C$8,IF($Q45&lt;=Settings!$B$9,Settings!$C$9,IF($Q45&lt;=Settings!$B$10,Settings!$C$10,IF($Q45&lt;=Settings!$B$11,Settings!$C$11,Settings!$C$12)))))</f>
        <v/>
      </c>
      <c r="S45" s="21" t="str">
        <f>IF($F45="","",IFERROR(VLOOKUP($F45,Settings!$E$8:$F$11,2,FALSE),0))</f>
        <v/>
      </c>
      <c r="T45" s="21">
        <f>IF($G45="",Settings!$B$16,1)</f>
        <v>1</v>
      </c>
      <c r="U45" s="21" t="str">
        <f t="shared" si="2"/>
        <v/>
      </c>
      <c r="V45" s="32" t="str">
        <f>IF($C45="","",IF($Q45&gt;Settings!$B$4,IF($G45="","|","")&amp;"OLD_7D","")&amp;IF($Q45&gt;Settings!$B$5,IF(OR($G45="", $Q45&gt;Settings!$B$4),"|","")&amp;"OLD_30D",""))</f>
        <v/>
      </c>
      <c r="W45" s="21" t="str">
        <f>IF(OR($C45="", $M45&lt;&gt;"APPROVED",$I45="", $U45=0),"",SUMIFS($U$3:$U$502,$H$3:$H$502,$H45,$M$3:$M$502,"APPROVED",$Q$3:$Q$502,"&lt;="&amp;Settings!$B$4,$I$3:$I$502,"&lt;="&amp;$I45))</f>
        <v/>
      </c>
      <c r="X45" s="21" t="str">
        <f>IF(OR($C45="", $M45&lt;&gt;"APPROVED",$I45="", $U45=0),"",SUMIFS($U$3:$U$502,$H$3:$H$502,$H45,$M$3:$M$502,"APPROVED",$Q$3:$Q$502,"&lt;="&amp;Settings!$B$5,$I$3:$I$502,"&lt;="&amp;$I45))</f>
        <v/>
      </c>
      <c r="Y45" s="21" t="str">
        <f>IF($P45="","",IFERROR(MATCH($P45,Lists!$H$2:$H$4,0),""))</f>
        <v/>
      </c>
      <c r="Z45" s="21" t="str">
        <f t="shared" si="3"/>
        <v/>
      </c>
    </row>
    <row r="46" spans="1:26" ht="15.75" customHeight="1" x14ac:dyDescent="0.3">
      <c r="A46" s="16" t="str">
        <f t="shared" si="4"/>
        <v/>
      </c>
      <c r="B46" s="28"/>
      <c r="C46" s="29"/>
      <c r="D46" s="16"/>
      <c r="E46" s="16"/>
      <c r="F46" s="16"/>
      <c r="G46" s="16"/>
      <c r="H46" s="16"/>
      <c r="I46" s="31"/>
      <c r="J46" s="15"/>
      <c r="K46" s="15"/>
      <c r="L46" s="15"/>
      <c r="M46" s="16"/>
      <c r="N46" s="17"/>
      <c r="O46" s="19" t="str">
        <f t="shared" si="0"/>
        <v/>
      </c>
      <c r="P46" s="17"/>
      <c r="Q46" s="17" t="str">
        <f t="shared" ca="1" si="1"/>
        <v/>
      </c>
      <c r="R46" s="21" t="str">
        <f ca="1">IF($Q46="","",IF($Q46&lt;=Settings!$B$8,Settings!$C$8,IF($Q46&lt;=Settings!$B$9,Settings!$C$9,IF($Q46&lt;=Settings!$B$10,Settings!$C$10,IF($Q46&lt;=Settings!$B$11,Settings!$C$11,Settings!$C$12)))))</f>
        <v/>
      </c>
      <c r="S46" s="21" t="str">
        <f>IF($F46="","",IFERROR(VLOOKUP($F46,Settings!$E$8:$F$11,2,FALSE),0))</f>
        <v/>
      </c>
      <c r="T46" s="21">
        <f>IF($G46="",Settings!$B$16,1)</f>
        <v>1</v>
      </c>
      <c r="U46" s="21" t="str">
        <f t="shared" si="2"/>
        <v/>
      </c>
      <c r="V46" s="32" t="str">
        <f>IF($C46="","",IF($Q46&gt;Settings!$B$4,IF($G46="","|","")&amp;"OLD_7D","")&amp;IF($Q46&gt;Settings!$B$5,IF(OR($G46="", $Q46&gt;Settings!$B$4),"|","")&amp;"OLD_30D",""))</f>
        <v/>
      </c>
      <c r="W46" s="21" t="str">
        <f>IF(OR($C46="", $M46&lt;&gt;"APPROVED",$I46="", $U46=0),"",SUMIFS($U$3:$U$502,$H$3:$H$502,$H46,$M$3:$M$502,"APPROVED",$Q$3:$Q$502,"&lt;="&amp;Settings!$B$4,$I$3:$I$502,"&lt;="&amp;$I46))</f>
        <v/>
      </c>
      <c r="X46" s="21" t="str">
        <f>IF(OR($C46="", $M46&lt;&gt;"APPROVED",$I46="", $U46=0),"",SUMIFS($U$3:$U$502,$H$3:$H$502,$H46,$M$3:$M$502,"APPROVED",$Q$3:$Q$502,"&lt;="&amp;Settings!$B$5,$I$3:$I$502,"&lt;="&amp;$I46))</f>
        <v/>
      </c>
      <c r="Y46" s="21" t="str">
        <f>IF($P46="","",IFERROR(MATCH($P46,Lists!$H$2:$H$4,0),""))</f>
        <v/>
      </c>
      <c r="Z46" s="21" t="str">
        <f t="shared" si="3"/>
        <v/>
      </c>
    </row>
    <row r="47" spans="1:26" ht="15.75" customHeight="1" x14ac:dyDescent="0.3">
      <c r="A47" s="16" t="str">
        <f t="shared" si="4"/>
        <v/>
      </c>
      <c r="B47" s="28"/>
      <c r="C47" s="29"/>
      <c r="D47" s="16"/>
      <c r="E47" s="16"/>
      <c r="F47" s="16"/>
      <c r="G47" s="16"/>
      <c r="H47" s="16"/>
      <c r="I47" s="31"/>
      <c r="J47" s="15"/>
      <c r="K47" s="15"/>
      <c r="L47" s="15"/>
      <c r="M47" s="16"/>
      <c r="N47" s="17"/>
      <c r="O47" s="19" t="str">
        <f t="shared" si="0"/>
        <v/>
      </c>
      <c r="P47" s="17"/>
      <c r="Q47" s="17" t="str">
        <f t="shared" ca="1" si="1"/>
        <v/>
      </c>
      <c r="R47" s="21" t="str">
        <f ca="1">IF($Q47="","",IF($Q47&lt;=Settings!$B$8,Settings!$C$8,IF($Q47&lt;=Settings!$B$9,Settings!$C$9,IF($Q47&lt;=Settings!$B$10,Settings!$C$10,IF($Q47&lt;=Settings!$B$11,Settings!$C$11,Settings!$C$12)))))</f>
        <v/>
      </c>
      <c r="S47" s="21" t="str">
        <f>IF($F47="","",IFERROR(VLOOKUP($F47,Settings!$E$8:$F$11,2,FALSE),0))</f>
        <v/>
      </c>
      <c r="T47" s="21">
        <f>IF($G47="",Settings!$B$16,1)</f>
        <v>1</v>
      </c>
      <c r="U47" s="21" t="str">
        <f t="shared" si="2"/>
        <v/>
      </c>
      <c r="V47" s="32" t="str">
        <f>IF($C47="","",IF($Q47&gt;Settings!$B$4,IF($G47="","|","")&amp;"OLD_7D","")&amp;IF($Q47&gt;Settings!$B$5,IF(OR($G47="", $Q47&gt;Settings!$B$4),"|","")&amp;"OLD_30D",""))</f>
        <v/>
      </c>
      <c r="W47" s="21" t="str">
        <f>IF(OR($C47="", $M47&lt;&gt;"APPROVED",$I47="", $U47=0),"",SUMIFS($U$3:$U$502,$H$3:$H$502,$H47,$M$3:$M$502,"APPROVED",$Q$3:$Q$502,"&lt;="&amp;Settings!$B$4,$I$3:$I$502,"&lt;="&amp;$I47))</f>
        <v/>
      </c>
      <c r="X47" s="21" t="str">
        <f>IF(OR($C47="", $M47&lt;&gt;"APPROVED",$I47="", $U47=0),"",SUMIFS($U$3:$U$502,$H$3:$H$502,$H47,$M$3:$M$502,"APPROVED",$Q$3:$Q$502,"&lt;="&amp;Settings!$B$5,$I$3:$I$502,"&lt;="&amp;$I47))</f>
        <v/>
      </c>
      <c r="Y47" s="21" t="str">
        <f>IF($P47="","",IFERROR(MATCH($P47,Lists!$H$2:$H$4,0),""))</f>
        <v/>
      </c>
      <c r="Z47" s="21" t="str">
        <f t="shared" si="3"/>
        <v/>
      </c>
    </row>
    <row r="48" spans="1:26" ht="15.75" customHeight="1" x14ac:dyDescent="0.3">
      <c r="A48" s="16" t="str">
        <f t="shared" si="4"/>
        <v/>
      </c>
      <c r="B48" s="28"/>
      <c r="C48" s="29"/>
      <c r="D48" s="16"/>
      <c r="E48" s="16"/>
      <c r="F48" s="16"/>
      <c r="G48" s="16"/>
      <c r="H48" s="16"/>
      <c r="I48" s="31"/>
      <c r="J48" s="15"/>
      <c r="K48" s="15"/>
      <c r="L48" s="15"/>
      <c r="M48" s="16"/>
      <c r="N48" s="17"/>
      <c r="O48" s="19" t="str">
        <f t="shared" si="0"/>
        <v/>
      </c>
      <c r="P48" s="17"/>
      <c r="Q48" s="17" t="str">
        <f t="shared" ca="1" si="1"/>
        <v/>
      </c>
      <c r="R48" s="21" t="str">
        <f ca="1">IF($Q48="","",IF($Q48&lt;=Settings!$B$8,Settings!$C$8,IF($Q48&lt;=Settings!$B$9,Settings!$C$9,IF($Q48&lt;=Settings!$B$10,Settings!$C$10,IF($Q48&lt;=Settings!$B$11,Settings!$C$11,Settings!$C$12)))))</f>
        <v/>
      </c>
      <c r="S48" s="21" t="str">
        <f>IF($F48="","",IFERROR(VLOOKUP($F48,Settings!$E$8:$F$11,2,FALSE),0))</f>
        <v/>
      </c>
      <c r="T48" s="21">
        <f>IF($G48="",Settings!$B$16,1)</f>
        <v>1</v>
      </c>
      <c r="U48" s="21" t="str">
        <f t="shared" si="2"/>
        <v/>
      </c>
      <c r="V48" s="32" t="str">
        <f>IF($C48="","",IF($Q48&gt;Settings!$B$4,IF($G48="","|","")&amp;"OLD_7D","")&amp;IF($Q48&gt;Settings!$B$5,IF(OR($G48="", $Q48&gt;Settings!$B$4),"|","")&amp;"OLD_30D",""))</f>
        <v/>
      </c>
      <c r="W48" s="21" t="str">
        <f>IF(OR($C48="", $M48&lt;&gt;"APPROVED",$I48="", $U48=0),"",SUMIFS($U$3:$U$502,$H$3:$H$502,$H48,$M$3:$M$502,"APPROVED",$Q$3:$Q$502,"&lt;="&amp;Settings!$B$4,$I$3:$I$502,"&lt;="&amp;$I48))</f>
        <v/>
      </c>
      <c r="X48" s="21" t="str">
        <f>IF(OR($C48="", $M48&lt;&gt;"APPROVED",$I48="", $U48=0),"",SUMIFS($U$3:$U$502,$H$3:$H$502,$H48,$M$3:$M$502,"APPROVED",$Q$3:$Q$502,"&lt;="&amp;Settings!$B$5,$I$3:$I$502,"&lt;="&amp;$I48))</f>
        <v/>
      </c>
      <c r="Y48" s="21" t="str">
        <f>IF($P48="","",IFERROR(MATCH($P48,Lists!$H$2:$H$4,0),""))</f>
        <v/>
      </c>
      <c r="Z48" s="21" t="str">
        <f t="shared" si="3"/>
        <v/>
      </c>
    </row>
    <row r="49" spans="1:26" ht="15.75" customHeight="1" x14ac:dyDescent="0.3">
      <c r="A49" s="16" t="str">
        <f t="shared" si="4"/>
        <v/>
      </c>
      <c r="B49" s="28"/>
      <c r="C49" s="29"/>
      <c r="D49" s="16"/>
      <c r="E49" s="16"/>
      <c r="F49" s="16"/>
      <c r="G49" s="16"/>
      <c r="H49" s="16"/>
      <c r="I49" s="31"/>
      <c r="J49" s="15"/>
      <c r="K49" s="15"/>
      <c r="L49" s="15"/>
      <c r="M49" s="16"/>
      <c r="N49" s="17"/>
      <c r="O49" s="19" t="str">
        <f t="shared" si="0"/>
        <v/>
      </c>
      <c r="P49" s="17"/>
      <c r="Q49" s="17" t="str">
        <f t="shared" ca="1" si="1"/>
        <v/>
      </c>
      <c r="R49" s="21" t="str">
        <f ca="1">IF($Q49="","",IF($Q49&lt;=Settings!$B$8,Settings!$C$8,IF($Q49&lt;=Settings!$B$9,Settings!$C$9,IF($Q49&lt;=Settings!$B$10,Settings!$C$10,IF($Q49&lt;=Settings!$B$11,Settings!$C$11,Settings!$C$12)))))</f>
        <v/>
      </c>
      <c r="S49" s="21" t="str">
        <f>IF($F49="","",IFERROR(VLOOKUP($F49,Settings!$E$8:$F$11,2,FALSE),0))</f>
        <v/>
      </c>
      <c r="T49" s="21">
        <f>IF($G49="",Settings!$B$16,1)</f>
        <v>1</v>
      </c>
      <c r="U49" s="21" t="str">
        <f t="shared" si="2"/>
        <v/>
      </c>
      <c r="V49" s="32" t="str">
        <f>IF($C49="","",IF($Q49&gt;Settings!$B$4,IF($G49="","|","")&amp;"OLD_7D","")&amp;IF($Q49&gt;Settings!$B$5,IF(OR($G49="", $Q49&gt;Settings!$B$4),"|","")&amp;"OLD_30D",""))</f>
        <v/>
      </c>
      <c r="W49" s="21" t="str">
        <f>IF(OR($C49="", $M49&lt;&gt;"APPROVED",$I49="", $U49=0),"",SUMIFS($U$3:$U$502,$H$3:$H$502,$H49,$M$3:$M$502,"APPROVED",$Q$3:$Q$502,"&lt;="&amp;Settings!$B$4,$I$3:$I$502,"&lt;="&amp;$I49))</f>
        <v/>
      </c>
      <c r="X49" s="21" t="str">
        <f>IF(OR($C49="", $M49&lt;&gt;"APPROVED",$I49="", $U49=0),"",SUMIFS($U$3:$U$502,$H$3:$H$502,$H49,$M$3:$M$502,"APPROVED",$Q$3:$Q$502,"&lt;="&amp;Settings!$B$5,$I$3:$I$502,"&lt;="&amp;$I49))</f>
        <v/>
      </c>
      <c r="Y49" s="21" t="str">
        <f>IF($P49="","",IFERROR(MATCH($P49,Lists!$H$2:$H$4,0),""))</f>
        <v/>
      </c>
      <c r="Z49" s="21" t="str">
        <f t="shared" si="3"/>
        <v/>
      </c>
    </row>
    <row r="50" spans="1:26" ht="15.75" customHeight="1" x14ac:dyDescent="0.3">
      <c r="A50" s="16" t="str">
        <f t="shared" si="4"/>
        <v/>
      </c>
      <c r="B50" s="28"/>
      <c r="C50" s="29"/>
      <c r="D50" s="16"/>
      <c r="E50" s="16"/>
      <c r="F50" s="16"/>
      <c r="G50" s="16"/>
      <c r="H50" s="16"/>
      <c r="I50" s="31"/>
      <c r="J50" s="15"/>
      <c r="K50" s="15"/>
      <c r="L50" s="15"/>
      <c r="M50" s="16"/>
      <c r="N50" s="17"/>
      <c r="O50" s="19" t="str">
        <f t="shared" si="0"/>
        <v/>
      </c>
      <c r="P50" s="17"/>
      <c r="Q50" s="17" t="str">
        <f t="shared" ca="1" si="1"/>
        <v/>
      </c>
      <c r="R50" s="21" t="str">
        <f ca="1">IF($Q50="","",IF($Q50&lt;=Settings!$B$8,Settings!$C$8,IF($Q50&lt;=Settings!$B$9,Settings!$C$9,IF($Q50&lt;=Settings!$B$10,Settings!$C$10,IF($Q50&lt;=Settings!$B$11,Settings!$C$11,Settings!$C$12)))))</f>
        <v/>
      </c>
      <c r="S50" s="21" t="str">
        <f>IF($F50="","",IFERROR(VLOOKUP($F50,Settings!$E$8:$F$11,2,FALSE),0))</f>
        <v/>
      </c>
      <c r="T50" s="21">
        <f>IF($G50="",Settings!$B$16,1)</f>
        <v>1</v>
      </c>
      <c r="U50" s="21" t="str">
        <f t="shared" si="2"/>
        <v/>
      </c>
      <c r="V50" s="32" t="str">
        <f>IF($C50="","",IF($Q50&gt;Settings!$B$4,IF($G50="","|","")&amp;"OLD_7D","")&amp;IF($Q50&gt;Settings!$B$5,IF(OR($G50="", $Q50&gt;Settings!$B$4),"|","")&amp;"OLD_30D",""))</f>
        <v/>
      </c>
      <c r="W50" s="21" t="str">
        <f>IF(OR($C50="", $M50&lt;&gt;"APPROVED",$I50="", $U50=0),"",SUMIFS($U$3:$U$502,$H$3:$H$502,$H50,$M$3:$M$502,"APPROVED",$Q$3:$Q$502,"&lt;="&amp;Settings!$B$4,$I$3:$I$502,"&lt;="&amp;$I50))</f>
        <v/>
      </c>
      <c r="X50" s="21" t="str">
        <f>IF(OR($C50="", $M50&lt;&gt;"APPROVED",$I50="", $U50=0),"",SUMIFS($U$3:$U$502,$H$3:$H$502,$H50,$M$3:$M$502,"APPROVED",$Q$3:$Q$502,"&lt;="&amp;Settings!$B$5,$I$3:$I$502,"&lt;="&amp;$I50))</f>
        <v/>
      </c>
      <c r="Y50" s="21" t="str">
        <f>IF($P50="","",IFERROR(MATCH($P50,Lists!$H$2:$H$4,0),""))</f>
        <v/>
      </c>
      <c r="Z50" s="21" t="str">
        <f t="shared" si="3"/>
        <v/>
      </c>
    </row>
    <row r="51" spans="1:26" ht="15.75" customHeight="1" x14ac:dyDescent="0.3">
      <c r="A51" s="16" t="str">
        <f t="shared" si="4"/>
        <v/>
      </c>
      <c r="B51" s="28"/>
      <c r="C51" s="29"/>
      <c r="D51" s="16"/>
      <c r="E51" s="16"/>
      <c r="F51" s="16"/>
      <c r="G51" s="16"/>
      <c r="H51" s="16"/>
      <c r="I51" s="31"/>
      <c r="J51" s="15"/>
      <c r="K51" s="15"/>
      <c r="L51" s="15"/>
      <c r="M51" s="16"/>
      <c r="N51" s="17"/>
      <c r="O51" s="19" t="str">
        <f t="shared" si="0"/>
        <v/>
      </c>
      <c r="P51" s="17"/>
      <c r="Q51" s="17" t="str">
        <f t="shared" ca="1" si="1"/>
        <v/>
      </c>
      <c r="R51" s="21" t="str">
        <f ca="1">IF($Q51="","",IF($Q51&lt;=Settings!$B$8,Settings!$C$8,IF($Q51&lt;=Settings!$B$9,Settings!$C$9,IF($Q51&lt;=Settings!$B$10,Settings!$C$10,IF($Q51&lt;=Settings!$B$11,Settings!$C$11,Settings!$C$12)))))</f>
        <v/>
      </c>
      <c r="S51" s="21" t="str">
        <f>IF($F51="","",IFERROR(VLOOKUP($F51,Settings!$E$8:$F$11,2,FALSE),0))</f>
        <v/>
      </c>
      <c r="T51" s="21">
        <f>IF($G51="",Settings!$B$16,1)</f>
        <v>1</v>
      </c>
      <c r="U51" s="21" t="str">
        <f t="shared" si="2"/>
        <v/>
      </c>
      <c r="V51" s="32" t="str">
        <f>IF($C51="","",IF($Q51&gt;Settings!$B$4,IF($G51="","|","")&amp;"OLD_7D","")&amp;IF($Q51&gt;Settings!$B$5,IF(OR($G51="", $Q51&gt;Settings!$B$4),"|","")&amp;"OLD_30D",""))</f>
        <v/>
      </c>
      <c r="W51" s="21" t="str">
        <f>IF(OR($C51="", $M51&lt;&gt;"APPROVED",$I51="", $U51=0),"",SUMIFS($U$3:$U$502,$H$3:$H$502,$H51,$M$3:$M$502,"APPROVED",$Q$3:$Q$502,"&lt;="&amp;Settings!$B$4,$I$3:$I$502,"&lt;="&amp;$I51))</f>
        <v/>
      </c>
      <c r="X51" s="21" t="str">
        <f>IF(OR($C51="", $M51&lt;&gt;"APPROVED",$I51="", $U51=0),"",SUMIFS($U$3:$U$502,$H$3:$H$502,$H51,$M$3:$M$502,"APPROVED",$Q$3:$Q$502,"&lt;="&amp;Settings!$B$5,$I$3:$I$502,"&lt;="&amp;$I51))</f>
        <v/>
      </c>
      <c r="Y51" s="21" t="str">
        <f>IF($P51="","",IFERROR(MATCH($P51,Lists!$H$2:$H$4,0),""))</f>
        <v/>
      </c>
      <c r="Z51" s="21" t="str">
        <f t="shared" si="3"/>
        <v/>
      </c>
    </row>
    <row r="52" spans="1:26" ht="15.75" customHeight="1" x14ac:dyDescent="0.3">
      <c r="A52" s="16" t="str">
        <f t="shared" si="4"/>
        <v/>
      </c>
      <c r="B52" s="28"/>
      <c r="C52" s="29"/>
      <c r="D52" s="16"/>
      <c r="E52" s="16"/>
      <c r="F52" s="16"/>
      <c r="G52" s="16"/>
      <c r="H52" s="16"/>
      <c r="I52" s="31"/>
      <c r="J52" s="15"/>
      <c r="K52" s="15"/>
      <c r="L52" s="15"/>
      <c r="M52" s="16"/>
      <c r="N52" s="17"/>
      <c r="O52" s="19" t="str">
        <f t="shared" si="0"/>
        <v/>
      </c>
      <c r="P52" s="17"/>
      <c r="Q52" s="17" t="str">
        <f t="shared" ca="1" si="1"/>
        <v/>
      </c>
      <c r="R52" s="21" t="str">
        <f ca="1">IF($Q52="","",IF($Q52&lt;=Settings!$B$8,Settings!$C$8,IF($Q52&lt;=Settings!$B$9,Settings!$C$9,IF($Q52&lt;=Settings!$B$10,Settings!$C$10,IF($Q52&lt;=Settings!$B$11,Settings!$C$11,Settings!$C$12)))))</f>
        <v/>
      </c>
      <c r="S52" s="21" t="str">
        <f>IF($F52="","",IFERROR(VLOOKUP($F52,Settings!$E$8:$F$11,2,FALSE),0))</f>
        <v/>
      </c>
      <c r="T52" s="21">
        <f>IF($G52="",Settings!$B$16,1)</f>
        <v>1</v>
      </c>
      <c r="U52" s="21" t="str">
        <f t="shared" si="2"/>
        <v/>
      </c>
      <c r="V52" s="32" t="str">
        <f>IF($C52="","",IF($Q52&gt;Settings!$B$4,IF($G52="","|","")&amp;"OLD_7D","")&amp;IF($Q52&gt;Settings!$B$5,IF(OR($G52="", $Q52&gt;Settings!$B$4),"|","")&amp;"OLD_30D",""))</f>
        <v/>
      </c>
      <c r="W52" s="21" t="str">
        <f>IF(OR($C52="", $M52&lt;&gt;"APPROVED",$I52="", $U52=0),"",SUMIFS($U$3:$U$502,$H$3:$H$502,$H52,$M$3:$M$502,"APPROVED",$Q$3:$Q$502,"&lt;="&amp;Settings!$B$4,$I$3:$I$502,"&lt;="&amp;$I52))</f>
        <v/>
      </c>
      <c r="X52" s="21" t="str">
        <f>IF(OR($C52="", $M52&lt;&gt;"APPROVED",$I52="", $U52=0),"",SUMIFS($U$3:$U$502,$H$3:$H$502,$H52,$M$3:$M$502,"APPROVED",$Q$3:$Q$502,"&lt;="&amp;Settings!$B$5,$I$3:$I$502,"&lt;="&amp;$I52))</f>
        <v/>
      </c>
      <c r="Y52" s="21" t="str">
        <f>IF($P52="","",IFERROR(MATCH($P52,Lists!$H$2:$H$4,0),""))</f>
        <v/>
      </c>
      <c r="Z52" s="21" t="str">
        <f t="shared" si="3"/>
        <v/>
      </c>
    </row>
    <row r="53" spans="1:26" ht="15.75" customHeight="1" x14ac:dyDescent="0.3">
      <c r="A53" s="16" t="str">
        <f t="shared" si="4"/>
        <v/>
      </c>
      <c r="B53" s="28"/>
      <c r="C53" s="29"/>
      <c r="D53" s="16"/>
      <c r="E53" s="16"/>
      <c r="F53" s="16"/>
      <c r="G53" s="16"/>
      <c r="H53" s="16"/>
      <c r="I53" s="31"/>
      <c r="J53" s="15"/>
      <c r="K53" s="15"/>
      <c r="L53" s="15"/>
      <c r="M53" s="16"/>
      <c r="N53" s="17"/>
      <c r="O53" s="19" t="str">
        <f t="shared" si="0"/>
        <v/>
      </c>
      <c r="P53" s="17"/>
      <c r="Q53" s="17" t="str">
        <f t="shared" ca="1" si="1"/>
        <v/>
      </c>
      <c r="R53" s="21" t="str">
        <f ca="1">IF($Q53="","",IF($Q53&lt;=Settings!$B$8,Settings!$C$8,IF($Q53&lt;=Settings!$B$9,Settings!$C$9,IF($Q53&lt;=Settings!$B$10,Settings!$C$10,IF($Q53&lt;=Settings!$B$11,Settings!$C$11,Settings!$C$12)))))</f>
        <v/>
      </c>
      <c r="S53" s="21" t="str">
        <f>IF($F53="","",IFERROR(VLOOKUP($F53,Settings!$E$8:$F$11,2,FALSE),0))</f>
        <v/>
      </c>
      <c r="T53" s="21">
        <f>IF($G53="",Settings!$B$16,1)</f>
        <v>1</v>
      </c>
      <c r="U53" s="21" t="str">
        <f t="shared" si="2"/>
        <v/>
      </c>
      <c r="V53" s="32" t="str">
        <f>IF($C53="","",IF($Q53&gt;Settings!$B$4,IF($G53="","|","")&amp;"OLD_7D","")&amp;IF($Q53&gt;Settings!$B$5,IF(OR($G53="", $Q53&gt;Settings!$B$4),"|","")&amp;"OLD_30D",""))</f>
        <v/>
      </c>
      <c r="W53" s="21" t="str">
        <f>IF(OR($C53="", $M53&lt;&gt;"APPROVED",$I53="", $U53=0),"",SUMIFS($U$3:$U$502,$H$3:$H$502,$H53,$M$3:$M$502,"APPROVED",$Q$3:$Q$502,"&lt;="&amp;Settings!$B$4,$I$3:$I$502,"&lt;="&amp;$I53))</f>
        <v/>
      </c>
      <c r="X53" s="21" t="str">
        <f>IF(OR($C53="", $M53&lt;&gt;"APPROVED",$I53="", $U53=0),"",SUMIFS($U$3:$U$502,$H$3:$H$502,$H53,$M$3:$M$502,"APPROVED",$Q$3:$Q$502,"&lt;="&amp;Settings!$B$5,$I$3:$I$502,"&lt;="&amp;$I53))</f>
        <v/>
      </c>
      <c r="Y53" s="21" t="str">
        <f>IF($P53="","",IFERROR(MATCH($P53,Lists!$H$2:$H$4,0),""))</f>
        <v/>
      </c>
      <c r="Z53" s="21" t="str">
        <f t="shared" si="3"/>
        <v/>
      </c>
    </row>
    <row r="54" spans="1:26" ht="15.75" customHeight="1" x14ac:dyDescent="0.3">
      <c r="A54" s="16" t="str">
        <f t="shared" si="4"/>
        <v/>
      </c>
      <c r="B54" s="28"/>
      <c r="C54" s="29"/>
      <c r="D54" s="16"/>
      <c r="E54" s="16"/>
      <c r="F54" s="16"/>
      <c r="G54" s="16"/>
      <c r="H54" s="16"/>
      <c r="I54" s="31"/>
      <c r="J54" s="15"/>
      <c r="K54" s="15"/>
      <c r="L54" s="15"/>
      <c r="M54" s="16"/>
      <c r="N54" s="17"/>
      <c r="O54" s="19" t="str">
        <f t="shared" si="0"/>
        <v/>
      </c>
      <c r="P54" s="17"/>
      <c r="Q54" s="17" t="str">
        <f t="shared" ca="1" si="1"/>
        <v/>
      </c>
      <c r="R54" s="21" t="str">
        <f ca="1">IF($Q54="","",IF($Q54&lt;=Settings!$B$8,Settings!$C$8,IF($Q54&lt;=Settings!$B$9,Settings!$C$9,IF($Q54&lt;=Settings!$B$10,Settings!$C$10,IF($Q54&lt;=Settings!$B$11,Settings!$C$11,Settings!$C$12)))))</f>
        <v/>
      </c>
      <c r="S54" s="21" t="str">
        <f>IF($F54="","",IFERROR(VLOOKUP($F54,Settings!$E$8:$F$11,2,FALSE),0))</f>
        <v/>
      </c>
      <c r="T54" s="21">
        <f>IF($G54="",Settings!$B$16,1)</f>
        <v>1</v>
      </c>
      <c r="U54" s="21" t="str">
        <f t="shared" si="2"/>
        <v/>
      </c>
      <c r="V54" s="32" t="str">
        <f>IF($C54="","",IF($Q54&gt;Settings!$B$4,IF($G54="","|","")&amp;"OLD_7D","")&amp;IF($Q54&gt;Settings!$B$5,IF(OR($G54="", $Q54&gt;Settings!$B$4),"|","")&amp;"OLD_30D",""))</f>
        <v/>
      </c>
      <c r="W54" s="21" t="str">
        <f>IF(OR($C54="", $M54&lt;&gt;"APPROVED",$I54="", $U54=0),"",SUMIFS($U$3:$U$502,$H$3:$H$502,$H54,$M$3:$M$502,"APPROVED",$Q$3:$Q$502,"&lt;="&amp;Settings!$B$4,$I$3:$I$502,"&lt;="&amp;$I54))</f>
        <v/>
      </c>
      <c r="X54" s="21" t="str">
        <f>IF(OR($C54="", $M54&lt;&gt;"APPROVED",$I54="", $U54=0),"",SUMIFS($U$3:$U$502,$H$3:$H$502,$H54,$M$3:$M$502,"APPROVED",$Q$3:$Q$502,"&lt;="&amp;Settings!$B$5,$I$3:$I$502,"&lt;="&amp;$I54))</f>
        <v/>
      </c>
      <c r="Y54" s="21" t="str">
        <f>IF($P54="","",IFERROR(MATCH($P54,Lists!$H$2:$H$4,0),""))</f>
        <v/>
      </c>
      <c r="Z54" s="21" t="str">
        <f t="shared" si="3"/>
        <v/>
      </c>
    </row>
    <row r="55" spans="1:26" ht="15.75" customHeight="1" x14ac:dyDescent="0.3">
      <c r="A55" s="16" t="str">
        <f t="shared" si="4"/>
        <v/>
      </c>
      <c r="B55" s="28"/>
      <c r="C55" s="29"/>
      <c r="D55" s="16"/>
      <c r="E55" s="16"/>
      <c r="F55" s="16"/>
      <c r="G55" s="16"/>
      <c r="H55" s="16"/>
      <c r="I55" s="31"/>
      <c r="J55" s="15"/>
      <c r="K55" s="15"/>
      <c r="L55" s="15"/>
      <c r="M55" s="16"/>
      <c r="N55" s="17"/>
      <c r="O55" s="19" t="str">
        <f t="shared" si="0"/>
        <v/>
      </c>
      <c r="P55" s="17"/>
      <c r="Q55" s="17" t="str">
        <f t="shared" ca="1" si="1"/>
        <v/>
      </c>
      <c r="R55" s="21" t="str">
        <f ca="1">IF($Q55="","",IF($Q55&lt;=Settings!$B$8,Settings!$C$8,IF($Q55&lt;=Settings!$B$9,Settings!$C$9,IF($Q55&lt;=Settings!$B$10,Settings!$C$10,IF($Q55&lt;=Settings!$B$11,Settings!$C$11,Settings!$C$12)))))</f>
        <v/>
      </c>
      <c r="S55" s="21" t="str">
        <f>IF($F55="","",IFERROR(VLOOKUP($F55,Settings!$E$8:$F$11,2,FALSE),0))</f>
        <v/>
      </c>
      <c r="T55" s="21">
        <f>IF($G55="",Settings!$B$16,1)</f>
        <v>1</v>
      </c>
      <c r="U55" s="21" t="str">
        <f t="shared" si="2"/>
        <v/>
      </c>
      <c r="V55" s="32" t="str">
        <f>IF($C55="","",IF($Q55&gt;Settings!$B$4,IF($G55="","|","")&amp;"OLD_7D","")&amp;IF($Q55&gt;Settings!$B$5,IF(OR($G55="", $Q55&gt;Settings!$B$4),"|","")&amp;"OLD_30D",""))</f>
        <v/>
      </c>
      <c r="W55" s="21" t="str">
        <f>IF(OR($C55="", $M55&lt;&gt;"APPROVED",$I55="", $U55=0),"",SUMIFS($U$3:$U$502,$H$3:$H$502,$H55,$M$3:$M$502,"APPROVED",$Q$3:$Q$502,"&lt;="&amp;Settings!$B$4,$I$3:$I$502,"&lt;="&amp;$I55))</f>
        <v/>
      </c>
      <c r="X55" s="21" t="str">
        <f>IF(OR($C55="", $M55&lt;&gt;"APPROVED",$I55="", $U55=0),"",SUMIFS($U$3:$U$502,$H$3:$H$502,$H55,$M$3:$M$502,"APPROVED",$Q$3:$Q$502,"&lt;="&amp;Settings!$B$5,$I$3:$I$502,"&lt;="&amp;$I55))</f>
        <v/>
      </c>
      <c r="Y55" s="21" t="str">
        <f>IF($P55="","",IFERROR(MATCH($P55,Lists!$H$2:$H$4,0),""))</f>
        <v/>
      </c>
      <c r="Z55" s="21" t="str">
        <f t="shared" si="3"/>
        <v/>
      </c>
    </row>
    <row r="56" spans="1:26" ht="15.75" customHeight="1" x14ac:dyDescent="0.3">
      <c r="A56" s="16" t="str">
        <f t="shared" si="4"/>
        <v/>
      </c>
      <c r="B56" s="28"/>
      <c r="C56" s="29"/>
      <c r="D56" s="16"/>
      <c r="E56" s="16"/>
      <c r="F56" s="16"/>
      <c r="G56" s="16"/>
      <c r="H56" s="16"/>
      <c r="I56" s="31"/>
      <c r="J56" s="15"/>
      <c r="K56" s="15"/>
      <c r="L56" s="15"/>
      <c r="M56" s="16"/>
      <c r="N56" s="17"/>
      <c r="O56" s="19" t="str">
        <f t="shared" si="0"/>
        <v/>
      </c>
      <c r="P56" s="17"/>
      <c r="Q56" s="17" t="str">
        <f t="shared" ca="1" si="1"/>
        <v/>
      </c>
      <c r="R56" s="21" t="str">
        <f ca="1">IF($Q56="","",IF($Q56&lt;=Settings!$B$8,Settings!$C$8,IF($Q56&lt;=Settings!$B$9,Settings!$C$9,IF($Q56&lt;=Settings!$B$10,Settings!$C$10,IF($Q56&lt;=Settings!$B$11,Settings!$C$11,Settings!$C$12)))))</f>
        <v/>
      </c>
      <c r="S56" s="21" t="str">
        <f>IF($F56="","",IFERROR(VLOOKUP($F56,Settings!$E$8:$F$11,2,FALSE),0))</f>
        <v/>
      </c>
      <c r="T56" s="21">
        <f>IF($G56="",Settings!$B$16,1)</f>
        <v>1</v>
      </c>
      <c r="U56" s="21" t="str">
        <f t="shared" si="2"/>
        <v/>
      </c>
      <c r="V56" s="32" t="str">
        <f>IF($C56="","",IF($Q56&gt;Settings!$B$4,IF($G56="","|","")&amp;"OLD_7D","")&amp;IF($Q56&gt;Settings!$B$5,IF(OR($G56="", $Q56&gt;Settings!$B$4),"|","")&amp;"OLD_30D",""))</f>
        <v/>
      </c>
      <c r="W56" s="21" t="str">
        <f>IF(OR($C56="", $M56&lt;&gt;"APPROVED",$I56="", $U56=0),"",SUMIFS($U$3:$U$502,$H$3:$H$502,$H56,$M$3:$M$502,"APPROVED",$Q$3:$Q$502,"&lt;="&amp;Settings!$B$4,$I$3:$I$502,"&lt;="&amp;$I56))</f>
        <v/>
      </c>
      <c r="X56" s="21" t="str">
        <f>IF(OR($C56="", $M56&lt;&gt;"APPROVED",$I56="", $U56=0),"",SUMIFS($U$3:$U$502,$H$3:$H$502,$H56,$M$3:$M$502,"APPROVED",$Q$3:$Q$502,"&lt;="&amp;Settings!$B$5,$I$3:$I$502,"&lt;="&amp;$I56))</f>
        <v/>
      </c>
      <c r="Y56" s="21" t="str">
        <f>IF($P56="","",IFERROR(MATCH($P56,Lists!$H$2:$H$4,0),""))</f>
        <v/>
      </c>
      <c r="Z56" s="21" t="str">
        <f t="shared" si="3"/>
        <v/>
      </c>
    </row>
    <row r="57" spans="1:26" ht="15.75" customHeight="1" x14ac:dyDescent="0.3">
      <c r="A57" s="16" t="str">
        <f t="shared" si="4"/>
        <v/>
      </c>
      <c r="B57" s="28"/>
      <c r="C57" s="29"/>
      <c r="D57" s="16"/>
      <c r="E57" s="16"/>
      <c r="F57" s="16"/>
      <c r="G57" s="16"/>
      <c r="H57" s="16"/>
      <c r="I57" s="31"/>
      <c r="J57" s="15"/>
      <c r="K57" s="15"/>
      <c r="L57" s="15"/>
      <c r="M57" s="16"/>
      <c r="N57" s="17"/>
      <c r="O57" s="19" t="str">
        <f t="shared" si="0"/>
        <v/>
      </c>
      <c r="P57" s="17"/>
      <c r="Q57" s="17" t="str">
        <f t="shared" ca="1" si="1"/>
        <v/>
      </c>
      <c r="R57" s="21" t="str">
        <f ca="1">IF($Q57="","",IF($Q57&lt;=Settings!$B$8,Settings!$C$8,IF($Q57&lt;=Settings!$B$9,Settings!$C$9,IF($Q57&lt;=Settings!$B$10,Settings!$C$10,IF($Q57&lt;=Settings!$B$11,Settings!$C$11,Settings!$C$12)))))</f>
        <v/>
      </c>
      <c r="S57" s="21" t="str">
        <f>IF($F57="","",IFERROR(VLOOKUP($F57,Settings!$E$8:$F$11,2,FALSE),0))</f>
        <v/>
      </c>
      <c r="T57" s="21">
        <f>IF($G57="",Settings!$B$16,1)</f>
        <v>1</v>
      </c>
      <c r="U57" s="21" t="str">
        <f t="shared" si="2"/>
        <v/>
      </c>
      <c r="V57" s="32" t="str">
        <f>IF($C57="","",IF($Q57&gt;Settings!$B$4,IF($G57="","|","")&amp;"OLD_7D","")&amp;IF($Q57&gt;Settings!$B$5,IF(OR($G57="", $Q57&gt;Settings!$B$4),"|","")&amp;"OLD_30D",""))</f>
        <v/>
      </c>
      <c r="W57" s="21" t="str">
        <f>IF(OR($C57="", $M57&lt;&gt;"APPROVED",$I57="", $U57=0),"",SUMIFS($U$3:$U$502,$H$3:$H$502,$H57,$M$3:$M$502,"APPROVED",$Q$3:$Q$502,"&lt;="&amp;Settings!$B$4,$I$3:$I$502,"&lt;="&amp;$I57))</f>
        <v/>
      </c>
      <c r="X57" s="21" t="str">
        <f>IF(OR($C57="", $M57&lt;&gt;"APPROVED",$I57="", $U57=0),"",SUMIFS($U$3:$U$502,$H$3:$H$502,$H57,$M$3:$M$502,"APPROVED",$Q$3:$Q$502,"&lt;="&amp;Settings!$B$5,$I$3:$I$502,"&lt;="&amp;$I57))</f>
        <v/>
      </c>
      <c r="Y57" s="21" t="str">
        <f>IF($P57="","",IFERROR(MATCH($P57,Lists!$H$2:$H$4,0),""))</f>
        <v/>
      </c>
      <c r="Z57" s="21" t="str">
        <f t="shared" si="3"/>
        <v/>
      </c>
    </row>
    <row r="58" spans="1:26" ht="15.75" customHeight="1" x14ac:dyDescent="0.3">
      <c r="A58" s="16" t="str">
        <f t="shared" si="4"/>
        <v/>
      </c>
      <c r="B58" s="28"/>
      <c r="C58" s="29"/>
      <c r="D58" s="16"/>
      <c r="E58" s="16"/>
      <c r="F58" s="16"/>
      <c r="G58" s="16"/>
      <c r="H58" s="16"/>
      <c r="I58" s="31"/>
      <c r="J58" s="15"/>
      <c r="K58" s="15"/>
      <c r="L58" s="15"/>
      <c r="M58" s="16"/>
      <c r="N58" s="17"/>
      <c r="O58" s="19" t="str">
        <f t="shared" si="0"/>
        <v/>
      </c>
      <c r="P58" s="17"/>
      <c r="Q58" s="17" t="str">
        <f t="shared" ca="1" si="1"/>
        <v/>
      </c>
      <c r="R58" s="21" t="str">
        <f ca="1">IF($Q58="","",IF($Q58&lt;=Settings!$B$8,Settings!$C$8,IF($Q58&lt;=Settings!$B$9,Settings!$C$9,IF($Q58&lt;=Settings!$B$10,Settings!$C$10,IF($Q58&lt;=Settings!$B$11,Settings!$C$11,Settings!$C$12)))))</f>
        <v/>
      </c>
      <c r="S58" s="21" t="str">
        <f>IF($F58="","",IFERROR(VLOOKUP($F58,Settings!$E$8:$F$11,2,FALSE),0))</f>
        <v/>
      </c>
      <c r="T58" s="21">
        <f>IF($G58="",Settings!$B$16,1)</f>
        <v>1</v>
      </c>
      <c r="U58" s="21" t="str">
        <f t="shared" si="2"/>
        <v/>
      </c>
      <c r="V58" s="32" t="str">
        <f>IF($C58="","",IF($Q58&gt;Settings!$B$4,IF($G58="","|","")&amp;"OLD_7D","")&amp;IF($Q58&gt;Settings!$B$5,IF(OR($G58="", $Q58&gt;Settings!$B$4),"|","")&amp;"OLD_30D",""))</f>
        <v/>
      </c>
      <c r="W58" s="21" t="str">
        <f>IF(OR($C58="", $M58&lt;&gt;"APPROVED",$I58="", $U58=0),"",SUMIFS($U$3:$U$502,$H$3:$H$502,$H58,$M$3:$M$502,"APPROVED",$Q$3:$Q$502,"&lt;="&amp;Settings!$B$4,$I$3:$I$502,"&lt;="&amp;$I58))</f>
        <v/>
      </c>
      <c r="X58" s="21" t="str">
        <f>IF(OR($C58="", $M58&lt;&gt;"APPROVED",$I58="", $U58=0),"",SUMIFS($U$3:$U$502,$H$3:$H$502,$H58,$M$3:$M$502,"APPROVED",$Q$3:$Q$502,"&lt;="&amp;Settings!$B$5,$I$3:$I$502,"&lt;="&amp;$I58))</f>
        <v/>
      </c>
      <c r="Y58" s="21" t="str">
        <f>IF($P58="","",IFERROR(MATCH($P58,Lists!$H$2:$H$4,0),""))</f>
        <v/>
      </c>
      <c r="Z58" s="21" t="str">
        <f t="shared" si="3"/>
        <v/>
      </c>
    </row>
    <row r="59" spans="1:26" ht="15.75" customHeight="1" x14ac:dyDescent="0.3">
      <c r="A59" s="16" t="str">
        <f t="shared" si="4"/>
        <v/>
      </c>
      <c r="B59" s="28"/>
      <c r="C59" s="29"/>
      <c r="D59" s="16"/>
      <c r="E59" s="16"/>
      <c r="F59" s="16"/>
      <c r="G59" s="16"/>
      <c r="H59" s="16"/>
      <c r="I59" s="31"/>
      <c r="J59" s="15"/>
      <c r="K59" s="15"/>
      <c r="L59" s="15"/>
      <c r="M59" s="16"/>
      <c r="N59" s="17"/>
      <c r="O59" s="19" t="str">
        <f t="shared" si="0"/>
        <v/>
      </c>
      <c r="P59" s="17"/>
      <c r="Q59" s="17" t="str">
        <f t="shared" ca="1" si="1"/>
        <v/>
      </c>
      <c r="R59" s="21" t="str">
        <f ca="1">IF($Q59="","",IF($Q59&lt;=Settings!$B$8,Settings!$C$8,IF($Q59&lt;=Settings!$B$9,Settings!$C$9,IF($Q59&lt;=Settings!$B$10,Settings!$C$10,IF($Q59&lt;=Settings!$B$11,Settings!$C$11,Settings!$C$12)))))</f>
        <v/>
      </c>
      <c r="S59" s="21" t="str">
        <f>IF($F59="","",IFERROR(VLOOKUP($F59,Settings!$E$8:$F$11,2,FALSE),0))</f>
        <v/>
      </c>
      <c r="T59" s="21">
        <f>IF($G59="",Settings!$B$16,1)</f>
        <v>1</v>
      </c>
      <c r="U59" s="21" t="str">
        <f t="shared" si="2"/>
        <v/>
      </c>
      <c r="V59" s="32" t="str">
        <f>IF($C59="","",IF($Q59&gt;Settings!$B$4,IF($G59="","|","")&amp;"OLD_7D","")&amp;IF($Q59&gt;Settings!$B$5,IF(OR($G59="", $Q59&gt;Settings!$B$4),"|","")&amp;"OLD_30D",""))</f>
        <v/>
      </c>
      <c r="W59" s="21" t="str">
        <f>IF(OR($C59="", $M59&lt;&gt;"APPROVED",$I59="", $U59=0),"",SUMIFS($U$3:$U$502,$H$3:$H$502,$H59,$M$3:$M$502,"APPROVED",$Q$3:$Q$502,"&lt;="&amp;Settings!$B$4,$I$3:$I$502,"&lt;="&amp;$I59))</f>
        <v/>
      </c>
      <c r="X59" s="21" t="str">
        <f>IF(OR($C59="", $M59&lt;&gt;"APPROVED",$I59="", $U59=0),"",SUMIFS($U$3:$U$502,$H$3:$H$502,$H59,$M$3:$M$502,"APPROVED",$Q$3:$Q$502,"&lt;="&amp;Settings!$B$5,$I$3:$I$502,"&lt;="&amp;$I59))</f>
        <v/>
      </c>
      <c r="Y59" s="21" t="str">
        <f>IF($P59="","",IFERROR(MATCH($P59,Lists!$H$2:$H$4,0),""))</f>
        <v/>
      </c>
      <c r="Z59" s="21" t="str">
        <f t="shared" si="3"/>
        <v/>
      </c>
    </row>
    <row r="60" spans="1:26" ht="15.75" customHeight="1" x14ac:dyDescent="0.3">
      <c r="A60" s="16" t="str">
        <f t="shared" si="4"/>
        <v/>
      </c>
      <c r="B60" s="28"/>
      <c r="C60" s="29"/>
      <c r="D60" s="16"/>
      <c r="E60" s="16"/>
      <c r="F60" s="16"/>
      <c r="G60" s="16"/>
      <c r="H60" s="16"/>
      <c r="I60" s="31"/>
      <c r="J60" s="15"/>
      <c r="K60" s="15"/>
      <c r="L60" s="15"/>
      <c r="M60" s="16"/>
      <c r="N60" s="17"/>
      <c r="O60" s="19" t="str">
        <f t="shared" si="0"/>
        <v/>
      </c>
      <c r="P60" s="17"/>
      <c r="Q60" s="17" t="str">
        <f t="shared" ca="1" si="1"/>
        <v/>
      </c>
      <c r="R60" s="21" t="str">
        <f ca="1">IF($Q60="","",IF($Q60&lt;=Settings!$B$8,Settings!$C$8,IF($Q60&lt;=Settings!$B$9,Settings!$C$9,IF($Q60&lt;=Settings!$B$10,Settings!$C$10,IF($Q60&lt;=Settings!$B$11,Settings!$C$11,Settings!$C$12)))))</f>
        <v/>
      </c>
      <c r="S60" s="21" t="str">
        <f>IF($F60="","",IFERROR(VLOOKUP($F60,Settings!$E$8:$F$11,2,FALSE),0))</f>
        <v/>
      </c>
      <c r="T60" s="21">
        <f>IF($G60="",Settings!$B$16,1)</f>
        <v>1</v>
      </c>
      <c r="U60" s="21" t="str">
        <f t="shared" si="2"/>
        <v/>
      </c>
      <c r="V60" s="32" t="str">
        <f>IF($C60="","",IF($Q60&gt;Settings!$B$4,IF($G60="","|","")&amp;"OLD_7D","")&amp;IF($Q60&gt;Settings!$B$5,IF(OR($G60="", $Q60&gt;Settings!$B$4),"|","")&amp;"OLD_30D",""))</f>
        <v/>
      </c>
      <c r="W60" s="21" t="str">
        <f>IF(OR($C60="", $M60&lt;&gt;"APPROVED",$I60="", $U60=0),"",SUMIFS($U$3:$U$502,$H$3:$H$502,$H60,$M$3:$M$502,"APPROVED",$Q$3:$Q$502,"&lt;="&amp;Settings!$B$4,$I$3:$I$502,"&lt;="&amp;$I60))</f>
        <v/>
      </c>
      <c r="X60" s="21" t="str">
        <f>IF(OR($C60="", $M60&lt;&gt;"APPROVED",$I60="", $U60=0),"",SUMIFS($U$3:$U$502,$H$3:$H$502,$H60,$M$3:$M$502,"APPROVED",$Q$3:$Q$502,"&lt;="&amp;Settings!$B$5,$I$3:$I$502,"&lt;="&amp;$I60))</f>
        <v/>
      </c>
      <c r="Y60" s="21" t="str">
        <f>IF($P60="","",IFERROR(MATCH($P60,Lists!$H$2:$H$4,0),""))</f>
        <v/>
      </c>
      <c r="Z60" s="21" t="str">
        <f t="shared" si="3"/>
        <v/>
      </c>
    </row>
    <row r="61" spans="1:26" ht="15.75" customHeight="1" x14ac:dyDescent="0.3">
      <c r="A61" s="16" t="str">
        <f t="shared" si="4"/>
        <v/>
      </c>
      <c r="B61" s="28"/>
      <c r="C61" s="29"/>
      <c r="D61" s="16"/>
      <c r="E61" s="16"/>
      <c r="F61" s="16"/>
      <c r="G61" s="16"/>
      <c r="H61" s="16"/>
      <c r="I61" s="31"/>
      <c r="J61" s="15"/>
      <c r="K61" s="15"/>
      <c r="L61" s="15"/>
      <c r="M61" s="16"/>
      <c r="N61" s="17"/>
      <c r="O61" s="19" t="str">
        <f t="shared" si="0"/>
        <v/>
      </c>
      <c r="P61" s="17"/>
      <c r="Q61" s="17" t="str">
        <f t="shared" ca="1" si="1"/>
        <v/>
      </c>
      <c r="R61" s="21" t="str">
        <f ca="1">IF($Q61="","",IF($Q61&lt;=Settings!$B$8,Settings!$C$8,IF($Q61&lt;=Settings!$B$9,Settings!$C$9,IF($Q61&lt;=Settings!$B$10,Settings!$C$10,IF($Q61&lt;=Settings!$B$11,Settings!$C$11,Settings!$C$12)))))</f>
        <v/>
      </c>
      <c r="S61" s="21" t="str">
        <f>IF($F61="","",IFERROR(VLOOKUP($F61,Settings!$E$8:$F$11,2,FALSE),0))</f>
        <v/>
      </c>
      <c r="T61" s="21">
        <f>IF($G61="",Settings!$B$16,1)</f>
        <v>1</v>
      </c>
      <c r="U61" s="21" t="str">
        <f t="shared" si="2"/>
        <v/>
      </c>
      <c r="V61" s="32" t="str">
        <f>IF($C61="","",IF($Q61&gt;Settings!$B$4,IF($G61="","|","")&amp;"OLD_7D","")&amp;IF($Q61&gt;Settings!$B$5,IF(OR($G61="", $Q61&gt;Settings!$B$4),"|","")&amp;"OLD_30D",""))</f>
        <v/>
      </c>
      <c r="W61" s="21" t="str">
        <f>IF(OR($C61="", $M61&lt;&gt;"APPROVED",$I61="", $U61=0),"",SUMIFS($U$3:$U$502,$H$3:$H$502,$H61,$M$3:$M$502,"APPROVED",$Q$3:$Q$502,"&lt;="&amp;Settings!$B$4,$I$3:$I$502,"&lt;="&amp;$I61))</f>
        <v/>
      </c>
      <c r="X61" s="21" t="str">
        <f>IF(OR($C61="", $M61&lt;&gt;"APPROVED",$I61="", $U61=0),"",SUMIFS($U$3:$U$502,$H$3:$H$502,$H61,$M$3:$M$502,"APPROVED",$Q$3:$Q$502,"&lt;="&amp;Settings!$B$5,$I$3:$I$502,"&lt;="&amp;$I61))</f>
        <v/>
      </c>
      <c r="Y61" s="21" t="str">
        <f>IF($P61="","",IFERROR(MATCH($P61,Lists!$H$2:$H$4,0),""))</f>
        <v/>
      </c>
      <c r="Z61" s="21" t="str">
        <f t="shared" si="3"/>
        <v/>
      </c>
    </row>
    <row r="62" spans="1:26" ht="15.75" customHeight="1" x14ac:dyDescent="0.3">
      <c r="A62" s="16" t="str">
        <f t="shared" si="4"/>
        <v/>
      </c>
      <c r="B62" s="28"/>
      <c r="C62" s="29"/>
      <c r="D62" s="16"/>
      <c r="E62" s="16"/>
      <c r="F62" s="16"/>
      <c r="G62" s="16"/>
      <c r="H62" s="16"/>
      <c r="I62" s="31"/>
      <c r="J62" s="15"/>
      <c r="K62" s="15"/>
      <c r="L62" s="15"/>
      <c r="M62" s="16"/>
      <c r="N62" s="17"/>
      <c r="O62" s="19" t="str">
        <f t="shared" si="0"/>
        <v/>
      </c>
      <c r="P62" s="17"/>
      <c r="Q62" s="17" t="str">
        <f t="shared" ca="1" si="1"/>
        <v/>
      </c>
      <c r="R62" s="21" t="str">
        <f ca="1">IF($Q62="","",IF($Q62&lt;=Settings!$B$8,Settings!$C$8,IF($Q62&lt;=Settings!$B$9,Settings!$C$9,IF($Q62&lt;=Settings!$B$10,Settings!$C$10,IF($Q62&lt;=Settings!$B$11,Settings!$C$11,Settings!$C$12)))))</f>
        <v/>
      </c>
      <c r="S62" s="21" t="str">
        <f>IF($F62="","",IFERROR(VLOOKUP($F62,Settings!$E$8:$F$11,2,FALSE),0))</f>
        <v/>
      </c>
      <c r="T62" s="21">
        <f>IF($G62="",Settings!$B$16,1)</f>
        <v>1</v>
      </c>
      <c r="U62" s="21" t="str">
        <f t="shared" si="2"/>
        <v/>
      </c>
      <c r="V62" s="32" t="str">
        <f>IF($C62="","",IF($Q62&gt;Settings!$B$4,IF($G62="","|","")&amp;"OLD_7D","")&amp;IF($Q62&gt;Settings!$B$5,IF(OR($G62="", $Q62&gt;Settings!$B$4),"|","")&amp;"OLD_30D",""))</f>
        <v/>
      </c>
      <c r="W62" s="21" t="str">
        <f>IF(OR($C62="", $M62&lt;&gt;"APPROVED",$I62="", $U62=0),"",SUMIFS($U$3:$U$502,$H$3:$H$502,$H62,$M$3:$M$502,"APPROVED",$Q$3:$Q$502,"&lt;="&amp;Settings!$B$4,$I$3:$I$502,"&lt;="&amp;$I62))</f>
        <v/>
      </c>
      <c r="X62" s="21" t="str">
        <f>IF(OR($C62="", $M62&lt;&gt;"APPROVED",$I62="", $U62=0),"",SUMIFS($U$3:$U$502,$H$3:$H$502,$H62,$M$3:$M$502,"APPROVED",$Q$3:$Q$502,"&lt;="&amp;Settings!$B$5,$I$3:$I$502,"&lt;="&amp;$I62))</f>
        <v/>
      </c>
      <c r="Y62" s="21" t="str">
        <f>IF($P62="","",IFERROR(MATCH($P62,Lists!$H$2:$H$4,0),""))</f>
        <v/>
      </c>
      <c r="Z62" s="21" t="str">
        <f t="shared" si="3"/>
        <v/>
      </c>
    </row>
    <row r="63" spans="1:26" ht="15.75" customHeight="1" x14ac:dyDescent="0.3">
      <c r="A63" s="16" t="str">
        <f t="shared" si="4"/>
        <v/>
      </c>
      <c r="B63" s="28"/>
      <c r="C63" s="29"/>
      <c r="D63" s="16"/>
      <c r="E63" s="16"/>
      <c r="F63" s="16"/>
      <c r="G63" s="16"/>
      <c r="H63" s="16"/>
      <c r="I63" s="31"/>
      <c r="J63" s="15"/>
      <c r="K63" s="15"/>
      <c r="L63" s="15"/>
      <c r="M63" s="16"/>
      <c r="N63" s="17"/>
      <c r="O63" s="19" t="str">
        <f t="shared" si="0"/>
        <v/>
      </c>
      <c r="P63" s="17"/>
      <c r="Q63" s="17" t="str">
        <f t="shared" ca="1" si="1"/>
        <v/>
      </c>
      <c r="R63" s="21" t="str">
        <f ca="1">IF($Q63="","",IF($Q63&lt;=Settings!$B$8,Settings!$C$8,IF($Q63&lt;=Settings!$B$9,Settings!$C$9,IF($Q63&lt;=Settings!$B$10,Settings!$C$10,IF($Q63&lt;=Settings!$B$11,Settings!$C$11,Settings!$C$12)))))</f>
        <v/>
      </c>
      <c r="S63" s="21" t="str">
        <f>IF($F63="","",IFERROR(VLOOKUP($F63,Settings!$E$8:$F$11,2,FALSE),0))</f>
        <v/>
      </c>
      <c r="T63" s="21">
        <f>IF($G63="",Settings!$B$16,1)</f>
        <v>1</v>
      </c>
      <c r="U63" s="21" t="str">
        <f t="shared" si="2"/>
        <v/>
      </c>
      <c r="V63" s="32" t="str">
        <f>IF($C63="","",IF($Q63&gt;Settings!$B$4,IF($G63="","|","")&amp;"OLD_7D","")&amp;IF($Q63&gt;Settings!$B$5,IF(OR($G63="", $Q63&gt;Settings!$B$4),"|","")&amp;"OLD_30D",""))</f>
        <v/>
      </c>
      <c r="W63" s="21" t="str">
        <f>IF(OR($C63="", $M63&lt;&gt;"APPROVED",$I63="", $U63=0),"",SUMIFS($U$3:$U$502,$H$3:$H$502,$H63,$M$3:$M$502,"APPROVED",$Q$3:$Q$502,"&lt;="&amp;Settings!$B$4,$I$3:$I$502,"&lt;="&amp;$I63))</f>
        <v/>
      </c>
      <c r="X63" s="21" t="str">
        <f>IF(OR($C63="", $M63&lt;&gt;"APPROVED",$I63="", $U63=0),"",SUMIFS($U$3:$U$502,$H$3:$H$502,$H63,$M$3:$M$502,"APPROVED",$Q$3:$Q$502,"&lt;="&amp;Settings!$B$5,$I$3:$I$502,"&lt;="&amp;$I63))</f>
        <v/>
      </c>
      <c r="Y63" s="21" t="str">
        <f>IF($P63="","",IFERROR(MATCH($P63,Lists!$H$2:$H$4,0),""))</f>
        <v/>
      </c>
      <c r="Z63" s="21" t="str">
        <f t="shared" si="3"/>
        <v/>
      </c>
    </row>
    <row r="64" spans="1:26" ht="15.75" customHeight="1" x14ac:dyDescent="0.3">
      <c r="A64" s="16" t="str">
        <f t="shared" si="4"/>
        <v/>
      </c>
      <c r="B64" s="28"/>
      <c r="C64" s="29"/>
      <c r="D64" s="16"/>
      <c r="E64" s="16"/>
      <c r="F64" s="16"/>
      <c r="G64" s="16"/>
      <c r="H64" s="16"/>
      <c r="I64" s="31"/>
      <c r="J64" s="15"/>
      <c r="K64" s="15"/>
      <c r="L64" s="15"/>
      <c r="M64" s="16"/>
      <c r="N64" s="17"/>
      <c r="O64" s="19" t="str">
        <f t="shared" si="0"/>
        <v/>
      </c>
      <c r="P64" s="17"/>
      <c r="Q64" s="17" t="str">
        <f t="shared" ca="1" si="1"/>
        <v/>
      </c>
      <c r="R64" s="21" t="str">
        <f ca="1">IF($Q64="","",IF($Q64&lt;=Settings!$B$8,Settings!$C$8,IF($Q64&lt;=Settings!$B$9,Settings!$C$9,IF($Q64&lt;=Settings!$B$10,Settings!$C$10,IF($Q64&lt;=Settings!$B$11,Settings!$C$11,Settings!$C$12)))))</f>
        <v/>
      </c>
      <c r="S64" s="21" t="str">
        <f>IF($F64="","",IFERROR(VLOOKUP($F64,Settings!$E$8:$F$11,2,FALSE),0))</f>
        <v/>
      </c>
      <c r="T64" s="21">
        <f>IF($G64="",Settings!$B$16,1)</f>
        <v>1</v>
      </c>
      <c r="U64" s="21" t="str">
        <f t="shared" si="2"/>
        <v/>
      </c>
      <c r="V64" s="32" t="str">
        <f>IF($C64="","",IF($Q64&gt;Settings!$B$4,IF($G64="","|","")&amp;"OLD_7D","")&amp;IF($Q64&gt;Settings!$B$5,IF(OR($G64="", $Q64&gt;Settings!$B$4),"|","")&amp;"OLD_30D",""))</f>
        <v/>
      </c>
      <c r="W64" s="21" t="str">
        <f>IF(OR($C64="", $M64&lt;&gt;"APPROVED",$I64="", $U64=0),"",SUMIFS($U$3:$U$502,$H$3:$H$502,$H64,$M$3:$M$502,"APPROVED",$Q$3:$Q$502,"&lt;="&amp;Settings!$B$4,$I$3:$I$502,"&lt;="&amp;$I64))</f>
        <v/>
      </c>
      <c r="X64" s="21" t="str">
        <f>IF(OR($C64="", $M64&lt;&gt;"APPROVED",$I64="", $U64=0),"",SUMIFS($U$3:$U$502,$H$3:$H$502,$H64,$M$3:$M$502,"APPROVED",$Q$3:$Q$502,"&lt;="&amp;Settings!$B$5,$I$3:$I$502,"&lt;="&amp;$I64))</f>
        <v/>
      </c>
      <c r="Y64" s="21" t="str">
        <f>IF($P64="","",IFERROR(MATCH($P64,Lists!$H$2:$H$4,0),""))</f>
        <v/>
      </c>
      <c r="Z64" s="21" t="str">
        <f t="shared" si="3"/>
        <v/>
      </c>
    </row>
    <row r="65" spans="1:26" ht="15.75" customHeight="1" x14ac:dyDescent="0.3">
      <c r="A65" s="16" t="str">
        <f t="shared" si="4"/>
        <v/>
      </c>
      <c r="B65" s="28"/>
      <c r="C65" s="29"/>
      <c r="D65" s="16"/>
      <c r="E65" s="16"/>
      <c r="F65" s="16"/>
      <c r="G65" s="16"/>
      <c r="H65" s="16"/>
      <c r="I65" s="31"/>
      <c r="J65" s="15"/>
      <c r="K65" s="15"/>
      <c r="L65" s="15"/>
      <c r="M65" s="16"/>
      <c r="N65" s="17"/>
      <c r="O65" s="19" t="str">
        <f t="shared" si="0"/>
        <v/>
      </c>
      <c r="P65" s="17"/>
      <c r="Q65" s="17" t="str">
        <f t="shared" ca="1" si="1"/>
        <v/>
      </c>
      <c r="R65" s="21" t="str">
        <f ca="1">IF($Q65="","",IF($Q65&lt;=Settings!$B$8,Settings!$C$8,IF($Q65&lt;=Settings!$B$9,Settings!$C$9,IF($Q65&lt;=Settings!$B$10,Settings!$C$10,IF($Q65&lt;=Settings!$B$11,Settings!$C$11,Settings!$C$12)))))</f>
        <v/>
      </c>
      <c r="S65" s="21" t="str">
        <f>IF($F65="","",IFERROR(VLOOKUP($F65,Settings!$E$8:$F$11,2,FALSE),0))</f>
        <v/>
      </c>
      <c r="T65" s="21">
        <f>IF($G65="",Settings!$B$16,1)</f>
        <v>1</v>
      </c>
      <c r="U65" s="21" t="str">
        <f t="shared" si="2"/>
        <v/>
      </c>
      <c r="V65" s="32" t="str">
        <f>IF($C65="","",IF($Q65&gt;Settings!$B$4,IF($G65="","|","")&amp;"OLD_7D","")&amp;IF($Q65&gt;Settings!$B$5,IF(OR($G65="", $Q65&gt;Settings!$B$4),"|","")&amp;"OLD_30D",""))</f>
        <v/>
      </c>
      <c r="W65" s="21" t="str">
        <f>IF(OR($C65="", $M65&lt;&gt;"APPROVED",$I65="", $U65=0),"",SUMIFS($U$3:$U$502,$H$3:$H$502,$H65,$M$3:$M$502,"APPROVED",$Q$3:$Q$502,"&lt;="&amp;Settings!$B$4,$I$3:$I$502,"&lt;="&amp;$I65))</f>
        <v/>
      </c>
      <c r="X65" s="21" t="str">
        <f>IF(OR($C65="", $M65&lt;&gt;"APPROVED",$I65="", $U65=0),"",SUMIFS($U$3:$U$502,$H$3:$H$502,$H65,$M$3:$M$502,"APPROVED",$Q$3:$Q$502,"&lt;="&amp;Settings!$B$5,$I$3:$I$502,"&lt;="&amp;$I65))</f>
        <v/>
      </c>
      <c r="Y65" s="21" t="str">
        <f>IF($P65="","",IFERROR(MATCH($P65,Lists!$H$2:$H$4,0),""))</f>
        <v/>
      </c>
      <c r="Z65" s="21" t="str">
        <f t="shared" si="3"/>
        <v/>
      </c>
    </row>
    <row r="66" spans="1:26" ht="15.75" customHeight="1" x14ac:dyDescent="0.3">
      <c r="A66" s="16" t="str">
        <f t="shared" si="4"/>
        <v/>
      </c>
      <c r="B66" s="28"/>
      <c r="C66" s="29"/>
      <c r="D66" s="16"/>
      <c r="E66" s="16"/>
      <c r="F66" s="16"/>
      <c r="G66" s="16"/>
      <c r="H66" s="16"/>
      <c r="I66" s="31"/>
      <c r="J66" s="15"/>
      <c r="K66" s="15"/>
      <c r="L66" s="15"/>
      <c r="M66" s="16"/>
      <c r="N66" s="17"/>
      <c r="O66" s="19" t="str">
        <f t="shared" si="0"/>
        <v/>
      </c>
      <c r="P66" s="17"/>
      <c r="Q66" s="17" t="str">
        <f t="shared" ca="1" si="1"/>
        <v/>
      </c>
      <c r="R66" s="21" t="str">
        <f ca="1">IF($Q66="","",IF($Q66&lt;=Settings!$B$8,Settings!$C$8,IF($Q66&lt;=Settings!$B$9,Settings!$C$9,IF($Q66&lt;=Settings!$B$10,Settings!$C$10,IF($Q66&lt;=Settings!$B$11,Settings!$C$11,Settings!$C$12)))))</f>
        <v/>
      </c>
      <c r="S66" s="21" t="str">
        <f>IF($F66="","",IFERROR(VLOOKUP($F66,Settings!$E$8:$F$11,2,FALSE),0))</f>
        <v/>
      </c>
      <c r="T66" s="21">
        <f>IF($G66="",Settings!$B$16,1)</f>
        <v>1</v>
      </c>
      <c r="U66" s="21" t="str">
        <f t="shared" si="2"/>
        <v/>
      </c>
      <c r="V66" s="32" t="str">
        <f>IF($C66="","",IF($Q66&gt;Settings!$B$4,IF($G66="","|","")&amp;"OLD_7D","")&amp;IF($Q66&gt;Settings!$B$5,IF(OR($G66="", $Q66&gt;Settings!$B$4),"|","")&amp;"OLD_30D",""))</f>
        <v/>
      </c>
      <c r="W66" s="21" t="str">
        <f>IF(OR($C66="", $M66&lt;&gt;"APPROVED",$I66="", $U66=0),"",SUMIFS($U$3:$U$502,$H$3:$H$502,$H66,$M$3:$M$502,"APPROVED",$Q$3:$Q$502,"&lt;="&amp;Settings!$B$4,$I$3:$I$502,"&lt;="&amp;$I66))</f>
        <v/>
      </c>
      <c r="X66" s="21" t="str">
        <f>IF(OR($C66="", $M66&lt;&gt;"APPROVED",$I66="", $U66=0),"",SUMIFS($U$3:$U$502,$H$3:$H$502,$H66,$M$3:$M$502,"APPROVED",$Q$3:$Q$502,"&lt;="&amp;Settings!$B$5,$I$3:$I$502,"&lt;="&amp;$I66))</f>
        <v/>
      </c>
      <c r="Y66" s="21" t="str">
        <f>IF($P66="","",IFERROR(MATCH($P66,Lists!$H$2:$H$4,0),""))</f>
        <v/>
      </c>
      <c r="Z66" s="21" t="str">
        <f t="shared" si="3"/>
        <v/>
      </c>
    </row>
    <row r="67" spans="1:26" ht="15.75" customHeight="1" x14ac:dyDescent="0.3">
      <c r="A67" s="16" t="str">
        <f t="shared" si="4"/>
        <v/>
      </c>
      <c r="B67" s="28"/>
      <c r="C67" s="29"/>
      <c r="D67" s="16"/>
      <c r="E67" s="16"/>
      <c r="F67" s="16"/>
      <c r="G67" s="16"/>
      <c r="H67" s="16"/>
      <c r="I67" s="31"/>
      <c r="J67" s="15"/>
      <c r="K67" s="15"/>
      <c r="L67" s="15"/>
      <c r="M67" s="16"/>
      <c r="N67" s="17"/>
      <c r="O67" s="19" t="str">
        <f t="shared" si="0"/>
        <v/>
      </c>
      <c r="P67" s="17"/>
      <c r="Q67" s="17" t="str">
        <f t="shared" ca="1" si="1"/>
        <v/>
      </c>
      <c r="R67" s="21" t="str">
        <f ca="1">IF($Q67="","",IF($Q67&lt;=Settings!$B$8,Settings!$C$8,IF($Q67&lt;=Settings!$B$9,Settings!$C$9,IF($Q67&lt;=Settings!$B$10,Settings!$C$10,IF($Q67&lt;=Settings!$B$11,Settings!$C$11,Settings!$C$12)))))</f>
        <v/>
      </c>
      <c r="S67" s="21" t="str">
        <f>IF($F67="","",IFERROR(VLOOKUP($F67,Settings!$E$8:$F$11,2,FALSE),0))</f>
        <v/>
      </c>
      <c r="T67" s="21">
        <f>IF($G67="",Settings!$B$16,1)</f>
        <v>1</v>
      </c>
      <c r="U67" s="21" t="str">
        <f t="shared" si="2"/>
        <v/>
      </c>
      <c r="V67" s="32" t="str">
        <f>IF($C67="","",IF($Q67&gt;Settings!$B$4,IF($G67="","|","")&amp;"OLD_7D","")&amp;IF($Q67&gt;Settings!$B$5,IF(OR($G67="", $Q67&gt;Settings!$B$4),"|","")&amp;"OLD_30D",""))</f>
        <v/>
      </c>
      <c r="W67" s="21" t="str">
        <f>IF(OR($C67="", $M67&lt;&gt;"APPROVED",$I67="", $U67=0),"",SUMIFS($U$3:$U$502,$H$3:$H$502,$H67,$M$3:$M$502,"APPROVED",$Q$3:$Q$502,"&lt;="&amp;Settings!$B$4,$I$3:$I$502,"&lt;="&amp;$I67))</f>
        <v/>
      </c>
      <c r="X67" s="21" t="str">
        <f>IF(OR($C67="", $M67&lt;&gt;"APPROVED",$I67="", $U67=0),"",SUMIFS($U$3:$U$502,$H$3:$H$502,$H67,$M$3:$M$502,"APPROVED",$Q$3:$Q$502,"&lt;="&amp;Settings!$B$5,$I$3:$I$502,"&lt;="&amp;$I67))</f>
        <v/>
      </c>
      <c r="Y67" s="21" t="str">
        <f>IF($P67="","",IFERROR(MATCH($P67,Lists!$H$2:$H$4,0),""))</f>
        <v/>
      </c>
      <c r="Z67" s="21" t="str">
        <f t="shared" si="3"/>
        <v/>
      </c>
    </row>
    <row r="68" spans="1:26" ht="15.75" customHeight="1" x14ac:dyDescent="0.3">
      <c r="A68" s="16" t="str">
        <f t="shared" si="4"/>
        <v/>
      </c>
      <c r="B68" s="28"/>
      <c r="C68" s="29"/>
      <c r="D68" s="16"/>
      <c r="E68" s="16"/>
      <c r="F68" s="16"/>
      <c r="G68" s="16"/>
      <c r="H68" s="16"/>
      <c r="I68" s="31"/>
      <c r="J68" s="15"/>
      <c r="K68" s="15"/>
      <c r="L68" s="15"/>
      <c r="M68" s="16"/>
      <c r="N68" s="17"/>
      <c r="O68" s="19" t="str">
        <f t="shared" si="0"/>
        <v/>
      </c>
      <c r="P68" s="17"/>
      <c r="Q68" s="17" t="str">
        <f t="shared" ca="1" si="1"/>
        <v/>
      </c>
      <c r="R68" s="21" t="str">
        <f ca="1">IF($Q68="","",IF($Q68&lt;=Settings!$B$8,Settings!$C$8,IF($Q68&lt;=Settings!$B$9,Settings!$C$9,IF($Q68&lt;=Settings!$B$10,Settings!$C$10,IF($Q68&lt;=Settings!$B$11,Settings!$C$11,Settings!$C$12)))))</f>
        <v/>
      </c>
      <c r="S68" s="21" t="str">
        <f>IF($F68="","",IFERROR(VLOOKUP($F68,Settings!$E$8:$F$11,2,FALSE),0))</f>
        <v/>
      </c>
      <c r="T68" s="21">
        <f>IF($G68="",Settings!$B$16,1)</f>
        <v>1</v>
      </c>
      <c r="U68" s="21" t="str">
        <f t="shared" si="2"/>
        <v/>
      </c>
      <c r="V68" s="32" t="str">
        <f>IF($C68="","",IF($Q68&gt;Settings!$B$4,IF($G68="","|","")&amp;"OLD_7D","")&amp;IF($Q68&gt;Settings!$B$5,IF(OR($G68="", $Q68&gt;Settings!$B$4),"|","")&amp;"OLD_30D",""))</f>
        <v/>
      </c>
      <c r="W68" s="21" t="str">
        <f>IF(OR($C68="", $M68&lt;&gt;"APPROVED",$I68="", $U68=0),"",SUMIFS($U$3:$U$502,$H$3:$H$502,$H68,$M$3:$M$502,"APPROVED",$Q$3:$Q$502,"&lt;="&amp;Settings!$B$4,$I$3:$I$502,"&lt;="&amp;$I68))</f>
        <v/>
      </c>
      <c r="X68" s="21" t="str">
        <f>IF(OR($C68="", $M68&lt;&gt;"APPROVED",$I68="", $U68=0),"",SUMIFS($U$3:$U$502,$H$3:$H$502,$H68,$M$3:$M$502,"APPROVED",$Q$3:$Q$502,"&lt;="&amp;Settings!$B$5,$I$3:$I$502,"&lt;="&amp;$I68))</f>
        <v/>
      </c>
      <c r="Y68" s="21" t="str">
        <f>IF($P68="","",IFERROR(MATCH($P68,Lists!$H$2:$H$4,0),""))</f>
        <v/>
      </c>
      <c r="Z68" s="21" t="str">
        <f t="shared" si="3"/>
        <v/>
      </c>
    </row>
    <row r="69" spans="1:26" ht="15.75" customHeight="1" x14ac:dyDescent="0.3">
      <c r="A69" s="16" t="str">
        <f t="shared" si="4"/>
        <v/>
      </c>
      <c r="B69" s="28"/>
      <c r="C69" s="29"/>
      <c r="D69" s="16"/>
      <c r="E69" s="16"/>
      <c r="F69" s="16"/>
      <c r="G69" s="16"/>
      <c r="H69" s="16"/>
      <c r="I69" s="31"/>
      <c r="J69" s="15"/>
      <c r="K69" s="15"/>
      <c r="L69" s="15"/>
      <c r="M69" s="16"/>
      <c r="N69" s="17"/>
      <c r="O69" s="19" t="str">
        <f t="shared" si="0"/>
        <v/>
      </c>
      <c r="P69" s="17"/>
      <c r="Q69" s="17" t="str">
        <f t="shared" ca="1" si="1"/>
        <v/>
      </c>
      <c r="R69" s="21" t="str">
        <f ca="1">IF($Q69="","",IF($Q69&lt;=Settings!$B$8,Settings!$C$8,IF($Q69&lt;=Settings!$B$9,Settings!$C$9,IF($Q69&lt;=Settings!$B$10,Settings!$C$10,IF($Q69&lt;=Settings!$B$11,Settings!$C$11,Settings!$C$12)))))</f>
        <v/>
      </c>
      <c r="S69" s="21" t="str">
        <f>IF($F69="","",IFERROR(VLOOKUP($F69,Settings!$E$8:$F$11,2,FALSE),0))</f>
        <v/>
      </c>
      <c r="T69" s="21">
        <f>IF($G69="",Settings!$B$16,1)</f>
        <v>1</v>
      </c>
      <c r="U69" s="21" t="str">
        <f t="shared" si="2"/>
        <v/>
      </c>
      <c r="V69" s="32" t="str">
        <f>IF($C69="","",IF($Q69&gt;Settings!$B$4,IF($G69="","|","")&amp;"OLD_7D","")&amp;IF($Q69&gt;Settings!$B$5,IF(OR($G69="", $Q69&gt;Settings!$B$4),"|","")&amp;"OLD_30D",""))</f>
        <v/>
      </c>
      <c r="W69" s="21" t="str">
        <f>IF(OR($C69="", $M69&lt;&gt;"APPROVED",$I69="", $U69=0),"",SUMIFS($U$3:$U$502,$H$3:$H$502,$H69,$M$3:$M$502,"APPROVED",$Q$3:$Q$502,"&lt;="&amp;Settings!$B$4,$I$3:$I$502,"&lt;="&amp;$I69))</f>
        <v/>
      </c>
      <c r="X69" s="21" t="str">
        <f>IF(OR($C69="", $M69&lt;&gt;"APPROVED",$I69="", $U69=0),"",SUMIFS($U$3:$U$502,$H$3:$H$502,$H69,$M$3:$M$502,"APPROVED",$Q$3:$Q$502,"&lt;="&amp;Settings!$B$5,$I$3:$I$502,"&lt;="&amp;$I69))</f>
        <v/>
      </c>
      <c r="Y69" s="21" t="str">
        <f>IF($P69="","",IFERROR(MATCH($P69,Lists!$H$2:$H$4,0),""))</f>
        <v/>
      </c>
      <c r="Z69" s="21" t="str">
        <f t="shared" si="3"/>
        <v/>
      </c>
    </row>
    <row r="70" spans="1:26" ht="15.75" customHeight="1" x14ac:dyDescent="0.3">
      <c r="A70" s="16" t="str">
        <f t="shared" si="4"/>
        <v/>
      </c>
      <c r="B70" s="28"/>
      <c r="C70" s="29"/>
      <c r="D70" s="16"/>
      <c r="E70" s="16"/>
      <c r="F70" s="16"/>
      <c r="G70" s="16"/>
      <c r="H70" s="16"/>
      <c r="I70" s="31"/>
      <c r="J70" s="15"/>
      <c r="K70" s="15"/>
      <c r="L70" s="15"/>
      <c r="M70" s="16"/>
      <c r="N70" s="17"/>
      <c r="O70" s="19" t="str">
        <f t="shared" si="0"/>
        <v/>
      </c>
      <c r="P70" s="17"/>
      <c r="Q70" s="17" t="str">
        <f t="shared" ca="1" si="1"/>
        <v/>
      </c>
      <c r="R70" s="21" t="str">
        <f ca="1">IF($Q70="","",IF($Q70&lt;=Settings!$B$8,Settings!$C$8,IF($Q70&lt;=Settings!$B$9,Settings!$C$9,IF($Q70&lt;=Settings!$B$10,Settings!$C$10,IF($Q70&lt;=Settings!$B$11,Settings!$C$11,Settings!$C$12)))))</f>
        <v/>
      </c>
      <c r="S70" s="21" t="str">
        <f>IF($F70="","",IFERROR(VLOOKUP($F70,Settings!$E$8:$F$11,2,FALSE),0))</f>
        <v/>
      </c>
      <c r="T70" s="21">
        <f>IF($G70="",Settings!$B$16,1)</f>
        <v>1</v>
      </c>
      <c r="U70" s="21" t="str">
        <f t="shared" si="2"/>
        <v/>
      </c>
      <c r="V70" s="32" t="str">
        <f>IF($C70="","",IF($Q70&gt;Settings!$B$4,IF($G70="","|","")&amp;"OLD_7D","")&amp;IF($Q70&gt;Settings!$B$5,IF(OR($G70="", $Q70&gt;Settings!$B$4),"|","")&amp;"OLD_30D",""))</f>
        <v/>
      </c>
      <c r="W70" s="21" t="str">
        <f>IF(OR($C70="", $M70&lt;&gt;"APPROVED",$I70="", $U70=0),"",SUMIFS($U$3:$U$502,$H$3:$H$502,$H70,$M$3:$M$502,"APPROVED",$Q$3:$Q$502,"&lt;="&amp;Settings!$B$4,$I$3:$I$502,"&lt;="&amp;$I70))</f>
        <v/>
      </c>
      <c r="X70" s="21" t="str">
        <f>IF(OR($C70="", $M70&lt;&gt;"APPROVED",$I70="", $U70=0),"",SUMIFS($U$3:$U$502,$H$3:$H$502,$H70,$M$3:$M$502,"APPROVED",$Q$3:$Q$502,"&lt;="&amp;Settings!$B$5,$I$3:$I$502,"&lt;="&amp;$I70))</f>
        <v/>
      </c>
      <c r="Y70" s="21" t="str">
        <f>IF($P70="","",IFERROR(MATCH($P70,Lists!$H$2:$H$4,0),""))</f>
        <v/>
      </c>
      <c r="Z70" s="21" t="str">
        <f t="shared" si="3"/>
        <v/>
      </c>
    </row>
    <row r="71" spans="1:26" ht="15.75" customHeight="1" x14ac:dyDescent="0.3">
      <c r="A71" s="16" t="str">
        <f t="shared" si="4"/>
        <v/>
      </c>
      <c r="B71" s="28"/>
      <c r="C71" s="29"/>
      <c r="D71" s="16"/>
      <c r="E71" s="16"/>
      <c r="F71" s="16"/>
      <c r="G71" s="16"/>
      <c r="H71" s="16"/>
      <c r="I71" s="31"/>
      <c r="J71" s="15"/>
      <c r="K71" s="15"/>
      <c r="L71" s="15"/>
      <c r="M71" s="16"/>
      <c r="N71" s="17"/>
      <c r="O71" s="19" t="str">
        <f t="shared" si="0"/>
        <v/>
      </c>
      <c r="P71" s="17"/>
      <c r="Q71" s="17" t="str">
        <f t="shared" ca="1" si="1"/>
        <v/>
      </c>
      <c r="R71" s="21" t="str">
        <f ca="1">IF($Q71="","",IF($Q71&lt;=Settings!$B$8,Settings!$C$8,IF($Q71&lt;=Settings!$B$9,Settings!$C$9,IF($Q71&lt;=Settings!$B$10,Settings!$C$10,IF($Q71&lt;=Settings!$B$11,Settings!$C$11,Settings!$C$12)))))</f>
        <v/>
      </c>
      <c r="S71" s="21" t="str">
        <f>IF($F71="","",IFERROR(VLOOKUP($F71,Settings!$E$8:$F$11,2,FALSE),0))</f>
        <v/>
      </c>
      <c r="T71" s="21">
        <f>IF($G71="",Settings!$B$16,1)</f>
        <v>1</v>
      </c>
      <c r="U71" s="21" t="str">
        <f t="shared" si="2"/>
        <v/>
      </c>
      <c r="V71" s="32" t="str">
        <f>IF($C71="","",IF($Q71&gt;Settings!$B$4,IF($G71="","|","")&amp;"OLD_7D","")&amp;IF($Q71&gt;Settings!$B$5,IF(OR($G71="", $Q71&gt;Settings!$B$4),"|","")&amp;"OLD_30D",""))</f>
        <v/>
      </c>
      <c r="W71" s="21" t="str">
        <f>IF(OR($C71="", $M71&lt;&gt;"APPROVED",$I71="", $U71=0),"",SUMIFS($U$3:$U$502,$H$3:$H$502,$H71,$M$3:$M$502,"APPROVED",$Q$3:$Q$502,"&lt;="&amp;Settings!$B$4,$I$3:$I$502,"&lt;="&amp;$I71))</f>
        <v/>
      </c>
      <c r="X71" s="21" t="str">
        <f>IF(OR($C71="", $M71&lt;&gt;"APPROVED",$I71="", $U71=0),"",SUMIFS($U$3:$U$502,$H$3:$H$502,$H71,$M$3:$M$502,"APPROVED",$Q$3:$Q$502,"&lt;="&amp;Settings!$B$5,$I$3:$I$502,"&lt;="&amp;$I71))</f>
        <v/>
      </c>
      <c r="Y71" s="21" t="str">
        <f>IF($P71="","",IFERROR(MATCH($P71,Lists!$H$2:$H$4,0),""))</f>
        <v/>
      </c>
      <c r="Z71" s="21" t="str">
        <f t="shared" si="3"/>
        <v/>
      </c>
    </row>
    <row r="72" spans="1:26" ht="15.75" customHeight="1" x14ac:dyDescent="0.3">
      <c r="A72" s="16" t="str">
        <f t="shared" si="4"/>
        <v/>
      </c>
      <c r="B72" s="28"/>
      <c r="C72" s="29"/>
      <c r="D72" s="16"/>
      <c r="E72" s="16"/>
      <c r="F72" s="16"/>
      <c r="G72" s="16"/>
      <c r="H72" s="16"/>
      <c r="I72" s="31"/>
      <c r="J72" s="15"/>
      <c r="K72" s="15"/>
      <c r="L72" s="15"/>
      <c r="M72" s="16"/>
      <c r="N72" s="17"/>
      <c r="O72" s="19" t="str">
        <f t="shared" si="0"/>
        <v/>
      </c>
      <c r="P72" s="17"/>
      <c r="Q72" s="17" t="str">
        <f t="shared" ca="1" si="1"/>
        <v/>
      </c>
      <c r="R72" s="21" t="str">
        <f ca="1">IF($Q72="","",IF($Q72&lt;=Settings!$B$8,Settings!$C$8,IF($Q72&lt;=Settings!$B$9,Settings!$C$9,IF($Q72&lt;=Settings!$B$10,Settings!$C$10,IF($Q72&lt;=Settings!$B$11,Settings!$C$11,Settings!$C$12)))))</f>
        <v/>
      </c>
      <c r="S72" s="21" t="str">
        <f>IF($F72="","",IFERROR(VLOOKUP($F72,Settings!$E$8:$F$11,2,FALSE),0))</f>
        <v/>
      </c>
      <c r="T72" s="21">
        <f>IF($G72="",Settings!$B$16,1)</f>
        <v>1</v>
      </c>
      <c r="U72" s="21" t="str">
        <f t="shared" si="2"/>
        <v/>
      </c>
      <c r="V72" s="32" t="str">
        <f>IF($C72="","",IF($Q72&gt;Settings!$B$4,IF($G72="","|","")&amp;"OLD_7D","")&amp;IF($Q72&gt;Settings!$B$5,IF(OR($G72="", $Q72&gt;Settings!$B$4),"|","")&amp;"OLD_30D",""))</f>
        <v/>
      </c>
      <c r="W72" s="21" t="str">
        <f>IF(OR($C72="", $M72&lt;&gt;"APPROVED",$I72="", $U72=0),"",SUMIFS($U$3:$U$502,$H$3:$H$502,$H72,$M$3:$M$502,"APPROVED",$Q$3:$Q$502,"&lt;="&amp;Settings!$B$4,$I$3:$I$502,"&lt;="&amp;$I72))</f>
        <v/>
      </c>
      <c r="X72" s="21" t="str">
        <f>IF(OR($C72="", $M72&lt;&gt;"APPROVED",$I72="", $U72=0),"",SUMIFS($U$3:$U$502,$H$3:$H$502,$H72,$M$3:$M$502,"APPROVED",$Q$3:$Q$502,"&lt;="&amp;Settings!$B$5,$I$3:$I$502,"&lt;="&amp;$I72))</f>
        <v/>
      </c>
      <c r="Y72" s="21" t="str">
        <f>IF($P72="","",IFERROR(MATCH($P72,Lists!$H$2:$H$4,0),""))</f>
        <v/>
      </c>
      <c r="Z72" s="21" t="str">
        <f t="shared" si="3"/>
        <v/>
      </c>
    </row>
    <row r="73" spans="1:26" ht="15.75" customHeight="1" x14ac:dyDescent="0.3">
      <c r="A73" s="16" t="str">
        <f t="shared" si="4"/>
        <v/>
      </c>
      <c r="B73" s="28"/>
      <c r="C73" s="29"/>
      <c r="D73" s="16"/>
      <c r="E73" s="16"/>
      <c r="F73" s="16"/>
      <c r="G73" s="16"/>
      <c r="H73" s="16"/>
      <c r="I73" s="31"/>
      <c r="J73" s="15"/>
      <c r="K73" s="15"/>
      <c r="L73" s="15"/>
      <c r="M73" s="16"/>
      <c r="N73" s="17"/>
      <c r="O73" s="19" t="str">
        <f t="shared" si="0"/>
        <v/>
      </c>
      <c r="P73" s="17"/>
      <c r="Q73" s="17" t="str">
        <f t="shared" ca="1" si="1"/>
        <v/>
      </c>
      <c r="R73" s="21" t="str">
        <f ca="1">IF($Q73="","",IF($Q73&lt;=Settings!$B$8,Settings!$C$8,IF($Q73&lt;=Settings!$B$9,Settings!$C$9,IF($Q73&lt;=Settings!$B$10,Settings!$C$10,IF($Q73&lt;=Settings!$B$11,Settings!$C$11,Settings!$C$12)))))</f>
        <v/>
      </c>
      <c r="S73" s="21" t="str">
        <f>IF($F73="","",IFERROR(VLOOKUP($F73,Settings!$E$8:$F$11,2,FALSE),0))</f>
        <v/>
      </c>
      <c r="T73" s="21">
        <f>IF($G73="",Settings!$B$16,1)</f>
        <v>1</v>
      </c>
      <c r="U73" s="21" t="str">
        <f t="shared" si="2"/>
        <v/>
      </c>
      <c r="V73" s="32" t="str">
        <f>IF($C73="","",IF($Q73&gt;Settings!$B$4,IF($G73="","|","")&amp;"OLD_7D","")&amp;IF($Q73&gt;Settings!$B$5,IF(OR($G73="", $Q73&gt;Settings!$B$4),"|","")&amp;"OLD_30D",""))</f>
        <v/>
      </c>
      <c r="W73" s="21" t="str">
        <f>IF(OR($C73="", $M73&lt;&gt;"APPROVED",$I73="", $U73=0),"",SUMIFS($U$3:$U$502,$H$3:$H$502,$H73,$M$3:$M$502,"APPROVED",$Q$3:$Q$502,"&lt;="&amp;Settings!$B$4,$I$3:$I$502,"&lt;="&amp;$I73))</f>
        <v/>
      </c>
      <c r="X73" s="21" t="str">
        <f>IF(OR($C73="", $M73&lt;&gt;"APPROVED",$I73="", $U73=0),"",SUMIFS($U$3:$U$502,$H$3:$H$502,$H73,$M$3:$M$502,"APPROVED",$Q$3:$Q$502,"&lt;="&amp;Settings!$B$5,$I$3:$I$502,"&lt;="&amp;$I73))</f>
        <v/>
      </c>
      <c r="Y73" s="21" t="str">
        <f>IF($P73="","",IFERROR(MATCH($P73,Lists!$H$2:$H$4,0),""))</f>
        <v/>
      </c>
      <c r="Z73" s="21" t="str">
        <f t="shared" si="3"/>
        <v/>
      </c>
    </row>
    <row r="74" spans="1:26" ht="15.75" customHeight="1" x14ac:dyDescent="0.3">
      <c r="A74" s="16" t="str">
        <f t="shared" si="4"/>
        <v/>
      </c>
      <c r="B74" s="28"/>
      <c r="C74" s="29"/>
      <c r="D74" s="16"/>
      <c r="E74" s="16"/>
      <c r="F74" s="16"/>
      <c r="G74" s="16"/>
      <c r="H74" s="16"/>
      <c r="I74" s="31"/>
      <c r="J74" s="15"/>
      <c r="K74" s="15"/>
      <c r="L74" s="15"/>
      <c r="M74" s="16"/>
      <c r="N74" s="17"/>
      <c r="O74" s="19" t="str">
        <f t="shared" si="0"/>
        <v/>
      </c>
      <c r="P74" s="17"/>
      <c r="Q74" s="17" t="str">
        <f t="shared" ca="1" si="1"/>
        <v/>
      </c>
      <c r="R74" s="21" t="str">
        <f ca="1">IF($Q74="","",IF($Q74&lt;=Settings!$B$8,Settings!$C$8,IF($Q74&lt;=Settings!$B$9,Settings!$C$9,IF($Q74&lt;=Settings!$B$10,Settings!$C$10,IF($Q74&lt;=Settings!$B$11,Settings!$C$11,Settings!$C$12)))))</f>
        <v/>
      </c>
      <c r="S74" s="21" t="str">
        <f>IF($F74="","",IFERROR(VLOOKUP($F74,Settings!$E$8:$F$11,2,FALSE),0))</f>
        <v/>
      </c>
      <c r="T74" s="21">
        <f>IF($G74="",Settings!$B$16,1)</f>
        <v>1</v>
      </c>
      <c r="U74" s="21" t="str">
        <f t="shared" si="2"/>
        <v/>
      </c>
      <c r="V74" s="32" t="str">
        <f>IF($C74="","",IF($Q74&gt;Settings!$B$4,IF($G74="","|","")&amp;"OLD_7D","")&amp;IF($Q74&gt;Settings!$B$5,IF(OR($G74="", $Q74&gt;Settings!$B$4),"|","")&amp;"OLD_30D",""))</f>
        <v/>
      </c>
      <c r="W74" s="21" t="str">
        <f>IF(OR($C74="", $M74&lt;&gt;"APPROVED",$I74="", $U74=0),"",SUMIFS($U$3:$U$502,$H$3:$H$502,$H74,$M$3:$M$502,"APPROVED",$Q$3:$Q$502,"&lt;="&amp;Settings!$B$4,$I$3:$I$502,"&lt;="&amp;$I74))</f>
        <v/>
      </c>
      <c r="X74" s="21" t="str">
        <f>IF(OR($C74="", $M74&lt;&gt;"APPROVED",$I74="", $U74=0),"",SUMIFS($U$3:$U$502,$H$3:$H$502,$H74,$M$3:$M$502,"APPROVED",$Q$3:$Q$502,"&lt;="&amp;Settings!$B$5,$I$3:$I$502,"&lt;="&amp;$I74))</f>
        <v/>
      </c>
      <c r="Y74" s="21" t="str">
        <f>IF($P74="","",IFERROR(MATCH($P74,Lists!$H$2:$H$4,0),""))</f>
        <v/>
      </c>
      <c r="Z74" s="21" t="str">
        <f t="shared" si="3"/>
        <v/>
      </c>
    </row>
    <row r="75" spans="1:26" ht="15.75" customHeight="1" x14ac:dyDescent="0.3">
      <c r="A75" s="16" t="str">
        <f t="shared" si="4"/>
        <v/>
      </c>
      <c r="B75" s="28"/>
      <c r="C75" s="29"/>
      <c r="D75" s="16"/>
      <c r="E75" s="16"/>
      <c r="F75" s="16"/>
      <c r="G75" s="16"/>
      <c r="H75" s="16"/>
      <c r="I75" s="31"/>
      <c r="J75" s="15"/>
      <c r="K75" s="15"/>
      <c r="L75" s="15"/>
      <c r="M75" s="16"/>
      <c r="N75" s="17"/>
      <c r="O75" s="19" t="str">
        <f t="shared" si="0"/>
        <v/>
      </c>
      <c r="P75" s="17"/>
      <c r="Q75" s="17" t="str">
        <f t="shared" ca="1" si="1"/>
        <v/>
      </c>
      <c r="R75" s="21" t="str">
        <f ca="1">IF($Q75="","",IF($Q75&lt;=Settings!$B$8,Settings!$C$8,IF($Q75&lt;=Settings!$B$9,Settings!$C$9,IF($Q75&lt;=Settings!$B$10,Settings!$C$10,IF($Q75&lt;=Settings!$B$11,Settings!$C$11,Settings!$C$12)))))</f>
        <v/>
      </c>
      <c r="S75" s="21" t="str">
        <f>IF($F75="","",IFERROR(VLOOKUP($F75,Settings!$E$8:$F$11,2,FALSE),0))</f>
        <v/>
      </c>
      <c r="T75" s="21">
        <f>IF($G75="",Settings!$B$16,1)</f>
        <v>1</v>
      </c>
      <c r="U75" s="21" t="str">
        <f t="shared" si="2"/>
        <v/>
      </c>
      <c r="V75" s="32" t="str">
        <f>IF($C75="","",IF($Q75&gt;Settings!$B$4,IF($G75="","|","")&amp;"OLD_7D","")&amp;IF($Q75&gt;Settings!$B$5,IF(OR($G75="", $Q75&gt;Settings!$B$4),"|","")&amp;"OLD_30D",""))</f>
        <v/>
      </c>
      <c r="W75" s="21" t="str">
        <f>IF(OR($C75="", $M75&lt;&gt;"APPROVED",$I75="", $U75=0),"",SUMIFS($U$3:$U$502,$H$3:$H$502,$H75,$M$3:$M$502,"APPROVED",$Q$3:$Q$502,"&lt;="&amp;Settings!$B$4,$I$3:$I$502,"&lt;="&amp;$I75))</f>
        <v/>
      </c>
      <c r="X75" s="21" t="str">
        <f>IF(OR($C75="", $M75&lt;&gt;"APPROVED",$I75="", $U75=0),"",SUMIFS($U$3:$U$502,$H$3:$H$502,$H75,$M$3:$M$502,"APPROVED",$Q$3:$Q$502,"&lt;="&amp;Settings!$B$5,$I$3:$I$502,"&lt;="&amp;$I75))</f>
        <v/>
      </c>
      <c r="Y75" s="21" t="str">
        <f>IF($P75="","",IFERROR(MATCH($P75,Lists!$H$2:$H$4,0),""))</f>
        <v/>
      </c>
      <c r="Z75" s="21" t="str">
        <f t="shared" si="3"/>
        <v/>
      </c>
    </row>
    <row r="76" spans="1:26" ht="15.75" customHeight="1" x14ac:dyDescent="0.3">
      <c r="A76" s="16" t="str">
        <f t="shared" si="4"/>
        <v/>
      </c>
      <c r="B76" s="28"/>
      <c r="C76" s="29"/>
      <c r="D76" s="16"/>
      <c r="E76" s="16"/>
      <c r="F76" s="16"/>
      <c r="G76" s="16"/>
      <c r="H76" s="16"/>
      <c r="I76" s="31"/>
      <c r="J76" s="15"/>
      <c r="K76" s="15"/>
      <c r="L76" s="15"/>
      <c r="M76" s="16"/>
      <c r="N76" s="17"/>
      <c r="O76" s="19" t="str">
        <f t="shared" si="0"/>
        <v/>
      </c>
      <c r="P76" s="17"/>
      <c r="Q76" s="17" t="str">
        <f t="shared" ca="1" si="1"/>
        <v/>
      </c>
      <c r="R76" s="21" t="str">
        <f ca="1">IF($Q76="","",IF($Q76&lt;=Settings!$B$8,Settings!$C$8,IF($Q76&lt;=Settings!$B$9,Settings!$C$9,IF($Q76&lt;=Settings!$B$10,Settings!$C$10,IF($Q76&lt;=Settings!$B$11,Settings!$C$11,Settings!$C$12)))))</f>
        <v/>
      </c>
      <c r="S76" s="21" t="str">
        <f>IF($F76="","",IFERROR(VLOOKUP($F76,Settings!$E$8:$F$11,2,FALSE),0))</f>
        <v/>
      </c>
      <c r="T76" s="21">
        <f>IF($G76="",Settings!$B$16,1)</f>
        <v>1</v>
      </c>
      <c r="U76" s="21" t="str">
        <f t="shared" si="2"/>
        <v/>
      </c>
      <c r="V76" s="32" t="str">
        <f>IF($C76="","",IF($Q76&gt;Settings!$B$4,IF($G76="","|","")&amp;"OLD_7D","")&amp;IF($Q76&gt;Settings!$B$5,IF(OR($G76="", $Q76&gt;Settings!$B$4),"|","")&amp;"OLD_30D",""))</f>
        <v/>
      </c>
      <c r="W76" s="21" t="str">
        <f>IF(OR($C76="", $M76&lt;&gt;"APPROVED",$I76="", $U76=0),"",SUMIFS($U$3:$U$502,$H$3:$H$502,$H76,$M$3:$M$502,"APPROVED",$Q$3:$Q$502,"&lt;="&amp;Settings!$B$4,$I$3:$I$502,"&lt;="&amp;$I76))</f>
        <v/>
      </c>
      <c r="X76" s="21" t="str">
        <f>IF(OR($C76="", $M76&lt;&gt;"APPROVED",$I76="", $U76=0),"",SUMIFS($U$3:$U$502,$H$3:$H$502,$H76,$M$3:$M$502,"APPROVED",$Q$3:$Q$502,"&lt;="&amp;Settings!$B$5,$I$3:$I$502,"&lt;="&amp;$I76))</f>
        <v/>
      </c>
      <c r="Y76" s="21" t="str">
        <f>IF($P76="","",IFERROR(MATCH($P76,Lists!$H$2:$H$4,0),""))</f>
        <v/>
      </c>
      <c r="Z76" s="21" t="str">
        <f t="shared" si="3"/>
        <v/>
      </c>
    </row>
    <row r="77" spans="1:26" ht="15.75" customHeight="1" x14ac:dyDescent="0.3">
      <c r="A77" s="16" t="str">
        <f t="shared" si="4"/>
        <v/>
      </c>
      <c r="B77" s="28"/>
      <c r="C77" s="29"/>
      <c r="D77" s="16"/>
      <c r="E77" s="16"/>
      <c r="F77" s="16"/>
      <c r="G77" s="16"/>
      <c r="H77" s="16"/>
      <c r="I77" s="31"/>
      <c r="J77" s="15"/>
      <c r="K77" s="15"/>
      <c r="L77" s="15"/>
      <c r="M77" s="16"/>
      <c r="N77" s="17"/>
      <c r="O77" s="19" t="str">
        <f t="shared" si="0"/>
        <v/>
      </c>
      <c r="P77" s="17"/>
      <c r="Q77" s="17" t="str">
        <f t="shared" ca="1" si="1"/>
        <v/>
      </c>
      <c r="R77" s="21" t="str">
        <f ca="1">IF($Q77="","",IF($Q77&lt;=Settings!$B$8,Settings!$C$8,IF($Q77&lt;=Settings!$B$9,Settings!$C$9,IF($Q77&lt;=Settings!$B$10,Settings!$C$10,IF($Q77&lt;=Settings!$B$11,Settings!$C$11,Settings!$C$12)))))</f>
        <v/>
      </c>
      <c r="S77" s="21" t="str">
        <f>IF($F77="","",IFERROR(VLOOKUP($F77,Settings!$E$8:$F$11,2,FALSE),0))</f>
        <v/>
      </c>
      <c r="T77" s="21">
        <f>IF($G77="",Settings!$B$16,1)</f>
        <v>1</v>
      </c>
      <c r="U77" s="21" t="str">
        <f t="shared" si="2"/>
        <v/>
      </c>
      <c r="V77" s="32" t="str">
        <f>IF($C77="","",IF($Q77&gt;Settings!$B$4,IF($G77="","|","")&amp;"OLD_7D","")&amp;IF($Q77&gt;Settings!$B$5,IF(OR($G77="", $Q77&gt;Settings!$B$4),"|","")&amp;"OLD_30D",""))</f>
        <v/>
      </c>
      <c r="W77" s="21" t="str">
        <f>IF(OR($C77="", $M77&lt;&gt;"APPROVED",$I77="", $U77=0),"",SUMIFS($U$3:$U$502,$H$3:$H$502,$H77,$M$3:$M$502,"APPROVED",$Q$3:$Q$502,"&lt;="&amp;Settings!$B$4,$I$3:$I$502,"&lt;="&amp;$I77))</f>
        <v/>
      </c>
      <c r="X77" s="21" t="str">
        <f>IF(OR($C77="", $M77&lt;&gt;"APPROVED",$I77="", $U77=0),"",SUMIFS($U$3:$U$502,$H$3:$H$502,$H77,$M$3:$M$502,"APPROVED",$Q$3:$Q$502,"&lt;="&amp;Settings!$B$5,$I$3:$I$502,"&lt;="&amp;$I77))</f>
        <v/>
      </c>
      <c r="Y77" s="21" t="str">
        <f>IF($P77="","",IFERROR(MATCH($P77,Lists!$H$2:$H$4,0),""))</f>
        <v/>
      </c>
      <c r="Z77" s="21" t="str">
        <f t="shared" si="3"/>
        <v/>
      </c>
    </row>
    <row r="78" spans="1:26" ht="15.75" customHeight="1" x14ac:dyDescent="0.3">
      <c r="A78" s="16" t="str">
        <f t="shared" si="4"/>
        <v/>
      </c>
      <c r="B78" s="28"/>
      <c r="C78" s="29"/>
      <c r="D78" s="16"/>
      <c r="E78" s="16"/>
      <c r="F78" s="16"/>
      <c r="G78" s="16"/>
      <c r="H78" s="16"/>
      <c r="I78" s="31"/>
      <c r="J78" s="15"/>
      <c r="K78" s="15"/>
      <c r="L78" s="15"/>
      <c r="M78" s="16"/>
      <c r="N78" s="17"/>
      <c r="O78" s="19" t="str">
        <f t="shared" si="0"/>
        <v/>
      </c>
      <c r="P78" s="17"/>
      <c r="Q78" s="17" t="str">
        <f t="shared" ca="1" si="1"/>
        <v/>
      </c>
      <c r="R78" s="21" t="str">
        <f ca="1">IF($Q78="","",IF($Q78&lt;=Settings!$B$8,Settings!$C$8,IF($Q78&lt;=Settings!$B$9,Settings!$C$9,IF($Q78&lt;=Settings!$B$10,Settings!$C$10,IF($Q78&lt;=Settings!$B$11,Settings!$C$11,Settings!$C$12)))))</f>
        <v/>
      </c>
      <c r="S78" s="21" t="str">
        <f>IF($F78="","",IFERROR(VLOOKUP($F78,Settings!$E$8:$F$11,2,FALSE),0))</f>
        <v/>
      </c>
      <c r="T78" s="21">
        <f>IF($G78="",Settings!$B$16,1)</f>
        <v>1</v>
      </c>
      <c r="U78" s="21" t="str">
        <f t="shared" si="2"/>
        <v/>
      </c>
      <c r="V78" s="32" t="str">
        <f>IF($C78="","",IF($Q78&gt;Settings!$B$4,IF($G78="","|","")&amp;"OLD_7D","")&amp;IF($Q78&gt;Settings!$B$5,IF(OR($G78="", $Q78&gt;Settings!$B$4),"|","")&amp;"OLD_30D",""))</f>
        <v/>
      </c>
      <c r="W78" s="21" t="str">
        <f>IF(OR($C78="", $M78&lt;&gt;"APPROVED",$I78="", $U78=0),"",SUMIFS($U$3:$U$502,$H$3:$H$502,$H78,$M$3:$M$502,"APPROVED",$Q$3:$Q$502,"&lt;="&amp;Settings!$B$4,$I$3:$I$502,"&lt;="&amp;$I78))</f>
        <v/>
      </c>
      <c r="X78" s="21" t="str">
        <f>IF(OR($C78="", $M78&lt;&gt;"APPROVED",$I78="", $U78=0),"",SUMIFS($U$3:$U$502,$H$3:$H$502,$H78,$M$3:$M$502,"APPROVED",$Q$3:$Q$502,"&lt;="&amp;Settings!$B$5,$I$3:$I$502,"&lt;="&amp;$I78))</f>
        <v/>
      </c>
      <c r="Y78" s="21" t="str">
        <f>IF($P78="","",IFERROR(MATCH($P78,Lists!$H$2:$H$4,0),""))</f>
        <v/>
      </c>
      <c r="Z78" s="21" t="str">
        <f t="shared" si="3"/>
        <v/>
      </c>
    </row>
    <row r="79" spans="1:26" ht="15.75" customHeight="1" x14ac:dyDescent="0.3">
      <c r="A79" s="16" t="str">
        <f t="shared" si="4"/>
        <v/>
      </c>
      <c r="B79" s="28"/>
      <c r="C79" s="29"/>
      <c r="D79" s="16"/>
      <c r="E79" s="16"/>
      <c r="F79" s="16"/>
      <c r="G79" s="16"/>
      <c r="H79" s="16"/>
      <c r="I79" s="31"/>
      <c r="J79" s="15"/>
      <c r="K79" s="15"/>
      <c r="L79" s="15"/>
      <c r="M79" s="16"/>
      <c r="N79" s="17"/>
      <c r="O79" s="19" t="str">
        <f t="shared" si="0"/>
        <v/>
      </c>
      <c r="P79" s="17"/>
      <c r="Q79" s="17" t="str">
        <f t="shared" ca="1" si="1"/>
        <v/>
      </c>
      <c r="R79" s="21" t="str">
        <f ca="1">IF($Q79="","",IF($Q79&lt;=Settings!$B$8,Settings!$C$8,IF($Q79&lt;=Settings!$B$9,Settings!$C$9,IF($Q79&lt;=Settings!$B$10,Settings!$C$10,IF($Q79&lt;=Settings!$B$11,Settings!$C$11,Settings!$C$12)))))</f>
        <v/>
      </c>
      <c r="S79" s="21" t="str">
        <f>IF($F79="","",IFERROR(VLOOKUP($F79,Settings!$E$8:$F$11,2,FALSE),0))</f>
        <v/>
      </c>
      <c r="T79" s="21">
        <f>IF($G79="",Settings!$B$16,1)</f>
        <v>1</v>
      </c>
      <c r="U79" s="21" t="str">
        <f t="shared" si="2"/>
        <v/>
      </c>
      <c r="V79" s="32" t="str">
        <f>IF($C79="","",IF($Q79&gt;Settings!$B$4,IF($G79="","|","")&amp;"OLD_7D","")&amp;IF($Q79&gt;Settings!$B$5,IF(OR($G79="", $Q79&gt;Settings!$B$4),"|","")&amp;"OLD_30D",""))</f>
        <v/>
      </c>
      <c r="W79" s="21" t="str">
        <f>IF(OR($C79="", $M79&lt;&gt;"APPROVED",$I79="", $U79=0),"",SUMIFS($U$3:$U$502,$H$3:$H$502,$H79,$M$3:$M$502,"APPROVED",$Q$3:$Q$502,"&lt;="&amp;Settings!$B$4,$I$3:$I$502,"&lt;="&amp;$I79))</f>
        <v/>
      </c>
      <c r="X79" s="21" t="str">
        <f>IF(OR($C79="", $M79&lt;&gt;"APPROVED",$I79="", $U79=0),"",SUMIFS($U$3:$U$502,$H$3:$H$502,$H79,$M$3:$M$502,"APPROVED",$Q$3:$Q$502,"&lt;="&amp;Settings!$B$5,$I$3:$I$502,"&lt;="&amp;$I79))</f>
        <v/>
      </c>
      <c r="Y79" s="21" t="str">
        <f>IF($P79="","",IFERROR(MATCH($P79,Lists!$H$2:$H$4,0),""))</f>
        <v/>
      </c>
      <c r="Z79" s="21" t="str">
        <f t="shared" si="3"/>
        <v/>
      </c>
    </row>
    <row r="80" spans="1:26" ht="15.75" customHeight="1" x14ac:dyDescent="0.3">
      <c r="A80" s="16" t="str">
        <f t="shared" si="4"/>
        <v/>
      </c>
      <c r="B80" s="28"/>
      <c r="C80" s="29"/>
      <c r="D80" s="16"/>
      <c r="E80" s="16"/>
      <c r="F80" s="16"/>
      <c r="G80" s="16"/>
      <c r="H80" s="16"/>
      <c r="I80" s="31"/>
      <c r="J80" s="15"/>
      <c r="K80" s="15"/>
      <c r="L80" s="15"/>
      <c r="M80" s="16"/>
      <c r="N80" s="17"/>
      <c r="O80" s="19" t="str">
        <f t="shared" si="0"/>
        <v/>
      </c>
      <c r="P80" s="17"/>
      <c r="Q80" s="17" t="str">
        <f t="shared" ca="1" si="1"/>
        <v/>
      </c>
      <c r="R80" s="21" t="str">
        <f ca="1">IF($Q80="","",IF($Q80&lt;=Settings!$B$8,Settings!$C$8,IF($Q80&lt;=Settings!$B$9,Settings!$C$9,IF($Q80&lt;=Settings!$B$10,Settings!$C$10,IF($Q80&lt;=Settings!$B$11,Settings!$C$11,Settings!$C$12)))))</f>
        <v/>
      </c>
      <c r="S80" s="21" t="str">
        <f>IF($F80="","",IFERROR(VLOOKUP($F80,Settings!$E$8:$F$11,2,FALSE),0))</f>
        <v/>
      </c>
      <c r="T80" s="21">
        <f>IF($G80="",Settings!$B$16,1)</f>
        <v>1</v>
      </c>
      <c r="U80" s="21" t="str">
        <f t="shared" si="2"/>
        <v/>
      </c>
      <c r="V80" s="32" t="str">
        <f>IF($C80="","",IF($Q80&gt;Settings!$B$4,IF($G80="","|","")&amp;"OLD_7D","")&amp;IF($Q80&gt;Settings!$B$5,IF(OR($G80="", $Q80&gt;Settings!$B$4),"|","")&amp;"OLD_30D",""))</f>
        <v/>
      </c>
      <c r="W80" s="21" t="str">
        <f>IF(OR($C80="", $M80&lt;&gt;"APPROVED",$I80="", $U80=0),"",SUMIFS($U$3:$U$502,$H$3:$H$502,$H80,$M$3:$M$502,"APPROVED",$Q$3:$Q$502,"&lt;="&amp;Settings!$B$4,$I$3:$I$502,"&lt;="&amp;$I80))</f>
        <v/>
      </c>
      <c r="X80" s="21" t="str">
        <f>IF(OR($C80="", $M80&lt;&gt;"APPROVED",$I80="", $U80=0),"",SUMIFS($U$3:$U$502,$H$3:$H$502,$H80,$M$3:$M$502,"APPROVED",$Q$3:$Q$502,"&lt;="&amp;Settings!$B$5,$I$3:$I$502,"&lt;="&amp;$I80))</f>
        <v/>
      </c>
      <c r="Y80" s="21" t="str">
        <f>IF($P80="","",IFERROR(MATCH($P80,Lists!$H$2:$H$4,0),""))</f>
        <v/>
      </c>
      <c r="Z80" s="21" t="str">
        <f t="shared" si="3"/>
        <v/>
      </c>
    </row>
    <row r="81" spans="1:26" ht="15.75" customHeight="1" x14ac:dyDescent="0.3">
      <c r="A81" s="16" t="str">
        <f t="shared" si="4"/>
        <v/>
      </c>
      <c r="B81" s="28"/>
      <c r="C81" s="29"/>
      <c r="D81" s="16"/>
      <c r="E81" s="16"/>
      <c r="F81" s="16"/>
      <c r="G81" s="16"/>
      <c r="H81" s="16"/>
      <c r="I81" s="31"/>
      <c r="J81" s="15"/>
      <c r="K81" s="15"/>
      <c r="L81" s="15"/>
      <c r="M81" s="16"/>
      <c r="N81" s="17"/>
      <c r="O81" s="19" t="str">
        <f t="shared" si="0"/>
        <v/>
      </c>
      <c r="P81" s="17"/>
      <c r="Q81" s="17" t="str">
        <f t="shared" ca="1" si="1"/>
        <v/>
      </c>
      <c r="R81" s="21" t="str">
        <f ca="1">IF($Q81="","",IF($Q81&lt;=Settings!$B$8,Settings!$C$8,IF($Q81&lt;=Settings!$B$9,Settings!$C$9,IF($Q81&lt;=Settings!$B$10,Settings!$C$10,IF($Q81&lt;=Settings!$B$11,Settings!$C$11,Settings!$C$12)))))</f>
        <v/>
      </c>
      <c r="S81" s="21" t="str">
        <f>IF($F81="","",IFERROR(VLOOKUP($F81,Settings!$E$8:$F$11,2,FALSE),0))</f>
        <v/>
      </c>
      <c r="T81" s="21">
        <f>IF($G81="",Settings!$B$16,1)</f>
        <v>1</v>
      </c>
      <c r="U81" s="21" t="str">
        <f t="shared" si="2"/>
        <v/>
      </c>
      <c r="V81" s="32" t="str">
        <f>IF($C81="","",IF($Q81&gt;Settings!$B$4,IF($G81="","|","")&amp;"OLD_7D","")&amp;IF($Q81&gt;Settings!$B$5,IF(OR($G81="", $Q81&gt;Settings!$B$4),"|","")&amp;"OLD_30D",""))</f>
        <v/>
      </c>
      <c r="W81" s="21" t="str">
        <f>IF(OR($C81="", $M81&lt;&gt;"APPROVED",$I81="", $U81=0),"",SUMIFS($U$3:$U$502,$H$3:$H$502,$H81,$M$3:$M$502,"APPROVED",$Q$3:$Q$502,"&lt;="&amp;Settings!$B$4,$I$3:$I$502,"&lt;="&amp;$I81))</f>
        <v/>
      </c>
      <c r="X81" s="21" t="str">
        <f>IF(OR($C81="", $M81&lt;&gt;"APPROVED",$I81="", $U81=0),"",SUMIFS($U$3:$U$502,$H$3:$H$502,$H81,$M$3:$M$502,"APPROVED",$Q$3:$Q$502,"&lt;="&amp;Settings!$B$5,$I$3:$I$502,"&lt;="&amp;$I81))</f>
        <v/>
      </c>
      <c r="Y81" s="21" t="str">
        <f>IF($P81="","",IFERROR(MATCH($P81,Lists!$H$2:$H$4,0),""))</f>
        <v/>
      </c>
      <c r="Z81" s="21" t="str">
        <f t="shared" si="3"/>
        <v/>
      </c>
    </row>
    <row r="82" spans="1:26" ht="15.75" customHeight="1" x14ac:dyDescent="0.3">
      <c r="A82" s="16" t="str">
        <f t="shared" si="4"/>
        <v/>
      </c>
      <c r="B82" s="28"/>
      <c r="C82" s="29"/>
      <c r="D82" s="16"/>
      <c r="E82" s="16"/>
      <c r="F82" s="16"/>
      <c r="G82" s="16"/>
      <c r="H82" s="16"/>
      <c r="I82" s="31"/>
      <c r="J82" s="15"/>
      <c r="K82" s="15"/>
      <c r="L82" s="15"/>
      <c r="M82" s="16"/>
      <c r="N82" s="17"/>
      <c r="O82" s="19" t="str">
        <f t="shared" si="0"/>
        <v/>
      </c>
      <c r="P82" s="17"/>
      <c r="Q82" s="17" t="str">
        <f t="shared" ca="1" si="1"/>
        <v/>
      </c>
      <c r="R82" s="21" t="str">
        <f ca="1">IF($Q82="","",IF($Q82&lt;=Settings!$B$8,Settings!$C$8,IF($Q82&lt;=Settings!$B$9,Settings!$C$9,IF($Q82&lt;=Settings!$B$10,Settings!$C$10,IF($Q82&lt;=Settings!$B$11,Settings!$C$11,Settings!$C$12)))))</f>
        <v/>
      </c>
      <c r="S82" s="21" t="str">
        <f>IF($F82="","",IFERROR(VLOOKUP($F82,Settings!$E$8:$F$11,2,FALSE),0))</f>
        <v/>
      </c>
      <c r="T82" s="21">
        <f>IF($G82="",Settings!$B$16,1)</f>
        <v>1</v>
      </c>
      <c r="U82" s="21" t="str">
        <f t="shared" si="2"/>
        <v/>
      </c>
      <c r="V82" s="32" t="str">
        <f>IF($C82="","",IF($Q82&gt;Settings!$B$4,IF($G82="","|","")&amp;"OLD_7D","")&amp;IF($Q82&gt;Settings!$B$5,IF(OR($G82="", $Q82&gt;Settings!$B$4),"|","")&amp;"OLD_30D",""))</f>
        <v/>
      </c>
      <c r="W82" s="21" t="str">
        <f>IF(OR($C82="", $M82&lt;&gt;"APPROVED",$I82="", $U82=0),"",SUMIFS($U$3:$U$502,$H$3:$H$502,$H82,$M$3:$M$502,"APPROVED",$Q$3:$Q$502,"&lt;="&amp;Settings!$B$4,$I$3:$I$502,"&lt;="&amp;$I82))</f>
        <v/>
      </c>
      <c r="X82" s="21" t="str">
        <f>IF(OR($C82="", $M82&lt;&gt;"APPROVED",$I82="", $U82=0),"",SUMIFS($U$3:$U$502,$H$3:$H$502,$H82,$M$3:$M$502,"APPROVED",$Q$3:$Q$502,"&lt;="&amp;Settings!$B$5,$I$3:$I$502,"&lt;="&amp;$I82))</f>
        <v/>
      </c>
      <c r="Y82" s="21" t="str">
        <f>IF($P82="","",IFERROR(MATCH($P82,Lists!$H$2:$H$4,0),""))</f>
        <v/>
      </c>
      <c r="Z82" s="21" t="str">
        <f t="shared" si="3"/>
        <v/>
      </c>
    </row>
    <row r="83" spans="1:26" ht="15.75" customHeight="1" x14ac:dyDescent="0.3">
      <c r="A83" s="16" t="str">
        <f t="shared" si="4"/>
        <v/>
      </c>
      <c r="B83" s="28"/>
      <c r="C83" s="29"/>
      <c r="D83" s="16"/>
      <c r="E83" s="16"/>
      <c r="F83" s="16"/>
      <c r="G83" s="16"/>
      <c r="H83" s="16"/>
      <c r="I83" s="31"/>
      <c r="J83" s="15"/>
      <c r="K83" s="15"/>
      <c r="L83" s="15"/>
      <c r="M83" s="16"/>
      <c r="N83" s="17"/>
      <c r="O83" s="19" t="str">
        <f t="shared" si="0"/>
        <v/>
      </c>
      <c r="P83" s="17"/>
      <c r="Q83" s="17" t="str">
        <f t="shared" ca="1" si="1"/>
        <v/>
      </c>
      <c r="R83" s="21" t="str">
        <f ca="1">IF($Q83="","",IF($Q83&lt;=Settings!$B$8,Settings!$C$8,IF($Q83&lt;=Settings!$B$9,Settings!$C$9,IF($Q83&lt;=Settings!$B$10,Settings!$C$10,IF($Q83&lt;=Settings!$B$11,Settings!$C$11,Settings!$C$12)))))</f>
        <v/>
      </c>
      <c r="S83" s="21" t="str">
        <f>IF($F83="","",IFERROR(VLOOKUP($F83,Settings!$E$8:$F$11,2,FALSE),0))</f>
        <v/>
      </c>
      <c r="T83" s="21">
        <f>IF($G83="",Settings!$B$16,1)</f>
        <v>1</v>
      </c>
      <c r="U83" s="21" t="str">
        <f t="shared" si="2"/>
        <v/>
      </c>
      <c r="V83" s="32" t="str">
        <f>IF($C83="","",IF($Q83&gt;Settings!$B$4,IF($G83="","|","")&amp;"OLD_7D","")&amp;IF($Q83&gt;Settings!$B$5,IF(OR($G83="", $Q83&gt;Settings!$B$4),"|","")&amp;"OLD_30D",""))</f>
        <v/>
      </c>
      <c r="W83" s="21" t="str">
        <f>IF(OR($C83="", $M83&lt;&gt;"APPROVED",$I83="", $U83=0),"",SUMIFS($U$3:$U$502,$H$3:$H$502,$H83,$M$3:$M$502,"APPROVED",$Q$3:$Q$502,"&lt;="&amp;Settings!$B$4,$I$3:$I$502,"&lt;="&amp;$I83))</f>
        <v/>
      </c>
      <c r="X83" s="21" t="str">
        <f>IF(OR($C83="", $M83&lt;&gt;"APPROVED",$I83="", $U83=0),"",SUMIFS($U$3:$U$502,$H$3:$H$502,$H83,$M$3:$M$502,"APPROVED",$Q$3:$Q$502,"&lt;="&amp;Settings!$B$5,$I$3:$I$502,"&lt;="&amp;$I83))</f>
        <v/>
      </c>
      <c r="Y83" s="21" t="str">
        <f>IF($P83="","",IFERROR(MATCH($P83,Lists!$H$2:$H$4,0),""))</f>
        <v/>
      </c>
      <c r="Z83" s="21" t="str">
        <f t="shared" si="3"/>
        <v/>
      </c>
    </row>
    <row r="84" spans="1:26" ht="15.75" customHeight="1" x14ac:dyDescent="0.3">
      <c r="A84" s="16" t="str">
        <f t="shared" si="4"/>
        <v/>
      </c>
      <c r="B84" s="28"/>
      <c r="C84" s="29"/>
      <c r="D84" s="16"/>
      <c r="E84" s="16"/>
      <c r="F84" s="16"/>
      <c r="G84" s="16"/>
      <c r="H84" s="16"/>
      <c r="I84" s="31"/>
      <c r="J84" s="15"/>
      <c r="K84" s="15"/>
      <c r="L84" s="15"/>
      <c r="M84" s="16"/>
      <c r="N84" s="17"/>
      <c r="O84" s="19" t="str">
        <f t="shared" si="0"/>
        <v/>
      </c>
      <c r="P84" s="17"/>
      <c r="Q84" s="17" t="str">
        <f t="shared" ca="1" si="1"/>
        <v/>
      </c>
      <c r="R84" s="21" t="str">
        <f ca="1">IF($Q84="","",IF($Q84&lt;=Settings!$B$8,Settings!$C$8,IF($Q84&lt;=Settings!$B$9,Settings!$C$9,IF($Q84&lt;=Settings!$B$10,Settings!$C$10,IF($Q84&lt;=Settings!$B$11,Settings!$C$11,Settings!$C$12)))))</f>
        <v/>
      </c>
      <c r="S84" s="21" t="str">
        <f>IF($F84="","",IFERROR(VLOOKUP($F84,Settings!$E$8:$F$11,2,FALSE),0))</f>
        <v/>
      </c>
      <c r="T84" s="21">
        <f>IF($G84="",Settings!$B$16,1)</f>
        <v>1</v>
      </c>
      <c r="U84" s="21" t="str">
        <f t="shared" si="2"/>
        <v/>
      </c>
      <c r="V84" s="32" t="str">
        <f>IF($C84="","",IF($Q84&gt;Settings!$B$4,IF($G84="","|","")&amp;"OLD_7D","")&amp;IF($Q84&gt;Settings!$B$5,IF(OR($G84="", $Q84&gt;Settings!$B$4),"|","")&amp;"OLD_30D",""))</f>
        <v/>
      </c>
      <c r="W84" s="21" t="str">
        <f>IF(OR($C84="", $M84&lt;&gt;"APPROVED",$I84="", $U84=0),"",SUMIFS($U$3:$U$502,$H$3:$H$502,$H84,$M$3:$M$502,"APPROVED",$Q$3:$Q$502,"&lt;="&amp;Settings!$B$4,$I$3:$I$502,"&lt;="&amp;$I84))</f>
        <v/>
      </c>
      <c r="X84" s="21" t="str">
        <f>IF(OR($C84="", $M84&lt;&gt;"APPROVED",$I84="", $U84=0),"",SUMIFS($U$3:$U$502,$H$3:$H$502,$H84,$M$3:$M$502,"APPROVED",$Q$3:$Q$502,"&lt;="&amp;Settings!$B$5,$I$3:$I$502,"&lt;="&amp;$I84))</f>
        <v/>
      </c>
      <c r="Y84" s="21" t="str">
        <f>IF($P84="","",IFERROR(MATCH($P84,Lists!$H$2:$H$4,0),""))</f>
        <v/>
      </c>
      <c r="Z84" s="21" t="str">
        <f t="shared" si="3"/>
        <v/>
      </c>
    </row>
    <row r="85" spans="1:26" ht="15.75" customHeight="1" x14ac:dyDescent="0.3">
      <c r="A85" s="16" t="str">
        <f t="shared" si="4"/>
        <v/>
      </c>
      <c r="B85" s="28"/>
      <c r="C85" s="29"/>
      <c r="D85" s="16"/>
      <c r="E85" s="16"/>
      <c r="F85" s="16"/>
      <c r="G85" s="16"/>
      <c r="H85" s="16"/>
      <c r="I85" s="31"/>
      <c r="J85" s="15"/>
      <c r="K85" s="15"/>
      <c r="L85" s="15"/>
      <c r="M85" s="16"/>
      <c r="N85" s="17"/>
      <c r="O85" s="19" t="str">
        <f t="shared" si="0"/>
        <v/>
      </c>
      <c r="P85" s="17"/>
      <c r="Q85" s="17" t="str">
        <f t="shared" ca="1" si="1"/>
        <v/>
      </c>
      <c r="R85" s="21" t="str">
        <f ca="1">IF($Q85="","",IF($Q85&lt;=Settings!$B$8,Settings!$C$8,IF($Q85&lt;=Settings!$B$9,Settings!$C$9,IF($Q85&lt;=Settings!$B$10,Settings!$C$10,IF($Q85&lt;=Settings!$B$11,Settings!$C$11,Settings!$C$12)))))</f>
        <v/>
      </c>
      <c r="S85" s="21" t="str">
        <f>IF($F85="","",IFERROR(VLOOKUP($F85,Settings!$E$8:$F$11,2,FALSE),0))</f>
        <v/>
      </c>
      <c r="T85" s="21">
        <f>IF($G85="",Settings!$B$16,1)</f>
        <v>1</v>
      </c>
      <c r="U85" s="21" t="str">
        <f t="shared" si="2"/>
        <v/>
      </c>
      <c r="V85" s="32" t="str">
        <f>IF($C85="","",IF($Q85&gt;Settings!$B$4,IF($G85="","|","")&amp;"OLD_7D","")&amp;IF($Q85&gt;Settings!$B$5,IF(OR($G85="", $Q85&gt;Settings!$B$4),"|","")&amp;"OLD_30D",""))</f>
        <v/>
      </c>
      <c r="W85" s="21" t="str">
        <f>IF(OR($C85="", $M85&lt;&gt;"APPROVED",$I85="", $U85=0),"",SUMIFS($U$3:$U$502,$H$3:$H$502,$H85,$M$3:$M$502,"APPROVED",$Q$3:$Q$502,"&lt;="&amp;Settings!$B$4,$I$3:$I$502,"&lt;="&amp;$I85))</f>
        <v/>
      </c>
      <c r="X85" s="21" t="str">
        <f>IF(OR($C85="", $M85&lt;&gt;"APPROVED",$I85="", $U85=0),"",SUMIFS($U$3:$U$502,$H$3:$H$502,$H85,$M$3:$M$502,"APPROVED",$Q$3:$Q$502,"&lt;="&amp;Settings!$B$5,$I$3:$I$502,"&lt;="&amp;$I85))</f>
        <v/>
      </c>
      <c r="Y85" s="21" t="str">
        <f>IF($P85="","",IFERROR(MATCH($P85,Lists!$H$2:$H$4,0),""))</f>
        <v/>
      </c>
      <c r="Z85" s="21" t="str">
        <f t="shared" si="3"/>
        <v/>
      </c>
    </row>
    <row r="86" spans="1:26" ht="15.75" customHeight="1" x14ac:dyDescent="0.3">
      <c r="A86" s="16" t="str">
        <f t="shared" si="4"/>
        <v/>
      </c>
      <c r="B86" s="28"/>
      <c r="C86" s="29"/>
      <c r="D86" s="16"/>
      <c r="E86" s="16"/>
      <c r="F86" s="16"/>
      <c r="G86" s="16"/>
      <c r="H86" s="16"/>
      <c r="I86" s="31"/>
      <c r="J86" s="15"/>
      <c r="K86" s="15"/>
      <c r="L86" s="15"/>
      <c r="M86" s="16"/>
      <c r="N86" s="17"/>
      <c r="O86" s="19" t="str">
        <f t="shared" si="0"/>
        <v/>
      </c>
      <c r="P86" s="17"/>
      <c r="Q86" s="17" t="str">
        <f t="shared" ca="1" si="1"/>
        <v/>
      </c>
      <c r="R86" s="21" t="str">
        <f ca="1">IF($Q86="","",IF($Q86&lt;=Settings!$B$8,Settings!$C$8,IF($Q86&lt;=Settings!$B$9,Settings!$C$9,IF($Q86&lt;=Settings!$B$10,Settings!$C$10,IF($Q86&lt;=Settings!$B$11,Settings!$C$11,Settings!$C$12)))))</f>
        <v/>
      </c>
      <c r="S86" s="21" t="str">
        <f>IF($F86="","",IFERROR(VLOOKUP($F86,Settings!$E$8:$F$11,2,FALSE),0))</f>
        <v/>
      </c>
      <c r="T86" s="21">
        <f>IF($G86="",Settings!$B$16,1)</f>
        <v>1</v>
      </c>
      <c r="U86" s="21" t="str">
        <f t="shared" si="2"/>
        <v/>
      </c>
      <c r="V86" s="32" t="str">
        <f>IF($C86="","",IF($Q86&gt;Settings!$B$4,IF($G86="","|","")&amp;"OLD_7D","")&amp;IF($Q86&gt;Settings!$B$5,IF(OR($G86="", $Q86&gt;Settings!$B$4),"|","")&amp;"OLD_30D",""))</f>
        <v/>
      </c>
      <c r="W86" s="21" t="str">
        <f>IF(OR($C86="", $M86&lt;&gt;"APPROVED",$I86="", $U86=0),"",SUMIFS($U$3:$U$502,$H$3:$H$502,$H86,$M$3:$M$502,"APPROVED",$Q$3:$Q$502,"&lt;="&amp;Settings!$B$4,$I$3:$I$502,"&lt;="&amp;$I86))</f>
        <v/>
      </c>
      <c r="X86" s="21" t="str">
        <f>IF(OR($C86="", $M86&lt;&gt;"APPROVED",$I86="", $U86=0),"",SUMIFS($U$3:$U$502,$H$3:$H$502,$H86,$M$3:$M$502,"APPROVED",$Q$3:$Q$502,"&lt;="&amp;Settings!$B$5,$I$3:$I$502,"&lt;="&amp;$I86))</f>
        <v/>
      </c>
      <c r="Y86" s="21" t="str">
        <f>IF($P86="","",IFERROR(MATCH($P86,Lists!$H$2:$H$4,0),""))</f>
        <v/>
      </c>
      <c r="Z86" s="21" t="str">
        <f t="shared" si="3"/>
        <v/>
      </c>
    </row>
    <row r="87" spans="1:26" ht="15.75" customHeight="1" x14ac:dyDescent="0.3">
      <c r="A87" s="16" t="str">
        <f t="shared" si="4"/>
        <v/>
      </c>
      <c r="B87" s="28"/>
      <c r="C87" s="29"/>
      <c r="D87" s="16"/>
      <c r="E87" s="16"/>
      <c r="F87" s="16"/>
      <c r="G87" s="16"/>
      <c r="H87" s="16"/>
      <c r="I87" s="31"/>
      <c r="J87" s="15"/>
      <c r="K87" s="15"/>
      <c r="L87" s="15"/>
      <c r="M87" s="16"/>
      <c r="N87" s="17"/>
      <c r="O87" s="19" t="str">
        <f t="shared" si="0"/>
        <v/>
      </c>
      <c r="P87" s="17"/>
      <c r="Q87" s="17" t="str">
        <f t="shared" ca="1" si="1"/>
        <v/>
      </c>
      <c r="R87" s="21" t="str">
        <f ca="1">IF($Q87="","",IF($Q87&lt;=Settings!$B$8,Settings!$C$8,IF($Q87&lt;=Settings!$B$9,Settings!$C$9,IF($Q87&lt;=Settings!$B$10,Settings!$C$10,IF($Q87&lt;=Settings!$B$11,Settings!$C$11,Settings!$C$12)))))</f>
        <v/>
      </c>
      <c r="S87" s="21" t="str">
        <f>IF($F87="","",IFERROR(VLOOKUP($F87,Settings!$E$8:$F$11,2,FALSE),0))</f>
        <v/>
      </c>
      <c r="T87" s="21">
        <f>IF($G87="",Settings!$B$16,1)</f>
        <v>1</v>
      </c>
      <c r="U87" s="21" t="str">
        <f t="shared" si="2"/>
        <v/>
      </c>
      <c r="V87" s="32" t="str">
        <f>IF($C87="","",IF($Q87&gt;Settings!$B$4,IF($G87="","|","")&amp;"OLD_7D","")&amp;IF($Q87&gt;Settings!$B$5,IF(OR($G87="", $Q87&gt;Settings!$B$4),"|","")&amp;"OLD_30D",""))</f>
        <v/>
      </c>
      <c r="W87" s="21" t="str">
        <f>IF(OR($C87="", $M87&lt;&gt;"APPROVED",$I87="", $U87=0),"",SUMIFS($U$3:$U$502,$H$3:$H$502,$H87,$M$3:$M$502,"APPROVED",$Q$3:$Q$502,"&lt;="&amp;Settings!$B$4,$I$3:$I$502,"&lt;="&amp;$I87))</f>
        <v/>
      </c>
      <c r="X87" s="21" t="str">
        <f>IF(OR($C87="", $M87&lt;&gt;"APPROVED",$I87="", $U87=0),"",SUMIFS($U$3:$U$502,$H$3:$H$502,$H87,$M$3:$M$502,"APPROVED",$Q$3:$Q$502,"&lt;="&amp;Settings!$B$5,$I$3:$I$502,"&lt;="&amp;$I87))</f>
        <v/>
      </c>
      <c r="Y87" s="21" t="str">
        <f>IF($P87="","",IFERROR(MATCH($P87,Lists!$H$2:$H$4,0),""))</f>
        <v/>
      </c>
      <c r="Z87" s="21" t="str">
        <f t="shared" si="3"/>
        <v/>
      </c>
    </row>
    <row r="88" spans="1:26" ht="15.75" customHeight="1" x14ac:dyDescent="0.3">
      <c r="A88" s="16" t="str">
        <f t="shared" si="4"/>
        <v/>
      </c>
      <c r="B88" s="28"/>
      <c r="C88" s="29"/>
      <c r="D88" s="16"/>
      <c r="E88" s="16"/>
      <c r="F88" s="16"/>
      <c r="G88" s="16"/>
      <c r="H88" s="16"/>
      <c r="I88" s="31"/>
      <c r="J88" s="15"/>
      <c r="K88" s="15"/>
      <c r="L88" s="15"/>
      <c r="M88" s="16"/>
      <c r="N88" s="17"/>
      <c r="O88" s="19" t="str">
        <f t="shared" si="0"/>
        <v/>
      </c>
      <c r="P88" s="17"/>
      <c r="Q88" s="17" t="str">
        <f t="shared" ca="1" si="1"/>
        <v/>
      </c>
      <c r="R88" s="21" t="str">
        <f ca="1">IF($Q88="","",IF($Q88&lt;=Settings!$B$8,Settings!$C$8,IF($Q88&lt;=Settings!$B$9,Settings!$C$9,IF($Q88&lt;=Settings!$B$10,Settings!$C$10,IF($Q88&lt;=Settings!$B$11,Settings!$C$11,Settings!$C$12)))))</f>
        <v/>
      </c>
      <c r="S88" s="21" t="str">
        <f>IF($F88="","",IFERROR(VLOOKUP($F88,Settings!$E$8:$F$11,2,FALSE),0))</f>
        <v/>
      </c>
      <c r="T88" s="21">
        <f>IF($G88="",Settings!$B$16,1)</f>
        <v>1</v>
      </c>
      <c r="U88" s="21" t="str">
        <f t="shared" si="2"/>
        <v/>
      </c>
      <c r="V88" s="32" t="str">
        <f>IF($C88="","",IF($Q88&gt;Settings!$B$4,IF($G88="","|","")&amp;"OLD_7D","")&amp;IF($Q88&gt;Settings!$B$5,IF(OR($G88="", $Q88&gt;Settings!$B$4),"|","")&amp;"OLD_30D",""))</f>
        <v/>
      </c>
      <c r="W88" s="21" t="str">
        <f>IF(OR($C88="", $M88&lt;&gt;"APPROVED",$I88="", $U88=0),"",SUMIFS($U$3:$U$502,$H$3:$H$502,$H88,$M$3:$M$502,"APPROVED",$Q$3:$Q$502,"&lt;="&amp;Settings!$B$4,$I$3:$I$502,"&lt;="&amp;$I88))</f>
        <v/>
      </c>
      <c r="X88" s="21" t="str">
        <f>IF(OR($C88="", $M88&lt;&gt;"APPROVED",$I88="", $U88=0),"",SUMIFS($U$3:$U$502,$H$3:$H$502,$H88,$M$3:$M$502,"APPROVED",$Q$3:$Q$502,"&lt;="&amp;Settings!$B$5,$I$3:$I$502,"&lt;="&amp;$I88))</f>
        <v/>
      </c>
      <c r="Y88" s="21" t="str">
        <f>IF($P88="","",IFERROR(MATCH($P88,Lists!$H$2:$H$4,0),""))</f>
        <v/>
      </c>
      <c r="Z88" s="21" t="str">
        <f t="shared" si="3"/>
        <v/>
      </c>
    </row>
    <row r="89" spans="1:26" ht="15.75" customHeight="1" x14ac:dyDescent="0.3">
      <c r="A89" s="16" t="str">
        <f t="shared" si="4"/>
        <v/>
      </c>
      <c r="B89" s="28"/>
      <c r="C89" s="29"/>
      <c r="D89" s="16"/>
      <c r="E89" s="16"/>
      <c r="F89" s="16"/>
      <c r="G89" s="16"/>
      <c r="H89" s="16"/>
      <c r="I89" s="31"/>
      <c r="J89" s="15"/>
      <c r="K89" s="15"/>
      <c r="L89" s="15"/>
      <c r="M89" s="16"/>
      <c r="N89" s="17"/>
      <c r="O89" s="19" t="str">
        <f t="shared" si="0"/>
        <v/>
      </c>
      <c r="P89" s="17"/>
      <c r="Q89" s="17" t="str">
        <f t="shared" ca="1" si="1"/>
        <v/>
      </c>
      <c r="R89" s="21" t="str">
        <f ca="1">IF($Q89="","",IF($Q89&lt;=Settings!$B$8,Settings!$C$8,IF($Q89&lt;=Settings!$B$9,Settings!$C$9,IF($Q89&lt;=Settings!$B$10,Settings!$C$10,IF($Q89&lt;=Settings!$B$11,Settings!$C$11,Settings!$C$12)))))</f>
        <v/>
      </c>
      <c r="S89" s="21" t="str">
        <f>IF($F89="","",IFERROR(VLOOKUP($F89,Settings!$E$8:$F$11,2,FALSE),0))</f>
        <v/>
      </c>
      <c r="T89" s="21">
        <f>IF($G89="",Settings!$B$16,1)</f>
        <v>1</v>
      </c>
      <c r="U89" s="21" t="str">
        <f t="shared" si="2"/>
        <v/>
      </c>
      <c r="V89" s="32" t="str">
        <f>IF($C89="","",IF($Q89&gt;Settings!$B$4,IF($G89="","|","")&amp;"OLD_7D","")&amp;IF($Q89&gt;Settings!$B$5,IF(OR($G89="", $Q89&gt;Settings!$B$4),"|","")&amp;"OLD_30D",""))</f>
        <v/>
      </c>
      <c r="W89" s="21" t="str">
        <f>IF(OR($C89="", $M89&lt;&gt;"APPROVED",$I89="", $U89=0),"",SUMIFS($U$3:$U$502,$H$3:$H$502,$H89,$M$3:$M$502,"APPROVED",$Q$3:$Q$502,"&lt;="&amp;Settings!$B$4,$I$3:$I$502,"&lt;="&amp;$I89))</f>
        <v/>
      </c>
      <c r="X89" s="21" t="str">
        <f>IF(OR($C89="", $M89&lt;&gt;"APPROVED",$I89="", $U89=0),"",SUMIFS($U$3:$U$502,$H$3:$H$502,$H89,$M$3:$M$502,"APPROVED",$Q$3:$Q$502,"&lt;="&amp;Settings!$B$5,$I$3:$I$502,"&lt;="&amp;$I89))</f>
        <v/>
      </c>
      <c r="Y89" s="21" t="str">
        <f>IF($P89="","",IFERROR(MATCH($P89,Lists!$H$2:$H$4,0),""))</f>
        <v/>
      </c>
      <c r="Z89" s="21" t="str">
        <f t="shared" si="3"/>
        <v/>
      </c>
    </row>
    <row r="90" spans="1:26" ht="15.75" customHeight="1" x14ac:dyDescent="0.3">
      <c r="A90" s="16" t="str">
        <f t="shared" si="4"/>
        <v/>
      </c>
      <c r="B90" s="28"/>
      <c r="C90" s="29"/>
      <c r="D90" s="16"/>
      <c r="E90" s="16"/>
      <c r="F90" s="16"/>
      <c r="G90" s="16"/>
      <c r="H90" s="16"/>
      <c r="I90" s="31"/>
      <c r="J90" s="15"/>
      <c r="K90" s="15"/>
      <c r="L90" s="15"/>
      <c r="M90" s="16"/>
      <c r="N90" s="17"/>
      <c r="O90" s="19" t="str">
        <f t="shared" si="0"/>
        <v/>
      </c>
      <c r="P90" s="17"/>
      <c r="Q90" s="17" t="str">
        <f t="shared" ca="1" si="1"/>
        <v/>
      </c>
      <c r="R90" s="21" t="str">
        <f ca="1">IF($Q90="","",IF($Q90&lt;=Settings!$B$8,Settings!$C$8,IF($Q90&lt;=Settings!$B$9,Settings!$C$9,IF($Q90&lt;=Settings!$B$10,Settings!$C$10,IF($Q90&lt;=Settings!$B$11,Settings!$C$11,Settings!$C$12)))))</f>
        <v/>
      </c>
      <c r="S90" s="21" t="str">
        <f>IF($F90="","",IFERROR(VLOOKUP($F90,Settings!$E$8:$F$11,2,FALSE),0))</f>
        <v/>
      </c>
      <c r="T90" s="21">
        <f>IF($G90="",Settings!$B$16,1)</f>
        <v>1</v>
      </c>
      <c r="U90" s="21" t="str">
        <f t="shared" si="2"/>
        <v/>
      </c>
      <c r="V90" s="32" t="str">
        <f>IF($C90="","",IF($Q90&gt;Settings!$B$4,IF($G90="","|","")&amp;"OLD_7D","")&amp;IF($Q90&gt;Settings!$B$5,IF(OR($G90="", $Q90&gt;Settings!$B$4),"|","")&amp;"OLD_30D",""))</f>
        <v/>
      </c>
      <c r="W90" s="21" t="str">
        <f>IF(OR($C90="", $M90&lt;&gt;"APPROVED",$I90="", $U90=0),"",SUMIFS($U$3:$U$502,$H$3:$H$502,$H90,$M$3:$M$502,"APPROVED",$Q$3:$Q$502,"&lt;="&amp;Settings!$B$4,$I$3:$I$502,"&lt;="&amp;$I90))</f>
        <v/>
      </c>
      <c r="X90" s="21" t="str">
        <f>IF(OR($C90="", $M90&lt;&gt;"APPROVED",$I90="", $U90=0),"",SUMIFS($U$3:$U$502,$H$3:$H$502,$H90,$M$3:$M$502,"APPROVED",$Q$3:$Q$502,"&lt;="&amp;Settings!$B$5,$I$3:$I$502,"&lt;="&amp;$I90))</f>
        <v/>
      </c>
      <c r="Y90" s="21" t="str">
        <f>IF($P90="","",IFERROR(MATCH($P90,Lists!$H$2:$H$4,0),""))</f>
        <v/>
      </c>
      <c r="Z90" s="21" t="str">
        <f t="shared" si="3"/>
        <v/>
      </c>
    </row>
    <row r="91" spans="1:26" ht="15.75" customHeight="1" x14ac:dyDescent="0.3">
      <c r="A91" s="16" t="str">
        <f t="shared" si="4"/>
        <v/>
      </c>
      <c r="B91" s="28"/>
      <c r="C91" s="29"/>
      <c r="D91" s="16"/>
      <c r="E91" s="16"/>
      <c r="F91" s="16"/>
      <c r="G91" s="16"/>
      <c r="H91" s="16"/>
      <c r="I91" s="31"/>
      <c r="J91" s="15"/>
      <c r="K91" s="15"/>
      <c r="L91" s="15"/>
      <c r="M91" s="16"/>
      <c r="N91" s="17"/>
      <c r="O91" s="19" t="str">
        <f t="shared" si="0"/>
        <v/>
      </c>
      <c r="P91" s="17"/>
      <c r="Q91" s="17" t="str">
        <f t="shared" ca="1" si="1"/>
        <v/>
      </c>
      <c r="R91" s="21" t="str">
        <f ca="1">IF($Q91="","",IF($Q91&lt;=Settings!$B$8,Settings!$C$8,IF($Q91&lt;=Settings!$B$9,Settings!$C$9,IF($Q91&lt;=Settings!$B$10,Settings!$C$10,IF($Q91&lt;=Settings!$B$11,Settings!$C$11,Settings!$C$12)))))</f>
        <v/>
      </c>
      <c r="S91" s="21" t="str">
        <f>IF($F91="","",IFERROR(VLOOKUP($F91,Settings!$E$8:$F$11,2,FALSE),0))</f>
        <v/>
      </c>
      <c r="T91" s="21">
        <f>IF($G91="",Settings!$B$16,1)</f>
        <v>1</v>
      </c>
      <c r="U91" s="21" t="str">
        <f t="shared" si="2"/>
        <v/>
      </c>
      <c r="V91" s="32" t="str">
        <f>IF($C91="","",IF($Q91&gt;Settings!$B$4,IF($G91="","|","")&amp;"OLD_7D","")&amp;IF($Q91&gt;Settings!$B$5,IF(OR($G91="", $Q91&gt;Settings!$B$4),"|","")&amp;"OLD_30D",""))</f>
        <v/>
      </c>
      <c r="W91" s="21" t="str">
        <f>IF(OR($C91="", $M91&lt;&gt;"APPROVED",$I91="", $U91=0),"",SUMIFS($U$3:$U$502,$H$3:$H$502,$H91,$M$3:$M$502,"APPROVED",$Q$3:$Q$502,"&lt;="&amp;Settings!$B$4,$I$3:$I$502,"&lt;="&amp;$I91))</f>
        <v/>
      </c>
      <c r="X91" s="21" t="str">
        <f>IF(OR($C91="", $M91&lt;&gt;"APPROVED",$I91="", $U91=0),"",SUMIFS($U$3:$U$502,$H$3:$H$502,$H91,$M$3:$M$502,"APPROVED",$Q$3:$Q$502,"&lt;="&amp;Settings!$B$5,$I$3:$I$502,"&lt;="&amp;$I91))</f>
        <v/>
      </c>
      <c r="Y91" s="21" t="str">
        <f>IF($P91="","",IFERROR(MATCH($P91,Lists!$H$2:$H$4,0),""))</f>
        <v/>
      </c>
      <c r="Z91" s="21" t="str">
        <f t="shared" si="3"/>
        <v/>
      </c>
    </row>
    <row r="92" spans="1:26" ht="15.75" customHeight="1" x14ac:dyDescent="0.3">
      <c r="A92" s="16" t="str">
        <f t="shared" si="4"/>
        <v/>
      </c>
      <c r="B92" s="28"/>
      <c r="C92" s="29"/>
      <c r="D92" s="16"/>
      <c r="E92" s="16"/>
      <c r="F92" s="16"/>
      <c r="G92" s="16"/>
      <c r="H92" s="16"/>
      <c r="I92" s="31"/>
      <c r="J92" s="15"/>
      <c r="K92" s="15"/>
      <c r="L92" s="15"/>
      <c r="M92" s="16"/>
      <c r="N92" s="17"/>
      <c r="O92" s="19" t="str">
        <f t="shared" si="0"/>
        <v/>
      </c>
      <c r="P92" s="17"/>
      <c r="Q92" s="17" t="str">
        <f t="shared" ca="1" si="1"/>
        <v/>
      </c>
      <c r="R92" s="21" t="str">
        <f ca="1">IF($Q92="","",IF($Q92&lt;=Settings!$B$8,Settings!$C$8,IF($Q92&lt;=Settings!$B$9,Settings!$C$9,IF($Q92&lt;=Settings!$B$10,Settings!$C$10,IF($Q92&lt;=Settings!$B$11,Settings!$C$11,Settings!$C$12)))))</f>
        <v/>
      </c>
      <c r="S92" s="21" t="str">
        <f>IF($F92="","",IFERROR(VLOOKUP($F92,Settings!$E$8:$F$11,2,FALSE),0))</f>
        <v/>
      </c>
      <c r="T92" s="21">
        <f>IF($G92="",Settings!$B$16,1)</f>
        <v>1</v>
      </c>
      <c r="U92" s="21" t="str">
        <f t="shared" si="2"/>
        <v/>
      </c>
      <c r="V92" s="32" t="str">
        <f>IF($C92="","",IF($Q92&gt;Settings!$B$4,IF($G92="","|","")&amp;"OLD_7D","")&amp;IF($Q92&gt;Settings!$B$5,IF(OR($G92="", $Q92&gt;Settings!$B$4),"|","")&amp;"OLD_30D",""))</f>
        <v/>
      </c>
      <c r="W92" s="21" t="str">
        <f>IF(OR($C92="", $M92&lt;&gt;"APPROVED",$I92="", $U92=0),"",SUMIFS($U$3:$U$502,$H$3:$H$502,$H92,$M$3:$M$502,"APPROVED",$Q$3:$Q$502,"&lt;="&amp;Settings!$B$4,$I$3:$I$502,"&lt;="&amp;$I92))</f>
        <v/>
      </c>
      <c r="X92" s="21" t="str">
        <f>IF(OR($C92="", $M92&lt;&gt;"APPROVED",$I92="", $U92=0),"",SUMIFS($U$3:$U$502,$H$3:$H$502,$H92,$M$3:$M$502,"APPROVED",$Q$3:$Q$502,"&lt;="&amp;Settings!$B$5,$I$3:$I$502,"&lt;="&amp;$I92))</f>
        <v/>
      </c>
      <c r="Y92" s="21" t="str">
        <f>IF($P92="","",IFERROR(MATCH($P92,Lists!$H$2:$H$4,0),""))</f>
        <v/>
      </c>
      <c r="Z92" s="21" t="str">
        <f t="shared" si="3"/>
        <v/>
      </c>
    </row>
    <row r="93" spans="1:26" ht="15.75" customHeight="1" x14ac:dyDescent="0.3">
      <c r="A93" s="16" t="str">
        <f t="shared" si="4"/>
        <v/>
      </c>
      <c r="B93" s="28"/>
      <c r="C93" s="29"/>
      <c r="D93" s="16"/>
      <c r="E93" s="16"/>
      <c r="F93" s="16"/>
      <c r="G93" s="16"/>
      <c r="H93" s="16"/>
      <c r="I93" s="31"/>
      <c r="J93" s="15"/>
      <c r="K93" s="15"/>
      <c r="L93" s="15"/>
      <c r="M93" s="16"/>
      <c r="N93" s="17"/>
      <c r="O93" s="19" t="str">
        <f t="shared" si="0"/>
        <v/>
      </c>
      <c r="P93" s="17"/>
      <c r="Q93" s="17" t="str">
        <f t="shared" ca="1" si="1"/>
        <v/>
      </c>
      <c r="R93" s="21" t="str">
        <f ca="1">IF($Q93="","",IF($Q93&lt;=Settings!$B$8,Settings!$C$8,IF($Q93&lt;=Settings!$B$9,Settings!$C$9,IF($Q93&lt;=Settings!$B$10,Settings!$C$10,IF($Q93&lt;=Settings!$B$11,Settings!$C$11,Settings!$C$12)))))</f>
        <v/>
      </c>
      <c r="S93" s="21" t="str">
        <f>IF($F93="","",IFERROR(VLOOKUP($F93,Settings!$E$8:$F$11,2,FALSE),0))</f>
        <v/>
      </c>
      <c r="T93" s="21">
        <f>IF($G93="",Settings!$B$16,1)</f>
        <v>1</v>
      </c>
      <c r="U93" s="21" t="str">
        <f t="shared" si="2"/>
        <v/>
      </c>
      <c r="V93" s="32" t="str">
        <f>IF($C93="","",IF($Q93&gt;Settings!$B$4,IF($G93="","|","")&amp;"OLD_7D","")&amp;IF($Q93&gt;Settings!$B$5,IF(OR($G93="", $Q93&gt;Settings!$B$4),"|","")&amp;"OLD_30D",""))</f>
        <v/>
      </c>
      <c r="W93" s="21" t="str">
        <f>IF(OR($C93="", $M93&lt;&gt;"APPROVED",$I93="", $U93=0),"",SUMIFS($U$3:$U$502,$H$3:$H$502,$H93,$M$3:$M$502,"APPROVED",$Q$3:$Q$502,"&lt;="&amp;Settings!$B$4,$I$3:$I$502,"&lt;="&amp;$I93))</f>
        <v/>
      </c>
      <c r="X93" s="21" t="str">
        <f>IF(OR($C93="", $M93&lt;&gt;"APPROVED",$I93="", $U93=0),"",SUMIFS($U$3:$U$502,$H$3:$H$502,$H93,$M$3:$M$502,"APPROVED",$Q$3:$Q$502,"&lt;="&amp;Settings!$B$5,$I$3:$I$502,"&lt;="&amp;$I93))</f>
        <v/>
      </c>
      <c r="Y93" s="21" t="str">
        <f>IF($P93="","",IFERROR(MATCH($P93,Lists!$H$2:$H$4,0),""))</f>
        <v/>
      </c>
      <c r="Z93" s="21" t="str">
        <f t="shared" si="3"/>
        <v/>
      </c>
    </row>
    <row r="94" spans="1:26" ht="15.75" customHeight="1" x14ac:dyDescent="0.3">
      <c r="A94" s="16" t="str">
        <f t="shared" si="4"/>
        <v/>
      </c>
      <c r="B94" s="28"/>
      <c r="C94" s="29"/>
      <c r="D94" s="16"/>
      <c r="E94" s="16"/>
      <c r="F94" s="16"/>
      <c r="G94" s="16"/>
      <c r="H94" s="16"/>
      <c r="I94" s="31"/>
      <c r="J94" s="15"/>
      <c r="K94" s="15"/>
      <c r="L94" s="15"/>
      <c r="M94" s="16"/>
      <c r="N94" s="17"/>
      <c r="O94" s="19" t="str">
        <f t="shared" si="0"/>
        <v/>
      </c>
      <c r="P94" s="17"/>
      <c r="Q94" s="17" t="str">
        <f t="shared" ca="1" si="1"/>
        <v/>
      </c>
      <c r="R94" s="21" t="str">
        <f ca="1">IF($Q94="","",IF($Q94&lt;=Settings!$B$8,Settings!$C$8,IF($Q94&lt;=Settings!$B$9,Settings!$C$9,IF($Q94&lt;=Settings!$B$10,Settings!$C$10,IF($Q94&lt;=Settings!$B$11,Settings!$C$11,Settings!$C$12)))))</f>
        <v/>
      </c>
      <c r="S94" s="21" t="str">
        <f>IF($F94="","",IFERROR(VLOOKUP($F94,Settings!$E$8:$F$11,2,FALSE),0))</f>
        <v/>
      </c>
      <c r="T94" s="21">
        <f>IF($G94="",Settings!$B$16,1)</f>
        <v>1</v>
      </c>
      <c r="U94" s="21" t="str">
        <f t="shared" si="2"/>
        <v/>
      </c>
      <c r="V94" s="32" t="str">
        <f>IF($C94="","",IF($Q94&gt;Settings!$B$4,IF($G94="","|","")&amp;"OLD_7D","")&amp;IF($Q94&gt;Settings!$B$5,IF(OR($G94="", $Q94&gt;Settings!$B$4),"|","")&amp;"OLD_30D",""))</f>
        <v/>
      </c>
      <c r="W94" s="21" t="str">
        <f>IF(OR($C94="", $M94&lt;&gt;"APPROVED",$I94="", $U94=0),"",SUMIFS($U$3:$U$502,$H$3:$H$502,$H94,$M$3:$M$502,"APPROVED",$Q$3:$Q$502,"&lt;="&amp;Settings!$B$4,$I$3:$I$502,"&lt;="&amp;$I94))</f>
        <v/>
      </c>
      <c r="X94" s="21" t="str">
        <f>IF(OR($C94="", $M94&lt;&gt;"APPROVED",$I94="", $U94=0),"",SUMIFS($U$3:$U$502,$H$3:$H$502,$H94,$M$3:$M$502,"APPROVED",$Q$3:$Q$502,"&lt;="&amp;Settings!$B$5,$I$3:$I$502,"&lt;="&amp;$I94))</f>
        <v/>
      </c>
      <c r="Y94" s="21" t="str">
        <f>IF($P94="","",IFERROR(MATCH($P94,Lists!$H$2:$H$4,0),""))</f>
        <v/>
      </c>
      <c r="Z94" s="21" t="str">
        <f t="shared" si="3"/>
        <v/>
      </c>
    </row>
    <row r="95" spans="1:26" ht="15.75" customHeight="1" x14ac:dyDescent="0.3">
      <c r="A95" s="16" t="str">
        <f t="shared" si="4"/>
        <v/>
      </c>
      <c r="B95" s="28"/>
      <c r="C95" s="29"/>
      <c r="D95" s="16"/>
      <c r="E95" s="16"/>
      <c r="F95" s="16"/>
      <c r="G95" s="16"/>
      <c r="H95" s="16"/>
      <c r="I95" s="31"/>
      <c r="J95" s="15"/>
      <c r="K95" s="15"/>
      <c r="L95" s="15"/>
      <c r="M95" s="16"/>
      <c r="N95" s="17"/>
      <c r="O95" s="19" t="str">
        <f t="shared" si="0"/>
        <v/>
      </c>
      <c r="P95" s="17"/>
      <c r="Q95" s="17" t="str">
        <f t="shared" ca="1" si="1"/>
        <v/>
      </c>
      <c r="R95" s="21" t="str">
        <f ca="1">IF($Q95="","",IF($Q95&lt;=Settings!$B$8,Settings!$C$8,IF($Q95&lt;=Settings!$B$9,Settings!$C$9,IF($Q95&lt;=Settings!$B$10,Settings!$C$10,IF($Q95&lt;=Settings!$B$11,Settings!$C$11,Settings!$C$12)))))</f>
        <v/>
      </c>
      <c r="S95" s="21" t="str">
        <f>IF($F95="","",IFERROR(VLOOKUP($F95,Settings!$E$8:$F$11,2,FALSE),0))</f>
        <v/>
      </c>
      <c r="T95" s="21">
        <f>IF($G95="",Settings!$B$16,1)</f>
        <v>1</v>
      </c>
      <c r="U95" s="21" t="str">
        <f t="shared" si="2"/>
        <v/>
      </c>
      <c r="V95" s="32" t="str">
        <f>IF($C95="","",IF($Q95&gt;Settings!$B$4,IF($G95="","|","")&amp;"OLD_7D","")&amp;IF($Q95&gt;Settings!$B$5,IF(OR($G95="", $Q95&gt;Settings!$B$4),"|","")&amp;"OLD_30D",""))</f>
        <v/>
      </c>
      <c r="W95" s="21" t="str">
        <f>IF(OR($C95="", $M95&lt;&gt;"APPROVED",$I95="", $U95=0),"",SUMIFS($U$3:$U$502,$H$3:$H$502,$H95,$M$3:$M$502,"APPROVED",$Q$3:$Q$502,"&lt;="&amp;Settings!$B$4,$I$3:$I$502,"&lt;="&amp;$I95))</f>
        <v/>
      </c>
      <c r="X95" s="21" t="str">
        <f>IF(OR($C95="", $M95&lt;&gt;"APPROVED",$I95="", $U95=0),"",SUMIFS($U$3:$U$502,$H$3:$H$502,$H95,$M$3:$M$502,"APPROVED",$Q$3:$Q$502,"&lt;="&amp;Settings!$B$5,$I$3:$I$502,"&lt;="&amp;$I95))</f>
        <v/>
      </c>
      <c r="Y95" s="21" t="str">
        <f>IF($P95="","",IFERROR(MATCH($P95,Lists!$H$2:$H$4,0),""))</f>
        <v/>
      </c>
      <c r="Z95" s="21" t="str">
        <f t="shared" si="3"/>
        <v/>
      </c>
    </row>
    <row r="96" spans="1:26" ht="15.75" customHeight="1" x14ac:dyDescent="0.3">
      <c r="A96" s="16" t="str">
        <f t="shared" si="4"/>
        <v/>
      </c>
      <c r="B96" s="28"/>
      <c r="C96" s="29"/>
      <c r="D96" s="16"/>
      <c r="E96" s="16"/>
      <c r="F96" s="16"/>
      <c r="G96" s="16"/>
      <c r="H96" s="16"/>
      <c r="I96" s="31"/>
      <c r="J96" s="15"/>
      <c r="K96" s="15"/>
      <c r="L96" s="15"/>
      <c r="M96" s="16"/>
      <c r="N96" s="17"/>
      <c r="O96" s="19" t="str">
        <f t="shared" si="0"/>
        <v/>
      </c>
      <c r="P96" s="17"/>
      <c r="Q96" s="17" t="str">
        <f t="shared" ca="1" si="1"/>
        <v/>
      </c>
      <c r="R96" s="21" t="str">
        <f ca="1">IF($Q96="","",IF($Q96&lt;=Settings!$B$8,Settings!$C$8,IF($Q96&lt;=Settings!$B$9,Settings!$C$9,IF($Q96&lt;=Settings!$B$10,Settings!$C$10,IF($Q96&lt;=Settings!$B$11,Settings!$C$11,Settings!$C$12)))))</f>
        <v/>
      </c>
      <c r="S96" s="21" t="str">
        <f>IF($F96="","",IFERROR(VLOOKUP($F96,Settings!$E$8:$F$11,2,FALSE),0))</f>
        <v/>
      </c>
      <c r="T96" s="21">
        <f>IF($G96="",Settings!$B$16,1)</f>
        <v>1</v>
      </c>
      <c r="U96" s="21" t="str">
        <f t="shared" si="2"/>
        <v/>
      </c>
      <c r="V96" s="32" t="str">
        <f>IF($C96="","",IF($Q96&gt;Settings!$B$4,IF($G96="","|","")&amp;"OLD_7D","")&amp;IF($Q96&gt;Settings!$B$5,IF(OR($G96="", $Q96&gt;Settings!$B$4),"|","")&amp;"OLD_30D",""))</f>
        <v/>
      </c>
      <c r="W96" s="21" t="str">
        <f>IF(OR($C96="", $M96&lt;&gt;"APPROVED",$I96="", $U96=0),"",SUMIFS($U$3:$U$502,$H$3:$H$502,$H96,$M$3:$M$502,"APPROVED",$Q$3:$Q$502,"&lt;="&amp;Settings!$B$4,$I$3:$I$502,"&lt;="&amp;$I96))</f>
        <v/>
      </c>
      <c r="X96" s="21" t="str">
        <f>IF(OR($C96="", $M96&lt;&gt;"APPROVED",$I96="", $U96=0),"",SUMIFS($U$3:$U$502,$H$3:$H$502,$H96,$M$3:$M$502,"APPROVED",$Q$3:$Q$502,"&lt;="&amp;Settings!$B$5,$I$3:$I$502,"&lt;="&amp;$I96))</f>
        <v/>
      </c>
      <c r="Y96" s="21" t="str">
        <f>IF($P96="","",IFERROR(MATCH($P96,Lists!$H$2:$H$4,0),""))</f>
        <v/>
      </c>
      <c r="Z96" s="21" t="str">
        <f t="shared" si="3"/>
        <v/>
      </c>
    </row>
    <row r="97" spans="1:26" ht="15.75" customHeight="1" x14ac:dyDescent="0.3">
      <c r="A97" s="16" t="str">
        <f t="shared" si="4"/>
        <v/>
      </c>
      <c r="B97" s="28"/>
      <c r="C97" s="29"/>
      <c r="D97" s="16"/>
      <c r="E97" s="16"/>
      <c r="F97" s="16"/>
      <c r="G97" s="16"/>
      <c r="H97" s="16"/>
      <c r="I97" s="31"/>
      <c r="J97" s="15"/>
      <c r="K97" s="15"/>
      <c r="L97" s="15"/>
      <c r="M97" s="16"/>
      <c r="N97" s="17"/>
      <c r="O97" s="19" t="str">
        <f t="shared" si="0"/>
        <v/>
      </c>
      <c r="P97" s="17"/>
      <c r="Q97" s="17" t="str">
        <f t="shared" ca="1" si="1"/>
        <v/>
      </c>
      <c r="R97" s="21" t="str">
        <f ca="1">IF($Q97="","",IF($Q97&lt;=Settings!$B$8,Settings!$C$8,IF($Q97&lt;=Settings!$B$9,Settings!$C$9,IF($Q97&lt;=Settings!$B$10,Settings!$C$10,IF($Q97&lt;=Settings!$B$11,Settings!$C$11,Settings!$C$12)))))</f>
        <v/>
      </c>
      <c r="S97" s="21" t="str">
        <f>IF($F97="","",IFERROR(VLOOKUP($F97,Settings!$E$8:$F$11,2,FALSE),0))</f>
        <v/>
      </c>
      <c r="T97" s="21">
        <f>IF($G97="",Settings!$B$16,1)</f>
        <v>1</v>
      </c>
      <c r="U97" s="21" t="str">
        <f t="shared" si="2"/>
        <v/>
      </c>
      <c r="V97" s="32" t="str">
        <f>IF($C97="","",IF($Q97&gt;Settings!$B$4,IF($G97="","|","")&amp;"OLD_7D","")&amp;IF($Q97&gt;Settings!$B$5,IF(OR($G97="", $Q97&gt;Settings!$B$4),"|","")&amp;"OLD_30D",""))</f>
        <v/>
      </c>
      <c r="W97" s="21" t="str">
        <f>IF(OR($C97="", $M97&lt;&gt;"APPROVED",$I97="", $U97=0),"",SUMIFS($U$3:$U$502,$H$3:$H$502,$H97,$M$3:$M$502,"APPROVED",$Q$3:$Q$502,"&lt;="&amp;Settings!$B$4,$I$3:$I$502,"&lt;="&amp;$I97))</f>
        <v/>
      </c>
      <c r="X97" s="21" t="str">
        <f>IF(OR($C97="", $M97&lt;&gt;"APPROVED",$I97="", $U97=0),"",SUMIFS($U$3:$U$502,$H$3:$H$502,$H97,$M$3:$M$502,"APPROVED",$Q$3:$Q$502,"&lt;="&amp;Settings!$B$5,$I$3:$I$502,"&lt;="&amp;$I97))</f>
        <v/>
      </c>
      <c r="Y97" s="21" t="str">
        <f>IF($P97="","",IFERROR(MATCH($P97,Lists!$H$2:$H$4,0),""))</f>
        <v/>
      </c>
      <c r="Z97" s="21" t="str">
        <f t="shared" si="3"/>
        <v/>
      </c>
    </row>
    <row r="98" spans="1:26" ht="15.75" customHeight="1" x14ac:dyDescent="0.3">
      <c r="A98" s="16" t="str">
        <f t="shared" si="4"/>
        <v/>
      </c>
      <c r="B98" s="28"/>
      <c r="C98" s="29"/>
      <c r="D98" s="16"/>
      <c r="E98" s="16"/>
      <c r="F98" s="16"/>
      <c r="G98" s="16"/>
      <c r="H98" s="16"/>
      <c r="I98" s="31"/>
      <c r="J98" s="15"/>
      <c r="K98" s="15"/>
      <c r="L98" s="15"/>
      <c r="M98" s="16"/>
      <c r="N98" s="17"/>
      <c r="O98" s="19" t="str">
        <f t="shared" si="0"/>
        <v/>
      </c>
      <c r="P98" s="17"/>
      <c r="Q98" s="17" t="str">
        <f t="shared" ca="1" si="1"/>
        <v/>
      </c>
      <c r="R98" s="21" t="str">
        <f ca="1">IF($Q98="","",IF($Q98&lt;=Settings!$B$8,Settings!$C$8,IF($Q98&lt;=Settings!$B$9,Settings!$C$9,IF($Q98&lt;=Settings!$B$10,Settings!$C$10,IF($Q98&lt;=Settings!$B$11,Settings!$C$11,Settings!$C$12)))))</f>
        <v/>
      </c>
      <c r="S98" s="21" t="str">
        <f>IF($F98="","",IFERROR(VLOOKUP($F98,Settings!$E$8:$F$11,2,FALSE),0))</f>
        <v/>
      </c>
      <c r="T98" s="21">
        <f>IF($G98="",Settings!$B$16,1)</f>
        <v>1</v>
      </c>
      <c r="U98" s="21" t="str">
        <f t="shared" si="2"/>
        <v/>
      </c>
      <c r="V98" s="32" t="str">
        <f>IF($C98="","",IF($Q98&gt;Settings!$B$4,IF($G98="","|","")&amp;"OLD_7D","")&amp;IF($Q98&gt;Settings!$B$5,IF(OR($G98="", $Q98&gt;Settings!$B$4),"|","")&amp;"OLD_30D",""))</f>
        <v/>
      </c>
      <c r="W98" s="21" t="str">
        <f>IF(OR($C98="", $M98&lt;&gt;"APPROVED",$I98="", $U98=0),"",SUMIFS($U$3:$U$502,$H$3:$H$502,$H98,$M$3:$M$502,"APPROVED",$Q$3:$Q$502,"&lt;="&amp;Settings!$B$4,$I$3:$I$502,"&lt;="&amp;$I98))</f>
        <v/>
      </c>
      <c r="X98" s="21" t="str">
        <f>IF(OR($C98="", $M98&lt;&gt;"APPROVED",$I98="", $U98=0),"",SUMIFS($U$3:$U$502,$H$3:$H$502,$H98,$M$3:$M$502,"APPROVED",$Q$3:$Q$502,"&lt;="&amp;Settings!$B$5,$I$3:$I$502,"&lt;="&amp;$I98))</f>
        <v/>
      </c>
      <c r="Y98" s="21" t="str">
        <f>IF($P98="","",IFERROR(MATCH($P98,Lists!$H$2:$H$4,0),""))</f>
        <v/>
      </c>
      <c r="Z98" s="21" t="str">
        <f t="shared" si="3"/>
        <v/>
      </c>
    </row>
    <row r="99" spans="1:26" ht="15.75" customHeight="1" x14ac:dyDescent="0.3">
      <c r="A99" s="16" t="str">
        <f t="shared" si="4"/>
        <v/>
      </c>
      <c r="B99" s="28"/>
      <c r="C99" s="29"/>
      <c r="D99" s="16"/>
      <c r="E99" s="16"/>
      <c r="F99" s="16"/>
      <c r="G99" s="16"/>
      <c r="H99" s="16"/>
      <c r="I99" s="31"/>
      <c r="J99" s="15"/>
      <c r="K99" s="15"/>
      <c r="L99" s="15"/>
      <c r="M99" s="16"/>
      <c r="N99" s="17"/>
      <c r="O99" s="19" t="str">
        <f t="shared" si="0"/>
        <v/>
      </c>
      <c r="P99" s="17"/>
      <c r="Q99" s="17" t="str">
        <f t="shared" ca="1" si="1"/>
        <v/>
      </c>
      <c r="R99" s="21" t="str">
        <f ca="1">IF($Q99="","",IF($Q99&lt;=Settings!$B$8,Settings!$C$8,IF($Q99&lt;=Settings!$B$9,Settings!$C$9,IF($Q99&lt;=Settings!$B$10,Settings!$C$10,IF($Q99&lt;=Settings!$B$11,Settings!$C$11,Settings!$C$12)))))</f>
        <v/>
      </c>
      <c r="S99" s="21" t="str">
        <f>IF($F99="","",IFERROR(VLOOKUP($F99,Settings!$E$8:$F$11,2,FALSE),0))</f>
        <v/>
      </c>
      <c r="T99" s="21">
        <f>IF($G99="",Settings!$B$16,1)</f>
        <v>1</v>
      </c>
      <c r="U99" s="21" t="str">
        <f t="shared" si="2"/>
        <v/>
      </c>
      <c r="V99" s="32" t="str">
        <f>IF($C99="","",IF($Q99&gt;Settings!$B$4,IF($G99="","|","")&amp;"OLD_7D","")&amp;IF($Q99&gt;Settings!$B$5,IF(OR($G99="", $Q99&gt;Settings!$B$4),"|","")&amp;"OLD_30D",""))</f>
        <v/>
      </c>
      <c r="W99" s="21" t="str">
        <f>IF(OR($C99="", $M99&lt;&gt;"APPROVED",$I99="", $U99=0),"",SUMIFS($U$3:$U$502,$H$3:$H$502,$H99,$M$3:$M$502,"APPROVED",$Q$3:$Q$502,"&lt;="&amp;Settings!$B$4,$I$3:$I$502,"&lt;="&amp;$I99))</f>
        <v/>
      </c>
      <c r="X99" s="21" t="str">
        <f>IF(OR($C99="", $M99&lt;&gt;"APPROVED",$I99="", $U99=0),"",SUMIFS($U$3:$U$502,$H$3:$H$502,$H99,$M$3:$M$502,"APPROVED",$Q$3:$Q$502,"&lt;="&amp;Settings!$B$5,$I$3:$I$502,"&lt;="&amp;$I99))</f>
        <v/>
      </c>
      <c r="Y99" s="21" t="str">
        <f>IF($P99="","",IFERROR(MATCH($P99,Lists!$H$2:$H$4,0),""))</f>
        <v/>
      </c>
      <c r="Z99" s="21" t="str">
        <f t="shared" si="3"/>
        <v/>
      </c>
    </row>
    <row r="100" spans="1:26" ht="15.75" customHeight="1" x14ac:dyDescent="0.3">
      <c r="A100" s="16" t="str">
        <f t="shared" si="4"/>
        <v/>
      </c>
      <c r="B100" s="28"/>
      <c r="C100" s="29"/>
      <c r="D100" s="16"/>
      <c r="E100" s="16"/>
      <c r="F100" s="16"/>
      <c r="G100" s="16"/>
      <c r="H100" s="16"/>
      <c r="I100" s="31"/>
      <c r="J100" s="15"/>
      <c r="K100" s="15"/>
      <c r="L100" s="15"/>
      <c r="M100" s="16"/>
      <c r="N100" s="17"/>
      <c r="O100" s="19" t="str">
        <f t="shared" si="0"/>
        <v/>
      </c>
      <c r="P100" s="17"/>
      <c r="Q100" s="17" t="str">
        <f t="shared" ca="1" si="1"/>
        <v/>
      </c>
      <c r="R100" s="21" t="str">
        <f ca="1">IF($Q100="","",IF($Q100&lt;=Settings!$B$8,Settings!$C$8,IF($Q100&lt;=Settings!$B$9,Settings!$C$9,IF($Q100&lt;=Settings!$B$10,Settings!$C$10,IF($Q100&lt;=Settings!$B$11,Settings!$C$11,Settings!$C$12)))))</f>
        <v/>
      </c>
      <c r="S100" s="21" t="str">
        <f>IF($F100="","",IFERROR(VLOOKUP($F100,Settings!$E$8:$F$11,2,FALSE),0))</f>
        <v/>
      </c>
      <c r="T100" s="21">
        <f>IF($G100="",Settings!$B$16,1)</f>
        <v>1</v>
      </c>
      <c r="U100" s="21" t="str">
        <f t="shared" si="2"/>
        <v/>
      </c>
      <c r="V100" s="32" t="str">
        <f>IF($C100="","",IF($Q100&gt;Settings!$B$4,IF($G100="","|","")&amp;"OLD_7D","")&amp;IF($Q100&gt;Settings!$B$5,IF(OR($G100="", $Q100&gt;Settings!$B$4),"|","")&amp;"OLD_30D",""))</f>
        <v/>
      </c>
      <c r="W100" s="21" t="str">
        <f>IF(OR($C100="", $M100&lt;&gt;"APPROVED",$I100="", $U100=0),"",SUMIFS($U$3:$U$502,$H$3:$H$502,$H100,$M$3:$M$502,"APPROVED",$Q$3:$Q$502,"&lt;="&amp;Settings!$B$4,$I$3:$I$502,"&lt;="&amp;$I100))</f>
        <v/>
      </c>
      <c r="X100" s="21" t="str">
        <f>IF(OR($C100="", $M100&lt;&gt;"APPROVED",$I100="", $U100=0),"",SUMIFS($U$3:$U$502,$H$3:$H$502,$H100,$M$3:$M$502,"APPROVED",$Q$3:$Q$502,"&lt;="&amp;Settings!$B$5,$I$3:$I$502,"&lt;="&amp;$I100))</f>
        <v/>
      </c>
      <c r="Y100" s="21" t="str">
        <f>IF($P100="","",IFERROR(MATCH($P100,Lists!$H$2:$H$4,0),""))</f>
        <v/>
      </c>
      <c r="Z100" s="21" t="str">
        <f t="shared" si="3"/>
        <v/>
      </c>
    </row>
    <row r="101" spans="1:26" ht="15.75" customHeight="1" x14ac:dyDescent="0.3">
      <c r="A101" s="16" t="str">
        <f t="shared" si="4"/>
        <v/>
      </c>
      <c r="B101" s="28"/>
      <c r="C101" s="29"/>
      <c r="D101" s="16"/>
      <c r="E101" s="16"/>
      <c r="F101" s="16"/>
      <c r="G101" s="16"/>
      <c r="H101" s="16"/>
      <c r="I101" s="31"/>
      <c r="J101" s="15"/>
      <c r="K101" s="15"/>
      <c r="L101" s="15"/>
      <c r="M101" s="16"/>
      <c r="N101" s="17"/>
      <c r="O101" s="19" t="str">
        <f t="shared" si="0"/>
        <v/>
      </c>
      <c r="P101" s="17"/>
      <c r="Q101" s="17" t="str">
        <f t="shared" ca="1" si="1"/>
        <v/>
      </c>
      <c r="R101" s="21" t="str">
        <f ca="1">IF($Q101="","",IF($Q101&lt;=Settings!$B$8,Settings!$C$8,IF($Q101&lt;=Settings!$B$9,Settings!$C$9,IF($Q101&lt;=Settings!$B$10,Settings!$C$10,IF($Q101&lt;=Settings!$B$11,Settings!$C$11,Settings!$C$12)))))</f>
        <v/>
      </c>
      <c r="S101" s="21" t="str">
        <f>IF($F101="","",IFERROR(VLOOKUP($F101,Settings!$E$8:$F$11,2,FALSE),0))</f>
        <v/>
      </c>
      <c r="T101" s="21">
        <f>IF($G101="",Settings!$B$16,1)</f>
        <v>1</v>
      </c>
      <c r="U101" s="21" t="str">
        <f t="shared" si="2"/>
        <v/>
      </c>
      <c r="V101" s="32" t="str">
        <f>IF($C101="","",IF($Q101&gt;Settings!$B$4,IF($G101="","|","")&amp;"OLD_7D","")&amp;IF($Q101&gt;Settings!$B$5,IF(OR($G101="", $Q101&gt;Settings!$B$4),"|","")&amp;"OLD_30D",""))</f>
        <v/>
      </c>
      <c r="W101" s="21" t="str">
        <f>IF(OR($C101="", $M101&lt;&gt;"APPROVED",$I101="", $U101=0),"",SUMIFS($U$3:$U$502,$H$3:$H$502,$H101,$M$3:$M$502,"APPROVED",$Q$3:$Q$502,"&lt;="&amp;Settings!$B$4,$I$3:$I$502,"&lt;="&amp;$I101))</f>
        <v/>
      </c>
      <c r="X101" s="21" t="str">
        <f>IF(OR($C101="", $M101&lt;&gt;"APPROVED",$I101="", $U101=0),"",SUMIFS($U$3:$U$502,$H$3:$H$502,$H101,$M$3:$M$502,"APPROVED",$Q$3:$Q$502,"&lt;="&amp;Settings!$B$5,$I$3:$I$502,"&lt;="&amp;$I101))</f>
        <v/>
      </c>
      <c r="Y101" s="21" t="str">
        <f>IF($P101="","",IFERROR(MATCH($P101,Lists!$H$2:$H$4,0),""))</f>
        <v/>
      </c>
      <c r="Z101" s="21" t="str">
        <f t="shared" si="3"/>
        <v/>
      </c>
    </row>
    <row r="102" spans="1:26" ht="15.75" customHeight="1" x14ac:dyDescent="0.3">
      <c r="A102" s="16" t="str">
        <f t="shared" si="4"/>
        <v/>
      </c>
      <c r="B102" s="28"/>
      <c r="C102" s="29"/>
      <c r="D102" s="16"/>
      <c r="E102" s="16"/>
      <c r="F102" s="16"/>
      <c r="G102" s="16"/>
      <c r="H102" s="16"/>
      <c r="I102" s="31"/>
      <c r="J102" s="15"/>
      <c r="K102" s="15"/>
      <c r="L102" s="15"/>
      <c r="M102" s="16"/>
      <c r="N102" s="17"/>
      <c r="O102" s="19" t="str">
        <f t="shared" si="0"/>
        <v/>
      </c>
      <c r="P102" s="17"/>
      <c r="Q102" s="17" t="str">
        <f t="shared" ca="1" si="1"/>
        <v/>
      </c>
      <c r="R102" s="21" t="str">
        <f ca="1">IF($Q102="","",IF($Q102&lt;=Settings!$B$8,Settings!$C$8,IF($Q102&lt;=Settings!$B$9,Settings!$C$9,IF($Q102&lt;=Settings!$B$10,Settings!$C$10,IF($Q102&lt;=Settings!$B$11,Settings!$C$11,Settings!$C$12)))))</f>
        <v/>
      </c>
      <c r="S102" s="21" t="str">
        <f>IF($F102="","",IFERROR(VLOOKUP($F102,Settings!$E$8:$F$11,2,FALSE),0))</f>
        <v/>
      </c>
      <c r="T102" s="21">
        <f>IF($G102="",Settings!$B$16,1)</f>
        <v>1</v>
      </c>
      <c r="U102" s="21" t="str">
        <f t="shared" si="2"/>
        <v/>
      </c>
      <c r="V102" s="32" t="str">
        <f>IF($C102="","",IF($Q102&gt;Settings!$B$4,IF($G102="","|","")&amp;"OLD_7D","")&amp;IF($Q102&gt;Settings!$B$5,IF(OR($G102="", $Q102&gt;Settings!$B$4),"|","")&amp;"OLD_30D",""))</f>
        <v/>
      </c>
      <c r="W102" s="21" t="str">
        <f>IF(OR($C102="", $M102&lt;&gt;"APPROVED",$I102="", $U102=0),"",SUMIFS($U$3:$U$502,$H$3:$H$502,$H102,$M$3:$M$502,"APPROVED",$Q$3:$Q$502,"&lt;="&amp;Settings!$B$4,$I$3:$I$502,"&lt;="&amp;$I102))</f>
        <v/>
      </c>
      <c r="X102" s="21" t="str">
        <f>IF(OR($C102="", $M102&lt;&gt;"APPROVED",$I102="", $U102=0),"",SUMIFS($U$3:$U$502,$H$3:$H$502,$H102,$M$3:$M$502,"APPROVED",$Q$3:$Q$502,"&lt;="&amp;Settings!$B$5,$I$3:$I$502,"&lt;="&amp;$I102))</f>
        <v/>
      </c>
      <c r="Y102" s="21" t="str">
        <f>IF($P102="","",IFERROR(MATCH($P102,Lists!$H$2:$H$4,0),""))</f>
        <v/>
      </c>
      <c r="Z102" s="21" t="str">
        <f t="shared" si="3"/>
        <v/>
      </c>
    </row>
    <row r="103" spans="1:26" ht="15.75" customHeight="1" x14ac:dyDescent="0.3">
      <c r="A103" s="16" t="str">
        <f t="shared" si="4"/>
        <v/>
      </c>
      <c r="B103" s="28"/>
      <c r="C103" s="29"/>
      <c r="D103" s="16"/>
      <c r="E103" s="16"/>
      <c r="F103" s="16"/>
      <c r="G103" s="16"/>
      <c r="H103" s="16"/>
      <c r="I103" s="31"/>
      <c r="J103" s="15"/>
      <c r="K103" s="15"/>
      <c r="L103" s="15"/>
      <c r="M103" s="16"/>
      <c r="N103" s="17"/>
      <c r="O103" s="19" t="str">
        <f t="shared" si="0"/>
        <v/>
      </c>
      <c r="P103" s="17"/>
      <c r="Q103" s="17" t="str">
        <f t="shared" ca="1" si="1"/>
        <v/>
      </c>
      <c r="R103" s="21" t="str">
        <f ca="1">IF($Q103="","",IF($Q103&lt;=Settings!$B$8,Settings!$C$8,IF($Q103&lt;=Settings!$B$9,Settings!$C$9,IF($Q103&lt;=Settings!$B$10,Settings!$C$10,IF($Q103&lt;=Settings!$B$11,Settings!$C$11,Settings!$C$12)))))</f>
        <v/>
      </c>
      <c r="S103" s="21" t="str">
        <f>IF($F103="","",IFERROR(VLOOKUP($F103,Settings!$E$8:$F$11,2,FALSE),0))</f>
        <v/>
      </c>
      <c r="T103" s="21">
        <f>IF($G103="",Settings!$B$16,1)</f>
        <v>1</v>
      </c>
      <c r="U103" s="21" t="str">
        <f t="shared" si="2"/>
        <v/>
      </c>
      <c r="V103" s="32" t="str">
        <f>IF($C103="","",IF($Q103&gt;Settings!$B$4,IF($G103="","|","")&amp;"OLD_7D","")&amp;IF($Q103&gt;Settings!$B$5,IF(OR($G103="", $Q103&gt;Settings!$B$4),"|","")&amp;"OLD_30D",""))</f>
        <v/>
      </c>
      <c r="W103" s="21" t="str">
        <f>IF(OR($C103="", $M103&lt;&gt;"APPROVED",$I103="", $U103=0),"",SUMIFS($U$3:$U$502,$H$3:$H$502,$H103,$M$3:$M$502,"APPROVED",$Q$3:$Q$502,"&lt;="&amp;Settings!$B$4,$I$3:$I$502,"&lt;="&amp;$I103))</f>
        <v/>
      </c>
      <c r="X103" s="21" t="str">
        <f>IF(OR($C103="", $M103&lt;&gt;"APPROVED",$I103="", $U103=0),"",SUMIFS($U$3:$U$502,$H$3:$H$502,$H103,$M$3:$M$502,"APPROVED",$Q$3:$Q$502,"&lt;="&amp;Settings!$B$5,$I$3:$I$502,"&lt;="&amp;$I103))</f>
        <v/>
      </c>
      <c r="Y103" s="21" t="str">
        <f>IF($P103="","",IFERROR(MATCH($P103,Lists!$H$2:$H$4,0),""))</f>
        <v/>
      </c>
      <c r="Z103" s="21" t="str">
        <f t="shared" si="3"/>
        <v/>
      </c>
    </row>
    <row r="104" spans="1:26" ht="15.75" customHeight="1" x14ac:dyDescent="0.3">
      <c r="A104" s="16" t="str">
        <f t="shared" si="4"/>
        <v/>
      </c>
      <c r="B104" s="28"/>
      <c r="C104" s="29"/>
      <c r="D104" s="16"/>
      <c r="E104" s="16"/>
      <c r="F104" s="16"/>
      <c r="G104" s="16"/>
      <c r="H104" s="16"/>
      <c r="I104" s="31"/>
      <c r="J104" s="15"/>
      <c r="K104" s="15"/>
      <c r="L104" s="15"/>
      <c r="M104" s="16"/>
      <c r="N104" s="17"/>
      <c r="O104" s="19" t="str">
        <f t="shared" si="0"/>
        <v/>
      </c>
      <c r="P104" s="17"/>
      <c r="Q104" s="17" t="str">
        <f t="shared" ca="1" si="1"/>
        <v/>
      </c>
      <c r="R104" s="21" t="str">
        <f ca="1">IF($Q104="","",IF($Q104&lt;=Settings!$B$8,Settings!$C$8,IF($Q104&lt;=Settings!$B$9,Settings!$C$9,IF($Q104&lt;=Settings!$B$10,Settings!$C$10,IF($Q104&lt;=Settings!$B$11,Settings!$C$11,Settings!$C$12)))))</f>
        <v/>
      </c>
      <c r="S104" s="21" t="str">
        <f>IF($F104="","",IFERROR(VLOOKUP($F104,Settings!$E$8:$F$11,2,FALSE),0))</f>
        <v/>
      </c>
      <c r="T104" s="21">
        <f>IF($G104="",Settings!$B$16,1)</f>
        <v>1</v>
      </c>
      <c r="U104" s="21" t="str">
        <f t="shared" si="2"/>
        <v/>
      </c>
      <c r="V104" s="32" t="str">
        <f>IF($C104="","",IF($Q104&gt;Settings!$B$4,IF($G104="","|","")&amp;"OLD_7D","")&amp;IF($Q104&gt;Settings!$B$5,IF(OR($G104="", $Q104&gt;Settings!$B$4),"|","")&amp;"OLD_30D",""))</f>
        <v/>
      </c>
      <c r="W104" s="21" t="str">
        <f>IF(OR($C104="", $M104&lt;&gt;"APPROVED",$I104="", $U104=0),"",SUMIFS($U$3:$U$502,$H$3:$H$502,$H104,$M$3:$M$502,"APPROVED",$Q$3:$Q$502,"&lt;="&amp;Settings!$B$4,$I$3:$I$502,"&lt;="&amp;$I104))</f>
        <v/>
      </c>
      <c r="X104" s="21" t="str">
        <f>IF(OR($C104="", $M104&lt;&gt;"APPROVED",$I104="", $U104=0),"",SUMIFS($U$3:$U$502,$H$3:$H$502,$H104,$M$3:$M$502,"APPROVED",$Q$3:$Q$502,"&lt;="&amp;Settings!$B$5,$I$3:$I$502,"&lt;="&amp;$I104))</f>
        <v/>
      </c>
      <c r="Y104" s="21" t="str">
        <f>IF($P104="","",IFERROR(MATCH($P104,Lists!$H$2:$H$4,0),""))</f>
        <v/>
      </c>
      <c r="Z104" s="21" t="str">
        <f t="shared" si="3"/>
        <v/>
      </c>
    </row>
    <row r="105" spans="1:26" ht="15.75" customHeight="1" x14ac:dyDescent="0.3">
      <c r="A105" s="16" t="str">
        <f t="shared" si="4"/>
        <v/>
      </c>
      <c r="B105" s="28"/>
      <c r="C105" s="29"/>
      <c r="D105" s="16"/>
      <c r="E105" s="16"/>
      <c r="F105" s="16"/>
      <c r="G105" s="16"/>
      <c r="H105" s="16"/>
      <c r="I105" s="31"/>
      <c r="J105" s="15"/>
      <c r="K105" s="15"/>
      <c r="L105" s="15"/>
      <c r="M105" s="16"/>
      <c r="N105" s="17"/>
      <c r="O105" s="19" t="str">
        <f t="shared" si="0"/>
        <v/>
      </c>
      <c r="P105" s="17"/>
      <c r="Q105" s="17" t="str">
        <f t="shared" ca="1" si="1"/>
        <v/>
      </c>
      <c r="R105" s="21" t="str">
        <f ca="1">IF($Q105="","",IF($Q105&lt;=Settings!$B$8,Settings!$C$8,IF($Q105&lt;=Settings!$B$9,Settings!$C$9,IF($Q105&lt;=Settings!$B$10,Settings!$C$10,IF($Q105&lt;=Settings!$B$11,Settings!$C$11,Settings!$C$12)))))</f>
        <v/>
      </c>
      <c r="S105" s="21" t="str">
        <f>IF($F105="","",IFERROR(VLOOKUP($F105,Settings!$E$8:$F$11,2,FALSE),0))</f>
        <v/>
      </c>
      <c r="T105" s="21">
        <f>IF($G105="",Settings!$B$16,1)</f>
        <v>1</v>
      </c>
      <c r="U105" s="21" t="str">
        <f t="shared" si="2"/>
        <v/>
      </c>
      <c r="V105" s="32" t="str">
        <f>IF($C105="","",IF($Q105&gt;Settings!$B$4,IF($G105="","|","")&amp;"OLD_7D","")&amp;IF($Q105&gt;Settings!$B$5,IF(OR($G105="", $Q105&gt;Settings!$B$4),"|","")&amp;"OLD_30D",""))</f>
        <v/>
      </c>
      <c r="W105" s="21" t="str">
        <f>IF(OR($C105="", $M105&lt;&gt;"APPROVED",$I105="", $U105=0),"",SUMIFS($U$3:$U$502,$H$3:$H$502,$H105,$M$3:$M$502,"APPROVED",$Q$3:$Q$502,"&lt;="&amp;Settings!$B$4,$I$3:$I$502,"&lt;="&amp;$I105))</f>
        <v/>
      </c>
      <c r="X105" s="21" t="str">
        <f>IF(OR($C105="", $M105&lt;&gt;"APPROVED",$I105="", $U105=0),"",SUMIFS($U$3:$U$502,$H$3:$H$502,$H105,$M$3:$M$502,"APPROVED",$Q$3:$Q$502,"&lt;="&amp;Settings!$B$5,$I$3:$I$502,"&lt;="&amp;$I105))</f>
        <v/>
      </c>
      <c r="Y105" s="21" t="str">
        <f>IF($P105="","",IFERROR(MATCH($P105,Lists!$H$2:$H$4,0),""))</f>
        <v/>
      </c>
      <c r="Z105" s="21" t="str">
        <f t="shared" si="3"/>
        <v/>
      </c>
    </row>
    <row r="106" spans="1:26" ht="15.75" customHeight="1" x14ac:dyDescent="0.3">
      <c r="A106" s="16" t="str">
        <f t="shared" si="4"/>
        <v/>
      </c>
      <c r="B106" s="28"/>
      <c r="C106" s="29"/>
      <c r="D106" s="16"/>
      <c r="E106" s="16"/>
      <c r="F106" s="16"/>
      <c r="G106" s="16"/>
      <c r="H106" s="16"/>
      <c r="I106" s="31"/>
      <c r="J106" s="15"/>
      <c r="K106" s="15"/>
      <c r="L106" s="15"/>
      <c r="M106" s="16"/>
      <c r="N106" s="17"/>
      <c r="O106" s="19" t="str">
        <f t="shared" si="0"/>
        <v/>
      </c>
      <c r="P106" s="17"/>
      <c r="Q106" s="17" t="str">
        <f t="shared" ca="1" si="1"/>
        <v/>
      </c>
      <c r="R106" s="21" t="str">
        <f ca="1">IF($Q106="","",IF($Q106&lt;=Settings!$B$8,Settings!$C$8,IF($Q106&lt;=Settings!$B$9,Settings!$C$9,IF($Q106&lt;=Settings!$B$10,Settings!$C$10,IF($Q106&lt;=Settings!$B$11,Settings!$C$11,Settings!$C$12)))))</f>
        <v/>
      </c>
      <c r="S106" s="21" t="str">
        <f>IF($F106="","",IFERROR(VLOOKUP($F106,Settings!$E$8:$F$11,2,FALSE),0))</f>
        <v/>
      </c>
      <c r="T106" s="21">
        <f>IF($G106="",Settings!$B$16,1)</f>
        <v>1</v>
      </c>
      <c r="U106" s="21" t="str">
        <f t="shared" si="2"/>
        <v/>
      </c>
      <c r="V106" s="32" t="str">
        <f>IF($C106="","",IF($Q106&gt;Settings!$B$4,IF($G106="","|","")&amp;"OLD_7D","")&amp;IF($Q106&gt;Settings!$B$5,IF(OR($G106="", $Q106&gt;Settings!$B$4),"|","")&amp;"OLD_30D",""))</f>
        <v/>
      </c>
      <c r="W106" s="21" t="str">
        <f>IF(OR($C106="", $M106&lt;&gt;"APPROVED",$I106="", $U106=0),"",SUMIFS($U$3:$U$502,$H$3:$H$502,$H106,$M$3:$M$502,"APPROVED",$Q$3:$Q$502,"&lt;="&amp;Settings!$B$4,$I$3:$I$502,"&lt;="&amp;$I106))</f>
        <v/>
      </c>
      <c r="X106" s="21" t="str">
        <f>IF(OR($C106="", $M106&lt;&gt;"APPROVED",$I106="", $U106=0),"",SUMIFS($U$3:$U$502,$H$3:$H$502,$H106,$M$3:$M$502,"APPROVED",$Q$3:$Q$502,"&lt;="&amp;Settings!$B$5,$I$3:$I$502,"&lt;="&amp;$I106))</f>
        <v/>
      </c>
      <c r="Y106" s="21" t="str">
        <f>IF($P106="","",IFERROR(MATCH($P106,Lists!$H$2:$H$4,0),""))</f>
        <v/>
      </c>
      <c r="Z106" s="21" t="str">
        <f t="shared" si="3"/>
        <v/>
      </c>
    </row>
    <row r="107" spans="1:26" ht="15.75" customHeight="1" x14ac:dyDescent="0.3">
      <c r="A107" s="16" t="str">
        <f t="shared" si="4"/>
        <v/>
      </c>
      <c r="B107" s="28"/>
      <c r="C107" s="29"/>
      <c r="D107" s="16"/>
      <c r="E107" s="16"/>
      <c r="F107" s="16"/>
      <c r="G107" s="16"/>
      <c r="H107" s="16"/>
      <c r="I107" s="31"/>
      <c r="J107" s="15"/>
      <c r="K107" s="15"/>
      <c r="L107" s="15"/>
      <c r="M107" s="16"/>
      <c r="N107" s="17"/>
      <c r="O107" s="19" t="str">
        <f t="shared" si="0"/>
        <v/>
      </c>
      <c r="P107" s="17"/>
      <c r="Q107" s="17" t="str">
        <f t="shared" ca="1" si="1"/>
        <v/>
      </c>
      <c r="R107" s="21" t="str">
        <f ca="1">IF($Q107="","",IF($Q107&lt;=Settings!$B$8,Settings!$C$8,IF($Q107&lt;=Settings!$B$9,Settings!$C$9,IF($Q107&lt;=Settings!$B$10,Settings!$C$10,IF($Q107&lt;=Settings!$B$11,Settings!$C$11,Settings!$C$12)))))</f>
        <v/>
      </c>
      <c r="S107" s="21" t="str">
        <f>IF($F107="","",IFERROR(VLOOKUP($F107,Settings!$E$8:$F$11,2,FALSE),0))</f>
        <v/>
      </c>
      <c r="T107" s="21">
        <f>IF($G107="",Settings!$B$16,1)</f>
        <v>1</v>
      </c>
      <c r="U107" s="21" t="str">
        <f t="shared" si="2"/>
        <v/>
      </c>
      <c r="V107" s="32" t="str">
        <f>IF($C107="","",IF($Q107&gt;Settings!$B$4,IF($G107="","|","")&amp;"OLD_7D","")&amp;IF($Q107&gt;Settings!$B$5,IF(OR($G107="", $Q107&gt;Settings!$B$4),"|","")&amp;"OLD_30D",""))</f>
        <v/>
      </c>
      <c r="W107" s="21" t="str">
        <f>IF(OR($C107="", $M107&lt;&gt;"APPROVED",$I107="", $U107=0),"",SUMIFS($U$3:$U$502,$H$3:$H$502,$H107,$M$3:$M$502,"APPROVED",$Q$3:$Q$502,"&lt;="&amp;Settings!$B$4,$I$3:$I$502,"&lt;="&amp;$I107))</f>
        <v/>
      </c>
      <c r="X107" s="21" t="str">
        <f>IF(OR($C107="", $M107&lt;&gt;"APPROVED",$I107="", $U107=0),"",SUMIFS($U$3:$U$502,$H$3:$H$502,$H107,$M$3:$M$502,"APPROVED",$Q$3:$Q$502,"&lt;="&amp;Settings!$B$5,$I$3:$I$502,"&lt;="&amp;$I107))</f>
        <v/>
      </c>
      <c r="Y107" s="21" t="str">
        <f>IF($P107="","",IFERROR(MATCH($P107,Lists!$H$2:$H$4,0),""))</f>
        <v/>
      </c>
      <c r="Z107" s="21" t="str">
        <f t="shared" si="3"/>
        <v/>
      </c>
    </row>
    <row r="108" spans="1:26" ht="15.75" customHeight="1" x14ac:dyDescent="0.3">
      <c r="A108" s="16" t="str">
        <f t="shared" si="4"/>
        <v/>
      </c>
      <c r="B108" s="28"/>
      <c r="C108" s="29"/>
      <c r="D108" s="16"/>
      <c r="E108" s="16"/>
      <c r="F108" s="16"/>
      <c r="G108" s="16"/>
      <c r="H108" s="16"/>
      <c r="I108" s="31"/>
      <c r="J108" s="15"/>
      <c r="K108" s="15"/>
      <c r="L108" s="15"/>
      <c r="M108" s="16"/>
      <c r="N108" s="17"/>
      <c r="O108" s="19" t="str">
        <f t="shared" si="0"/>
        <v/>
      </c>
      <c r="P108" s="17"/>
      <c r="Q108" s="17" t="str">
        <f t="shared" ca="1" si="1"/>
        <v/>
      </c>
      <c r="R108" s="21" t="str">
        <f ca="1">IF($Q108="","",IF($Q108&lt;=Settings!$B$8,Settings!$C$8,IF($Q108&lt;=Settings!$B$9,Settings!$C$9,IF($Q108&lt;=Settings!$B$10,Settings!$C$10,IF($Q108&lt;=Settings!$B$11,Settings!$C$11,Settings!$C$12)))))</f>
        <v/>
      </c>
      <c r="S108" s="21" t="str">
        <f>IF($F108="","",IFERROR(VLOOKUP($F108,Settings!$E$8:$F$11,2,FALSE),0))</f>
        <v/>
      </c>
      <c r="T108" s="21">
        <f>IF($G108="",Settings!$B$16,1)</f>
        <v>1</v>
      </c>
      <c r="U108" s="21" t="str">
        <f t="shared" si="2"/>
        <v/>
      </c>
      <c r="V108" s="32" t="str">
        <f>IF($C108="","",IF($Q108&gt;Settings!$B$4,IF($G108="","|","")&amp;"OLD_7D","")&amp;IF($Q108&gt;Settings!$B$5,IF(OR($G108="", $Q108&gt;Settings!$B$4),"|","")&amp;"OLD_30D",""))</f>
        <v/>
      </c>
      <c r="W108" s="21" t="str">
        <f>IF(OR($C108="", $M108&lt;&gt;"APPROVED",$I108="", $U108=0),"",SUMIFS($U$3:$U$502,$H$3:$H$502,$H108,$M$3:$M$502,"APPROVED",$Q$3:$Q$502,"&lt;="&amp;Settings!$B$4,$I$3:$I$502,"&lt;="&amp;$I108))</f>
        <v/>
      </c>
      <c r="X108" s="21" t="str">
        <f>IF(OR($C108="", $M108&lt;&gt;"APPROVED",$I108="", $U108=0),"",SUMIFS($U$3:$U$502,$H$3:$H$502,$H108,$M$3:$M$502,"APPROVED",$Q$3:$Q$502,"&lt;="&amp;Settings!$B$5,$I$3:$I$502,"&lt;="&amp;$I108))</f>
        <v/>
      </c>
      <c r="Y108" s="21" t="str">
        <f>IF($P108="","",IFERROR(MATCH($P108,Lists!$H$2:$H$4,0),""))</f>
        <v/>
      </c>
      <c r="Z108" s="21" t="str">
        <f t="shared" si="3"/>
        <v/>
      </c>
    </row>
    <row r="109" spans="1:26" ht="15.75" customHeight="1" x14ac:dyDescent="0.3">
      <c r="A109" s="16" t="str">
        <f t="shared" si="4"/>
        <v/>
      </c>
      <c r="B109" s="28"/>
      <c r="C109" s="29"/>
      <c r="D109" s="16"/>
      <c r="E109" s="16"/>
      <c r="F109" s="16"/>
      <c r="G109" s="16"/>
      <c r="H109" s="16"/>
      <c r="I109" s="31"/>
      <c r="J109" s="15"/>
      <c r="K109" s="15"/>
      <c r="L109" s="15"/>
      <c r="M109" s="16"/>
      <c r="N109" s="17"/>
      <c r="O109" s="19" t="str">
        <f t="shared" si="0"/>
        <v/>
      </c>
      <c r="P109" s="17"/>
      <c r="Q109" s="17" t="str">
        <f t="shared" ca="1" si="1"/>
        <v/>
      </c>
      <c r="R109" s="21" t="str">
        <f ca="1">IF($Q109="","",IF($Q109&lt;=Settings!$B$8,Settings!$C$8,IF($Q109&lt;=Settings!$B$9,Settings!$C$9,IF($Q109&lt;=Settings!$B$10,Settings!$C$10,IF($Q109&lt;=Settings!$B$11,Settings!$C$11,Settings!$C$12)))))</f>
        <v/>
      </c>
      <c r="S109" s="21" t="str">
        <f>IF($F109="","",IFERROR(VLOOKUP($F109,Settings!$E$8:$F$11,2,FALSE),0))</f>
        <v/>
      </c>
      <c r="T109" s="21">
        <f>IF($G109="",Settings!$B$16,1)</f>
        <v>1</v>
      </c>
      <c r="U109" s="21" t="str">
        <f t="shared" si="2"/>
        <v/>
      </c>
      <c r="V109" s="32" t="str">
        <f>IF($C109="","",IF($Q109&gt;Settings!$B$4,IF($G109="","|","")&amp;"OLD_7D","")&amp;IF($Q109&gt;Settings!$B$5,IF(OR($G109="", $Q109&gt;Settings!$B$4),"|","")&amp;"OLD_30D",""))</f>
        <v/>
      </c>
      <c r="W109" s="21" t="str">
        <f>IF(OR($C109="", $M109&lt;&gt;"APPROVED",$I109="", $U109=0),"",SUMIFS($U$3:$U$502,$H$3:$H$502,$H109,$M$3:$M$502,"APPROVED",$Q$3:$Q$502,"&lt;="&amp;Settings!$B$4,$I$3:$I$502,"&lt;="&amp;$I109))</f>
        <v/>
      </c>
      <c r="X109" s="21" t="str">
        <f>IF(OR($C109="", $M109&lt;&gt;"APPROVED",$I109="", $U109=0),"",SUMIFS($U$3:$U$502,$H$3:$H$502,$H109,$M$3:$M$502,"APPROVED",$Q$3:$Q$502,"&lt;="&amp;Settings!$B$5,$I$3:$I$502,"&lt;="&amp;$I109))</f>
        <v/>
      </c>
      <c r="Y109" s="21" t="str">
        <f>IF($P109="","",IFERROR(MATCH($P109,Lists!$H$2:$H$4,0),""))</f>
        <v/>
      </c>
      <c r="Z109" s="21" t="str">
        <f t="shared" si="3"/>
        <v/>
      </c>
    </row>
    <row r="110" spans="1:26" ht="15.75" customHeight="1" x14ac:dyDescent="0.3">
      <c r="A110" s="16" t="str">
        <f t="shared" si="4"/>
        <v/>
      </c>
      <c r="B110" s="28"/>
      <c r="C110" s="29"/>
      <c r="D110" s="16"/>
      <c r="E110" s="16"/>
      <c r="F110" s="16"/>
      <c r="G110" s="16"/>
      <c r="H110" s="16"/>
      <c r="I110" s="31"/>
      <c r="J110" s="15"/>
      <c r="K110" s="15"/>
      <c r="L110" s="15"/>
      <c r="M110" s="16"/>
      <c r="N110" s="17"/>
      <c r="O110" s="19" t="str">
        <f t="shared" si="0"/>
        <v/>
      </c>
      <c r="P110" s="17"/>
      <c r="Q110" s="17" t="str">
        <f t="shared" ca="1" si="1"/>
        <v/>
      </c>
      <c r="R110" s="21" t="str">
        <f ca="1">IF($Q110="","",IF($Q110&lt;=Settings!$B$8,Settings!$C$8,IF($Q110&lt;=Settings!$B$9,Settings!$C$9,IF($Q110&lt;=Settings!$B$10,Settings!$C$10,IF($Q110&lt;=Settings!$B$11,Settings!$C$11,Settings!$C$12)))))</f>
        <v/>
      </c>
      <c r="S110" s="21" t="str">
        <f>IF($F110="","",IFERROR(VLOOKUP($F110,Settings!$E$8:$F$11,2,FALSE),0))</f>
        <v/>
      </c>
      <c r="T110" s="21">
        <f>IF($G110="",Settings!$B$16,1)</f>
        <v>1</v>
      </c>
      <c r="U110" s="21" t="str">
        <f t="shared" si="2"/>
        <v/>
      </c>
      <c r="V110" s="32" t="str">
        <f>IF($C110="","",IF($Q110&gt;Settings!$B$4,IF($G110="","|","")&amp;"OLD_7D","")&amp;IF($Q110&gt;Settings!$B$5,IF(OR($G110="", $Q110&gt;Settings!$B$4),"|","")&amp;"OLD_30D",""))</f>
        <v/>
      </c>
      <c r="W110" s="21" t="str">
        <f>IF(OR($C110="", $M110&lt;&gt;"APPROVED",$I110="", $U110=0),"",SUMIFS($U$3:$U$502,$H$3:$H$502,$H110,$M$3:$M$502,"APPROVED",$Q$3:$Q$502,"&lt;="&amp;Settings!$B$4,$I$3:$I$502,"&lt;="&amp;$I110))</f>
        <v/>
      </c>
      <c r="X110" s="21" t="str">
        <f>IF(OR($C110="", $M110&lt;&gt;"APPROVED",$I110="", $U110=0),"",SUMIFS($U$3:$U$502,$H$3:$H$502,$H110,$M$3:$M$502,"APPROVED",$Q$3:$Q$502,"&lt;="&amp;Settings!$B$5,$I$3:$I$502,"&lt;="&amp;$I110))</f>
        <v/>
      </c>
      <c r="Y110" s="21" t="str">
        <f>IF($P110="","",IFERROR(MATCH($P110,Lists!$H$2:$H$4,0),""))</f>
        <v/>
      </c>
      <c r="Z110" s="21" t="str">
        <f t="shared" si="3"/>
        <v/>
      </c>
    </row>
    <row r="111" spans="1:26" ht="15.75" customHeight="1" x14ac:dyDescent="0.3">
      <c r="A111" s="16" t="str">
        <f t="shared" si="4"/>
        <v/>
      </c>
      <c r="B111" s="28"/>
      <c r="C111" s="29"/>
      <c r="D111" s="16"/>
      <c r="E111" s="16"/>
      <c r="F111" s="16"/>
      <c r="G111" s="16"/>
      <c r="H111" s="16"/>
      <c r="I111" s="31"/>
      <c r="J111" s="15"/>
      <c r="K111" s="15"/>
      <c r="L111" s="15"/>
      <c r="M111" s="16"/>
      <c r="N111" s="17"/>
      <c r="O111" s="19" t="str">
        <f t="shared" si="0"/>
        <v/>
      </c>
      <c r="P111" s="17"/>
      <c r="Q111" s="17" t="str">
        <f t="shared" ca="1" si="1"/>
        <v/>
      </c>
      <c r="R111" s="21" t="str">
        <f ca="1">IF($Q111="","",IF($Q111&lt;=Settings!$B$8,Settings!$C$8,IF($Q111&lt;=Settings!$B$9,Settings!$C$9,IF($Q111&lt;=Settings!$B$10,Settings!$C$10,IF($Q111&lt;=Settings!$B$11,Settings!$C$11,Settings!$C$12)))))</f>
        <v/>
      </c>
      <c r="S111" s="21" t="str">
        <f>IF($F111="","",IFERROR(VLOOKUP($F111,Settings!$E$8:$F$11,2,FALSE),0))</f>
        <v/>
      </c>
      <c r="T111" s="21">
        <f>IF($G111="",Settings!$B$16,1)</f>
        <v>1</v>
      </c>
      <c r="U111" s="21" t="str">
        <f t="shared" si="2"/>
        <v/>
      </c>
      <c r="V111" s="32" t="str">
        <f>IF($C111="","",IF($Q111&gt;Settings!$B$4,IF($G111="","|","")&amp;"OLD_7D","")&amp;IF($Q111&gt;Settings!$B$5,IF(OR($G111="", $Q111&gt;Settings!$B$4),"|","")&amp;"OLD_30D",""))</f>
        <v/>
      </c>
      <c r="W111" s="21" t="str">
        <f>IF(OR($C111="", $M111&lt;&gt;"APPROVED",$I111="", $U111=0),"",SUMIFS($U$3:$U$502,$H$3:$H$502,$H111,$M$3:$M$502,"APPROVED",$Q$3:$Q$502,"&lt;="&amp;Settings!$B$4,$I$3:$I$502,"&lt;="&amp;$I111))</f>
        <v/>
      </c>
      <c r="X111" s="21" t="str">
        <f>IF(OR($C111="", $M111&lt;&gt;"APPROVED",$I111="", $U111=0),"",SUMIFS($U$3:$U$502,$H$3:$H$502,$H111,$M$3:$M$502,"APPROVED",$Q$3:$Q$502,"&lt;="&amp;Settings!$B$5,$I$3:$I$502,"&lt;="&amp;$I111))</f>
        <v/>
      </c>
      <c r="Y111" s="21" t="str">
        <f>IF($P111="","",IFERROR(MATCH($P111,Lists!$H$2:$H$4,0),""))</f>
        <v/>
      </c>
      <c r="Z111" s="21" t="str">
        <f t="shared" si="3"/>
        <v/>
      </c>
    </row>
    <row r="112" spans="1:26" ht="15.75" customHeight="1" x14ac:dyDescent="0.3">
      <c r="A112" s="16" t="str">
        <f t="shared" si="4"/>
        <v/>
      </c>
      <c r="B112" s="28"/>
      <c r="C112" s="29"/>
      <c r="D112" s="16"/>
      <c r="E112" s="16"/>
      <c r="F112" s="16"/>
      <c r="G112" s="16"/>
      <c r="H112" s="16"/>
      <c r="I112" s="31"/>
      <c r="J112" s="15"/>
      <c r="K112" s="15"/>
      <c r="L112" s="15"/>
      <c r="M112" s="16"/>
      <c r="N112" s="17"/>
      <c r="O112" s="19" t="str">
        <f t="shared" si="0"/>
        <v/>
      </c>
      <c r="P112" s="17"/>
      <c r="Q112" s="17" t="str">
        <f t="shared" ca="1" si="1"/>
        <v/>
      </c>
      <c r="R112" s="21" t="str">
        <f ca="1">IF($Q112="","",IF($Q112&lt;=Settings!$B$8,Settings!$C$8,IF($Q112&lt;=Settings!$B$9,Settings!$C$9,IF($Q112&lt;=Settings!$B$10,Settings!$C$10,IF($Q112&lt;=Settings!$B$11,Settings!$C$11,Settings!$C$12)))))</f>
        <v/>
      </c>
      <c r="S112" s="21" t="str">
        <f>IF($F112="","",IFERROR(VLOOKUP($F112,Settings!$E$8:$F$11,2,FALSE),0))</f>
        <v/>
      </c>
      <c r="T112" s="21">
        <f>IF($G112="",Settings!$B$16,1)</f>
        <v>1</v>
      </c>
      <c r="U112" s="21" t="str">
        <f t="shared" si="2"/>
        <v/>
      </c>
      <c r="V112" s="32" t="str">
        <f>IF($C112="","",IF($Q112&gt;Settings!$B$4,IF($G112="","|","")&amp;"OLD_7D","")&amp;IF($Q112&gt;Settings!$B$5,IF(OR($G112="", $Q112&gt;Settings!$B$4),"|","")&amp;"OLD_30D",""))</f>
        <v/>
      </c>
      <c r="W112" s="21" t="str">
        <f>IF(OR($C112="", $M112&lt;&gt;"APPROVED",$I112="", $U112=0),"",SUMIFS($U$3:$U$502,$H$3:$H$502,$H112,$M$3:$M$502,"APPROVED",$Q$3:$Q$502,"&lt;="&amp;Settings!$B$4,$I$3:$I$502,"&lt;="&amp;$I112))</f>
        <v/>
      </c>
      <c r="X112" s="21" t="str">
        <f>IF(OR($C112="", $M112&lt;&gt;"APPROVED",$I112="", $U112=0),"",SUMIFS($U$3:$U$502,$H$3:$H$502,$H112,$M$3:$M$502,"APPROVED",$Q$3:$Q$502,"&lt;="&amp;Settings!$B$5,$I$3:$I$502,"&lt;="&amp;$I112))</f>
        <v/>
      </c>
      <c r="Y112" s="21" t="str">
        <f>IF($P112="","",IFERROR(MATCH($P112,Lists!$H$2:$H$4,0),""))</f>
        <v/>
      </c>
      <c r="Z112" s="21" t="str">
        <f t="shared" si="3"/>
        <v/>
      </c>
    </row>
    <row r="113" spans="1:26" ht="15.75" customHeight="1" x14ac:dyDescent="0.3">
      <c r="A113" s="16" t="str">
        <f t="shared" si="4"/>
        <v/>
      </c>
      <c r="B113" s="28"/>
      <c r="C113" s="29"/>
      <c r="D113" s="16"/>
      <c r="E113" s="16"/>
      <c r="F113" s="16"/>
      <c r="G113" s="16"/>
      <c r="H113" s="16"/>
      <c r="I113" s="31"/>
      <c r="J113" s="15"/>
      <c r="K113" s="15"/>
      <c r="L113" s="15"/>
      <c r="M113" s="16"/>
      <c r="N113" s="17"/>
      <c r="O113" s="19" t="str">
        <f t="shared" si="0"/>
        <v/>
      </c>
      <c r="P113" s="17"/>
      <c r="Q113" s="17" t="str">
        <f t="shared" ca="1" si="1"/>
        <v/>
      </c>
      <c r="R113" s="21" t="str">
        <f ca="1">IF($Q113="","",IF($Q113&lt;=Settings!$B$8,Settings!$C$8,IF($Q113&lt;=Settings!$B$9,Settings!$C$9,IF($Q113&lt;=Settings!$B$10,Settings!$C$10,IF($Q113&lt;=Settings!$B$11,Settings!$C$11,Settings!$C$12)))))</f>
        <v/>
      </c>
      <c r="S113" s="21" t="str">
        <f>IF($F113="","",IFERROR(VLOOKUP($F113,Settings!$E$8:$F$11,2,FALSE),0))</f>
        <v/>
      </c>
      <c r="T113" s="21">
        <f>IF($G113="",Settings!$B$16,1)</f>
        <v>1</v>
      </c>
      <c r="U113" s="21" t="str">
        <f t="shared" si="2"/>
        <v/>
      </c>
      <c r="V113" s="32" t="str">
        <f>IF($C113="","",IF($Q113&gt;Settings!$B$4,IF($G113="","|","")&amp;"OLD_7D","")&amp;IF($Q113&gt;Settings!$B$5,IF(OR($G113="", $Q113&gt;Settings!$B$4),"|","")&amp;"OLD_30D",""))</f>
        <v/>
      </c>
      <c r="W113" s="21" t="str">
        <f>IF(OR($C113="", $M113&lt;&gt;"APPROVED",$I113="", $U113=0),"",SUMIFS($U$3:$U$502,$H$3:$H$502,$H113,$M$3:$M$502,"APPROVED",$Q$3:$Q$502,"&lt;="&amp;Settings!$B$4,$I$3:$I$502,"&lt;="&amp;$I113))</f>
        <v/>
      </c>
      <c r="X113" s="21" t="str">
        <f>IF(OR($C113="", $M113&lt;&gt;"APPROVED",$I113="", $U113=0),"",SUMIFS($U$3:$U$502,$H$3:$H$502,$H113,$M$3:$M$502,"APPROVED",$Q$3:$Q$502,"&lt;="&amp;Settings!$B$5,$I$3:$I$502,"&lt;="&amp;$I113))</f>
        <v/>
      </c>
      <c r="Y113" s="21" t="str">
        <f>IF($P113="","",IFERROR(MATCH($P113,Lists!$H$2:$H$4,0),""))</f>
        <v/>
      </c>
      <c r="Z113" s="21" t="str">
        <f t="shared" si="3"/>
        <v/>
      </c>
    </row>
    <row r="114" spans="1:26" ht="15.75" customHeight="1" x14ac:dyDescent="0.3">
      <c r="A114" s="16" t="str">
        <f t="shared" si="4"/>
        <v/>
      </c>
      <c r="B114" s="28"/>
      <c r="C114" s="29"/>
      <c r="D114" s="16"/>
      <c r="E114" s="16"/>
      <c r="F114" s="16"/>
      <c r="G114" s="16"/>
      <c r="H114" s="16"/>
      <c r="I114" s="31"/>
      <c r="J114" s="15"/>
      <c r="K114" s="15"/>
      <c r="L114" s="15"/>
      <c r="M114" s="16"/>
      <c r="N114" s="17"/>
      <c r="O114" s="19" t="str">
        <f t="shared" si="0"/>
        <v/>
      </c>
      <c r="P114" s="17"/>
      <c r="Q114" s="17" t="str">
        <f t="shared" ca="1" si="1"/>
        <v/>
      </c>
      <c r="R114" s="21" t="str">
        <f ca="1">IF($Q114="","",IF($Q114&lt;=Settings!$B$8,Settings!$C$8,IF($Q114&lt;=Settings!$B$9,Settings!$C$9,IF($Q114&lt;=Settings!$B$10,Settings!$C$10,IF($Q114&lt;=Settings!$B$11,Settings!$C$11,Settings!$C$12)))))</f>
        <v/>
      </c>
      <c r="S114" s="21" t="str">
        <f>IF($F114="","",IFERROR(VLOOKUP($F114,Settings!$E$8:$F$11,2,FALSE),0))</f>
        <v/>
      </c>
      <c r="T114" s="21">
        <f>IF($G114="",Settings!$B$16,1)</f>
        <v>1</v>
      </c>
      <c r="U114" s="21" t="str">
        <f t="shared" si="2"/>
        <v/>
      </c>
      <c r="V114" s="32" t="str">
        <f>IF($C114="","",IF($Q114&gt;Settings!$B$4,IF($G114="","|","")&amp;"OLD_7D","")&amp;IF($Q114&gt;Settings!$B$5,IF(OR($G114="", $Q114&gt;Settings!$B$4),"|","")&amp;"OLD_30D",""))</f>
        <v/>
      </c>
      <c r="W114" s="21" t="str">
        <f>IF(OR($C114="", $M114&lt;&gt;"APPROVED",$I114="", $U114=0),"",SUMIFS($U$3:$U$502,$H$3:$H$502,$H114,$M$3:$M$502,"APPROVED",$Q$3:$Q$502,"&lt;="&amp;Settings!$B$4,$I$3:$I$502,"&lt;="&amp;$I114))</f>
        <v/>
      </c>
      <c r="X114" s="21" t="str">
        <f>IF(OR($C114="", $M114&lt;&gt;"APPROVED",$I114="", $U114=0),"",SUMIFS($U$3:$U$502,$H$3:$H$502,$H114,$M$3:$M$502,"APPROVED",$Q$3:$Q$502,"&lt;="&amp;Settings!$B$5,$I$3:$I$502,"&lt;="&amp;$I114))</f>
        <v/>
      </c>
      <c r="Y114" s="21" t="str">
        <f>IF($P114="","",IFERROR(MATCH($P114,Lists!$H$2:$H$4,0),""))</f>
        <v/>
      </c>
      <c r="Z114" s="21" t="str">
        <f t="shared" si="3"/>
        <v/>
      </c>
    </row>
    <row r="115" spans="1:26" ht="15.75" customHeight="1" x14ac:dyDescent="0.3">
      <c r="A115" s="16" t="str">
        <f t="shared" si="4"/>
        <v/>
      </c>
      <c r="B115" s="28"/>
      <c r="C115" s="29"/>
      <c r="D115" s="16"/>
      <c r="E115" s="16"/>
      <c r="F115" s="16"/>
      <c r="G115" s="16"/>
      <c r="H115" s="16"/>
      <c r="I115" s="31"/>
      <c r="J115" s="15"/>
      <c r="K115" s="15"/>
      <c r="L115" s="15"/>
      <c r="M115" s="16"/>
      <c r="N115" s="17"/>
      <c r="O115" s="19" t="str">
        <f t="shared" si="0"/>
        <v/>
      </c>
      <c r="P115" s="17"/>
      <c r="Q115" s="17" t="str">
        <f t="shared" ca="1" si="1"/>
        <v/>
      </c>
      <c r="R115" s="21" t="str">
        <f ca="1">IF($Q115="","",IF($Q115&lt;=Settings!$B$8,Settings!$C$8,IF($Q115&lt;=Settings!$B$9,Settings!$C$9,IF($Q115&lt;=Settings!$B$10,Settings!$C$10,IF($Q115&lt;=Settings!$B$11,Settings!$C$11,Settings!$C$12)))))</f>
        <v/>
      </c>
      <c r="S115" s="21" t="str">
        <f>IF($F115="","",IFERROR(VLOOKUP($F115,Settings!$E$8:$F$11,2,FALSE),0))</f>
        <v/>
      </c>
      <c r="T115" s="21">
        <f>IF($G115="",Settings!$B$16,1)</f>
        <v>1</v>
      </c>
      <c r="U115" s="21" t="str">
        <f t="shared" si="2"/>
        <v/>
      </c>
      <c r="V115" s="32" t="str">
        <f>IF($C115="","",IF($Q115&gt;Settings!$B$4,IF($G115="","|","")&amp;"OLD_7D","")&amp;IF($Q115&gt;Settings!$B$5,IF(OR($G115="", $Q115&gt;Settings!$B$4),"|","")&amp;"OLD_30D",""))</f>
        <v/>
      </c>
      <c r="W115" s="21" t="str">
        <f>IF(OR($C115="", $M115&lt;&gt;"APPROVED",$I115="", $U115=0),"",SUMIFS($U$3:$U$502,$H$3:$H$502,$H115,$M$3:$M$502,"APPROVED",$Q$3:$Q$502,"&lt;="&amp;Settings!$B$4,$I$3:$I$502,"&lt;="&amp;$I115))</f>
        <v/>
      </c>
      <c r="X115" s="21" t="str">
        <f>IF(OR($C115="", $M115&lt;&gt;"APPROVED",$I115="", $U115=0),"",SUMIFS($U$3:$U$502,$H$3:$H$502,$H115,$M$3:$M$502,"APPROVED",$Q$3:$Q$502,"&lt;="&amp;Settings!$B$5,$I$3:$I$502,"&lt;="&amp;$I115))</f>
        <v/>
      </c>
      <c r="Y115" s="21" t="str">
        <f>IF($P115="","",IFERROR(MATCH($P115,Lists!$H$2:$H$4,0),""))</f>
        <v/>
      </c>
      <c r="Z115" s="21" t="str">
        <f t="shared" si="3"/>
        <v/>
      </c>
    </row>
    <row r="116" spans="1:26" ht="15.75" customHeight="1" x14ac:dyDescent="0.3">
      <c r="A116" s="16" t="str">
        <f t="shared" si="4"/>
        <v/>
      </c>
      <c r="B116" s="28"/>
      <c r="C116" s="29"/>
      <c r="D116" s="16"/>
      <c r="E116" s="16"/>
      <c r="F116" s="16"/>
      <c r="G116" s="16"/>
      <c r="H116" s="16"/>
      <c r="I116" s="31"/>
      <c r="J116" s="15"/>
      <c r="K116" s="15"/>
      <c r="L116" s="15"/>
      <c r="M116" s="16"/>
      <c r="N116" s="17"/>
      <c r="O116" s="19" t="str">
        <f t="shared" si="0"/>
        <v/>
      </c>
      <c r="P116" s="17"/>
      <c r="Q116" s="17" t="str">
        <f t="shared" ca="1" si="1"/>
        <v/>
      </c>
      <c r="R116" s="21" t="str">
        <f ca="1">IF($Q116="","",IF($Q116&lt;=Settings!$B$8,Settings!$C$8,IF($Q116&lt;=Settings!$B$9,Settings!$C$9,IF($Q116&lt;=Settings!$B$10,Settings!$C$10,IF($Q116&lt;=Settings!$B$11,Settings!$C$11,Settings!$C$12)))))</f>
        <v/>
      </c>
      <c r="S116" s="21" t="str">
        <f>IF($F116="","",IFERROR(VLOOKUP($F116,Settings!$E$8:$F$11,2,FALSE),0))</f>
        <v/>
      </c>
      <c r="T116" s="21">
        <f>IF($G116="",Settings!$B$16,1)</f>
        <v>1</v>
      </c>
      <c r="U116" s="21" t="str">
        <f t="shared" si="2"/>
        <v/>
      </c>
      <c r="V116" s="32" t="str">
        <f>IF($C116="","",IF($Q116&gt;Settings!$B$4,IF($G116="","|","")&amp;"OLD_7D","")&amp;IF($Q116&gt;Settings!$B$5,IF(OR($G116="", $Q116&gt;Settings!$B$4),"|","")&amp;"OLD_30D",""))</f>
        <v/>
      </c>
      <c r="W116" s="21" t="str">
        <f>IF(OR($C116="", $M116&lt;&gt;"APPROVED",$I116="", $U116=0),"",SUMIFS($U$3:$U$502,$H$3:$H$502,$H116,$M$3:$M$502,"APPROVED",$Q$3:$Q$502,"&lt;="&amp;Settings!$B$4,$I$3:$I$502,"&lt;="&amp;$I116))</f>
        <v/>
      </c>
      <c r="X116" s="21" t="str">
        <f>IF(OR($C116="", $M116&lt;&gt;"APPROVED",$I116="", $U116=0),"",SUMIFS($U$3:$U$502,$H$3:$H$502,$H116,$M$3:$M$502,"APPROVED",$Q$3:$Q$502,"&lt;="&amp;Settings!$B$5,$I$3:$I$502,"&lt;="&amp;$I116))</f>
        <v/>
      </c>
      <c r="Y116" s="21" t="str">
        <f>IF($P116="","",IFERROR(MATCH($P116,Lists!$H$2:$H$4,0),""))</f>
        <v/>
      </c>
      <c r="Z116" s="21" t="str">
        <f t="shared" si="3"/>
        <v/>
      </c>
    </row>
    <row r="117" spans="1:26" ht="15.75" customHeight="1" x14ac:dyDescent="0.3">
      <c r="A117" s="16" t="str">
        <f t="shared" si="4"/>
        <v/>
      </c>
      <c r="B117" s="28"/>
      <c r="C117" s="29"/>
      <c r="D117" s="16"/>
      <c r="E117" s="16"/>
      <c r="F117" s="16"/>
      <c r="G117" s="16"/>
      <c r="H117" s="16"/>
      <c r="I117" s="31"/>
      <c r="J117" s="15"/>
      <c r="K117" s="15"/>
      <c r="L117" s="15"/>
      <c r="M117" s="16"/>
      <c r="N117" s="17"/>
      <c r="O117" s="19" t="str">
        <f t="shared" si="0"/>
        <v/>
      </c>
      <c r="P117" s="17"/>
      <c r="Q117" s="17" t="str">
        <f t="shared" ca="1" si="1"/>
        <v/>
      </c>
      <c r="R117" s="21" t="str">
        <f ca="1">IF($Q117="","",IF($Q117&lt;=Settings!$B$8,Settings!$C$8,IF($Q117&lt;=Settings!$B$9,Settings!$C$9,IF($Q117&lt;=Settings!$B$10,Settings!$C$10,IF($Q117&lt;=Settings!$B$11,Settings!$C$11,Settings!$C$12)))))</f>
        <v/>
      </c>
      <c r="S117" s="21" t="str">
        <f>IF($F117="","",IFERROR(VLOOKUP($F117,Settings!$E$8:$F$11,2,FALSE),0))</f>
        <v/>
      </c>
      <c r="T117" s="21">
        <f>IF($G117="",Settings!$B$16,1)</f>
        <v>1</v>
      </c>
      <c r="U117" s="21" t="str">
        <f t="shared" si="2"/>
        <v/>
      </c>
      <c r="V117" s="32" t="str">
        <f>IF($C117="","",IF($Q117&gt;Settings!$B$4,IF($G117="","|","")&amp;"OLD_7D","")&amp;IF($Q117&gt;Settings!$B$5,IF(OR($G117="", $Q117&gt;Settings!$B$4),"|","")&amp;"OLD_30D",""))</f>
        <v/>
      </c>
      <c r="W117" s="21" t="str">
        <f>IF(OR($C117="", $M117&lt;&gt;"APPROVED",$I117="", $U117=0),"",SUMIFS($U$3:$U$502,$H$3:$H$502,$H117,$M$3:$M$502,"APPROVED",$Q$3:$Q$502,"&lt;="&amp;Settings!$B$4,$I$3:$I$502,"&lt;="&amp;$I117))</f>
        <v/>
      </c>
      <c r="X117" s="21" t="str">
        <f>IF(OR($C117="", $M117&lt;&gt;"APPROVED",$I117="", $U117=0),"",SUMIFS($U$3:$U$502,$H$3:$H$502,$H117,$M$3:$M$502,"APPROVED",$Q$3:$Q$502,"&lt;="&amp;Settings!$B$5,$I$3:$I$502,"&lt;="&amp;$I117))</f>
        <v/>
      </c>
      <c r="Y117" s="21" t="str">
        <f>IF($P117="","",IFERROR(MATCH($P117,Lists!$H$2:$H$4,0),""))</f>
        <v/>
      </c>
      <c r="Z117" s="21" t="str">
        <f t="shared" si="3"/>
        <v/>
      </c>
    </row>
    <row r="118" spans="1:26" ht="15.75" customHeight="1" x14ac:dyDescent="0.3">
      <c r="A118" s="16" t="str">
        <f t="shared" si="4"/>
        <v/>
      </c>
      <c r="B118" s="28"/>
      <c r="C118" s="29"/>
      <c r="D118" s="16"/>
      <c r="E118" s="16"/>
      <c r="F118" s="16"/>
      <c r="G118" s="16"/>
      <c r="H118" s="16"/>
      <c r="I118" s="31"/>
      <c r="J118" s="15"/>
      <c r="K118" s="15"/>
      <c r="L118" s="15"/>
      <c r="M118" s="16"/>
      <c r="N118" s="17"/>
      <c r="O118" s="19" t="str">
        <f t="shared" si="0"/>
        <v/>
      </c>
      <c r="P118" s="17"/>
      <c r="Q118" s="17" t="str">
        <f t="shared" ca="1" si="1"/>
        <v/>
      </c>
      <c r="R118" s="21" t="str">
        <f ca="1">IF($Q118="","",IF($Q118&lt;=Settings!$B$8,Settings!$C$8,IF($Q118&lt;=Settings!$B$9,Settings!$C$9,IF($Q118&lt;=Settings!$B$10,Settings!$C$10,IF($Q118&lt;=Settings!$B$11,Settings!$C$11,Settings!$C$12)))))</f>
        <v/>
      </c>
      <c r="S118" s="21" t="str">
        <f>IF($F118="","",IFERROR(VLOOKUP($F118,Settings!$E$8:$F$11,2,FALSE),0))</f>
        <v/>
      </c>
      <c r="T118" s="21">
        <f>IF($G118="",Settings!$B$16,1)</f>
        <v>1</v>
      </c>
      <c r="U118" s="21" t="str">
        <f t="shared" si="2"/>
        <v/>
      </c>
      <c r="V118" s="32" t="str">
        <f>IF($C118="","",IF($Q118&gt;Settings!$B$4,IF($G118="","|","")&amp;"OLD_7D","")&amp;IF($Q118&gt;Settings!$B$5,IF(OR($G118="", $Q118&gt;Settings!$B$4),"|","")&amp;"OLD_30D",""))</f>
        <v/>
      </c>
      <c r="W118" s="21" t="str">
        <f>IF(OR($C118="", $M118&lt;&gt;"APPROVED",$I118="", $U118=0),"",SUMIFS($U$3:$U$502,$H$3:$H$502,$H118,$M$3:$M$502,"APPROVED",$Q$3:$Q$502,"&lt;="&amp;Settings!$B$4,$I$3:$I$502,"&lt;="&amp;$I118))</f>
        <v/>
      </c>
      <c r="X118" s="21" t="str">
        <f>IF(OR($C118="", $M118&lt;&gt;"APPROVED",$I118="", $U118=0),"",SUMIFS($U$3:$U$502,$H$3:$H$502,$H118,$M$3:$M$502,"APPROVED",$Q$3:$Q$502,"&lt;="&amp;Settings!$B$5,$I$3:$I$502,"&lt;="&amp;$I118))</f>
        <v/>
      </c>
      <c r="Y118" s="21" t="str">
        <f>IF($P118="","",IFERROR(MATCH($P118,Lists!$H$2:$H$4,0),""))</f>
        <v/>
      </c>
      <c r="Z118" s="21" t="str">
        <f t="shared" si="3"/>
        <v/>
      </c>
    </row>
    <row r="119" spans="1:26" ht="15.75" customHeight="1" x14ac:dyDescent="0.3">
      <c r="A119" s="16" t="str">
        <f t="shared" si="4"/>
        <v/>
      </c>
      <c r="B119" s="28"/>
      <c r="C119" s="29"/>
      <c r="D119" s="16"/>
      <c r="E119" s="16"/>
      <c r="F119" s="16"/>
      <c r="G119" s="16"/>
      <c r="H119" s="16"/>
      <c r="I119" s="31"/>
      <c r="J119" s="15"/>
      <c r="K119" s="15"/>
      <c r="L119" s="15"/>
      <c r="M119" s="16"/>
      <c r="N119" s="17"/>
      <c r="O119" s="19" t="str">
        <f t="shared" si="0"/>
        <v/>
      </c>
      <c r="P119" s="17"/>
      <c r="Q119" s="17" t="str">
        <f t="shared" ca="1" si="1"/>
        <v/>
      </c>
      <c r="R119" s="21" t="str">
        <f ca="1">IF($Q119="","",IF($Q119&lt;=Settings!$B$8,Settings!$C$8,IF($Q119&lt;=Settings!$B$9,Settings!$C$9,IF($Q119&lt;=Settings!$B$10,Settings!$C$10,IF($Q119&lt;=Settings!$B$11,Settings!$C$11,Settings!$C$12)))))</f>
        <v/>
      </c>
      <c r="S119" s="21" t="str">
        <f>IF($F119="","",IFERROR(VLOOKUP($F119,Settings!$E$8:$F$11,2,FALSE),0))</f>
        <v/>
      </c>
      <c r="T119" s="21">
        <f>IF($G119="",Settings!$B$16,1)</f>
        <v>1</v>
      </c>
      <c r="U119" s="21" t="str">
        <f t="shared" si="2"/>
        <v/>
      </c>
      <c r="V119" s="32" t="str">
        <f>IF($C119="","",IF($Q119&gt;Settings!$B$4,IF($G119="","|","")&amp;"OLD_7D","")&amp;IF($Q119&gt;Settings!$B$5,IF(OR($G119="", $Q119&gt;Settings!$B$4),"|","")&amp;"OLD_30D",""))</f>
        <v/>
      </c>
      <c r="W119" s="21" t="str">
        <f>IF(OR($C119="", $M119&lt;&gt;"APPROVED",$I119="", $U119=0),"",SUMIFS($U$3:$U$502,$H$3:$H$502,$H119,$M$3:$M$502,"APPROVED",$Q$3:$Q$502,"&lt;="&amp;Settings!$B$4,$I$3:$I$502,"&lt;="&amp;$I119))</f>
        <v/>
      </c>
      <c r="X119" s="21" t="str">
        <f>IF(OR($C119="", $M119&lt;&gt;"APPROVED",$I119="", $U119=0),"",SUMIFS($U$3:$U$502,$H$3:$H$502,$H119,$M$3:$M$502,"APPROVED",$Q$3:$Q$502,"&lt;="&amp;Settings!$B$5,$I$3:$I$502,"&lt;="&amp;$I119))</f>
        <v/>
      </c>
      <c r="Y119" s="21" t="str">
        <f>IF($P119="","",IFERROR(MATCH($P119,Lists!$H$2:$H$4,0),""))</f>
        <v/>
      </c>
      <c r="Z119" s="21" t="str">
        <f t="shared" si="3"/>
        <v/>
      </c>
    </row>
    <row r="120" spans="1:26" ht="15.75" customHeight="1" x14ac:dyDescent="0.3">
      <c r="A120" s="16" t="str">
        <f t="shared" si="4"/>
        <v/>
      </c>
      <c r="B120" s="28"/>
      <c r="C120" s="29"/>
      <c r="D120" s="16"/>
      <c r="E120" s="16"/>
      <c r="F120" s="16"/>
      <c r="G120" s="16"/>
      <c r="H120" s="16"/>
      <c r="I120" s="31"/>
      <c r="J120" s="15"/>
      <c r="K120" s="15"/>
      <c r="L120" s="15"/>
      <c r="M120" s="16"/>
      <c r="N120" s="17"/>
      <c r="O120" s="19" t="str">
        <f t="shared" si="0"/>
        <v/>
      </c>
      <c r="P120" s="17"/>
      <c r="Q120" s="17" t="str">
        <f t="shared" ca="1" si="1"/>
        <v/>
      </c>
      <c r="R120" s="21" t="str">
        <f ca="1">IF($Q120="","",IF($Q120&lt;=Settings!$B$8,Settings!$C$8,IF($Q120&lt;=Settings!$B$9,Settings!$C$9,IF($Q120&lt;=Settings!$B$10,Settings!$C$10,IF($Q120&lt;=Settings!$B$11,Settings!$C$11,Settings!$C$12)))))</f>
        <v/>
      </c>
      <c r="S120" s="21" t="str">
        <f>IF($F120="","",IFERROR(VLOOKUP($F120,Settings!$E$8:$F$11,2,FALSE),0))</f>
        <v/>
      </c>
      <c r="T120" s="21">
        <f>IF($G120="",Settings!$B$16,1)</f>
        <v>1</v>
      </c>
      <c r="U120" s="21" t="str">
        <f t="shared" si="2"/>
        <v/>
      </c>
      <c r="V120" s="32" t="str">
        <f>IF($C120="","",IF($Q120&gt;Settings!$B$4,IF($G120="","|","")&amp;"OLD_7D","")&amp;IF($Q120&gt;Settings!$B$5,IF(OR($G120="", $Q120&gt;Settings!$B$4),"|","")&amp;"OLD_30D",""))</f>
        <v/>
      </c>
      <c r="W120" s="21" t="str">
        <f>IF(OR($C120="", $M120&lt;&gt;"APPROVED",$I120="", $U120=0),"",SUMIFS($U$3:$U$502,$H$3:$H$502,$H120,$M$3:$M$502,"APPROVED",$Q$3:$Q$502,"&lt;="&amp;Settings!$B$4,$I$3:$I$502,"&lt;="&amp;$I120))</f>
        <v/>
      </c>
      <c r="X120" s="21" t="str">
        <f>IF(OR($C120="", $M120&lt;&gt;"APPROVED",$I120="", $U120=0),"",SUMIFS($U$3:$U$502,$H$3:$H$502,$H120,$M$3:$M$502,"APPROVED",$Q$3:$Q$502,"&lt;="&amp;Settings!$B$5,$I$3:$I$502,"&lt;="&amp;$I120))</f>
        <v/>
      </c>
      <c r="Y120" s="21" t="str">
        <f>IF($P120="","",IFERROR(MATCH($P120,Lists!$H$2:$H$4,0),""))</f>
        <v/>
      </c>
      <c r="Z120" s="21" t="str">
        <f t="shared" si="3"/>
        <v/>
      </c>
    </row>
    <row r="121" spans="1:26" ht="15.75" customHeight="1" x14ac:dyDescent="0.3">
      <c r="A121" s="16" t="str">
        <f t="shared" si="4"/>
        <v/>
      </c>
      <c r="B121" s="28"/>
      <c r="C121" s="29"/>
      <c r="D121" s="16"/>
      <c r="E121" s="16"/>
      <c r="F121" s="16"/>
      <c r="G121" s="16"/>
      <c r="H121" s="16"/>
      <c r="I121" s="31"/>
      <c r="J121" s="15"/>
      <c r="K121" s="15"/>
      <c r="L121" s="15"/>
      <c r="M121" s="16"/>
      <c r="N121" s="17"/>
      <c r="O121" s="19" t="str">
        <f t="shared" si="0"/>
        <v/>
      </c>
      <c r="P121" s="17"/>
      <c r="Q121" s="17" t="str">
        <f t="shared" ca="1" si="1"/>
        <v/>
      </c>
      <c r="R121" s="21" t="str">
        <f ca="1">IF($Q121="","",IF($Q121&lt;=Settings!$B$8,Settings!$C$8,IF($Q121&lt;=Settings!$B$9,Settings!$C$9,IF($Q121&lt;=Settings!$B$10,Settings!$C$10,IF($Q121&lt;=Settings!$B$11,Settings!$C$11,Settings!$C$12)))))</f>
        <v/>
      </c>
      <c r="S121" s="21" t="str">
        <f>IF($F121="","",IFERROR(VLOOKUP($F121,Settings!$E$8:$F$11,2,FALSE),0))</f>
        <v/>
      </c>
      <c r="T121" s="21">
        <f>IF($G121="",Settings!$B$16,1)</f>
        <v>1</v>
      </c>
      <c r="U121" s="21" t="str">
        <f t="shared" si="2"/>
        <v/>
      </c>
      <c r="V121" s="32" t="str">
        <f>IF($C121="","",IF($Q121&gt;Settings!$B$4,IF($G121="","|","")&amp;"OLD_7D","")&amp;IF($Q121&gt;Settings!$B$5,IF(OR($G121="", $Q121&gt;Settings!$B$4),"|","")&amp;"OLD_30D",""))</f>
        <v/>
      </c>
      <c r="W121" s="21" t="str">
        <f>IF(OR($C121="", $M121&lt;&gt;"APPROVED",$I121="", $U121=0),"",SUMIFS($U$3:$U$502,$H$3:$H$502,$H121,$M$3:$M$502,"APPROVED",$Q$3:$Q$502,"&lt;="&amp;Settings!$B$4,$I$3:$I$502,"&lt;="&amp;$I121))</f>
        <v/>
      </c>
      <c r="X121" s="21" t="str">
        <f>IF(OR($C121="", $M121&lt;&gt;"APPROVED",$I121="", $U121=0),"",SUMIFS($U$3:$U$502,$H$3:$H$502,$H121,$M$3:$M$502,"APPROVED",$Q$3:$Q$502,"&lt;="&amp;Settings!$B$5,$I$3:$I$502,"&lt;="&amp;$I121))</f>
        <v/>
      </c>
      <c r="Y121" s="21" t="str">
        <f>IF($P121="","",IFERROR(MATCH($P121,Lists!$H$2:$H$4,0),""))</f>
        <v/>
      </c>
      <c r="Z121" s="21" t="str">
        <f t="shared" si="3"/>
        <v/>
      </c>
    </row>
    <row r="122" spans="1:26" ht="15.75" customHeight="1" x14ac:dyDescent="0.3">
      <c r="A122" s="16" t="str">
        <f t="shared" si="4"/>
        <v/>
      </c>
      <c r="B122" s="28"/>
      <c r="C122" s="29"/>
      <c r="D122" s="16"/>
      <c r="E122" s="16"/>
      <c r="F122" s="16"/>
      <c r="G122" s="16"/>
      <c r="H122" s="16"/>
      <c r="I122" s="31"/>
      <c r="J122" s="15"/>
      <c r="K122" s="15"/>
      <c r="L122" s="15"/>
      <c r="M122" s="16"/>
      <c r="N122" s="17"/>
      <c r="O122" s="19" t="str">
        <f t="shared" si="0"/>
        <v/>
      </c>
      <c r="P122" s="17"/>
      <c r="Q122" s="17" t="str">
        <f t="shared" ca="1" si="1"/>
        <v/>
      </c>
      <c r="R122" s="21" t="str">
        <f ca="1">IF($Q122="","",IF($Q122&lt;=Settings!$B$8,Settings!$C$8,IF($Q122&lt;=Settings!$B$9,Settings!$C$9,IF($Q122&lt;=Settings!$B$10,Settings!$C$10,IF($Q122&lt;=Settings!$B$11,Settings!$C$11,Settings!$C$12)))))</f>
        <v/>
      </c>
      <c r="S122" s="21" t="str">
        <f>IF($F122="","",IFERROR(VLOOKUP($F122,Settings!$E$8:$F$11,2,FALSE),0))</f>
        <v/>
      </c>
      <c r="T122" s="21">
        <f>IF($G122="",Settings!$B$16,1)</f>
        <v>1</v>
      </c>
      <c r="U122" s="21" t="str">
        <f t="shared" si="2"/>
        <v/>
      </c>
      <c r="V122" s="32" t="str">
        <f>IF($C122="","",IF($Q122&gt;Settings!$B$4,IF($G122="","|","")&amp;"OLD_7D","")&amp;IF($Q122&gt;Settings!$B$5,IF(OR($G122="", $Q122&gt;Settings!$B$4),"|","")&amp;"OLD_30D",""))</f>
        <v/>
      </c>
      <c r="W122" s="21" t="str">
        <f>IF(OR($C122="", $M122&lt;&gt;"APPROVED",$I122="", $U122=0),"",SUMIFS($U$3:$U$502,$H$3:$H$502,$H122,$M$3:$M$502,"APPROVED",$Q$3:$Q$502,"&lt;="&amp;Settings!$B$4,$I$3:$I$502,"&lt;="&amp;$I122))</f>
        <v/>
      </c>
      <c r="X122" s="21" t="str">
        <f>IF(OR($C122="", $M122&lt;&gt;"APPROVED",$I122="", $U122=0),"",SUMIFS($U$3:$U$502,$H$3:$H$502,$H122,$M$3:$M$502,"APPROVED",$Q$3:$Q$502,"&lt;="&amp;Settings!$B$5,$I$3:$I$502,"&lt;="&amp;$I122))</f>
        <v/>
      </c>
      <c r="Y122" s="21" t="str">
        <f>IF($P122="","",IFERROR(MATCH($P122,Lists!$H$2:$H$4,0),""))</f>
        <v/>
      </c>
      <c r="Z122" s="21" t="str">
        <f t="shared" si="3"/>
        <v/>
      </c>
    </row>
    <row r="123" spans="1:26" ht="15.75" customHeight="1" x14ac:dyDescent="0.3">
      <c r="A123" s="16" t="str">
        <f t="shared" si="4"/>
        <v/>
      </c>
      <c r="B123" s="28"/>
      <c r="C123" s="29"/>
      <c r="D123" s="16"/>
      <c r="E123" s="16"/>
      <c r="F123" s="16"/>
      <c r="G123" s="16"/>
      <c r="H123" s="16"/>
      <c r="I123" s="31"/>
      <c r="J123" s="15"/>
      <c r="K123" s="15"/>
      <c r="L123" s="15"/>
      <c r="M123" s="16"/>
      <c r="N123" s="17"/>
      <c r="O123" s="19" t="str">
        <f t="shared" si="0"/>
        <v/>
      </c>
      <c r="P123" s="17"/>
      <c r="Q123" s="17" t="str">
        <f t="shared" ca="1" si="1"/>
        <v/>
      </c>
      <c r="R123" s="21" t="str">
        <f ca="1">IF($Q123="","",IF($Q123&lt;=Settings!$B$8,Settings!$C$8,IF($Q123&lt;=Settings!$B$9,Settings!$C$9,IF($Q123&lt;=Settings!$B$10,Settings!$C$10,IF($Q123&lt;=Settings!$B$11,Settings!$C$11,Settings!$C$12)))))</f>
        <v/>
      </c>
      <c r="S123" s="21" t="str">
        <f>IF($F123="","",IFERROR(VLOOKUP($F123,Settings!$E$8:$F$11,2,FALSE),0))</f>
        <v/>
      </c>
      <c r="T123" s="21">
        <f>IF($G123="",Settings!$B$16,1)</f>
        <v>1</v>
      </c>
      <c r="U123" s="21" t="str">
        <f t="shared" si="2"/>
        <v/>
      </c>
      <c r="V123" s="32" t="str">
        <f>IF($C123="","",IF($Q123&gt;Settings!$B$4,IF($G123="","|","")&amp;"OLD_7D","")&amp;IF($Q123&gt;Settings!$B$5,IF(OR($G123="", $Q123&gt;Settings!$B$4),"|","")&amp;"OLD_30D",""))</f>
        <v/>
      </c>
      <c r="W123" s="21" t="str">
        <f>IF(OR($C123="", $M123&lt;&gt;"APPROVED",$I123="", $U123=0),"",SUMIFS($U$3:$U$502,$H$3:$H$502,$H123,$M$3:$M$502,"APPROVED",$Q$3:$Q$502,"&lt;="&amp;Settings!$B$4,$I$3:$I$502,"&lt;="&amp;$I123))</f>
        <v/>
      </c>
      <c r="X123" s="21" t="str">
        <f>IF(OR($C123="", $M123&lt;&gt;"APPROVED",$I123="", $U123=0),"",SUMIFS($U$3:$U$502,$H$3:$H$502,$H123,$M$3:$M$502,"APPROVED",$Q$3:$Q$502,"&lt;="&amp;Settings!$B$5,$I$3:$I$502,"&lt;="&amp;$I123))</f>
        <v/>
      </c>
      <c r="Y123" s="21" t="str">
        <f>IF($P123="","",IFERROR(MATCH($P123,Lists!$H$2:$H$4,0),""))</f>
        <v/>
      </c>
      <c r="Z123" s="21" t="str">
        <f t="shared" si="3"/>
        <v/>
      </c>
    </row>
    <row r="124" spans="1:26" ht="15.75" customHeight="1" x14ac:dyDescent="0.3">
      <c r="A124" s="16" t="str">
        <f t="shared" si="4"/>
        <v/>
      </c>
      <c r="B124" s="28"/>
      <c r="C124" s="29"/>
      <c r="D124" s="16"/>
      <c r="E124" s="16"/>
      <c r="F124" s="16"/>
      <c r="G124" s="16"/>
      <c r="H124" s="16"/>
      <c r="I124" s="31"/>
      <c r="J124" s="15"/>
      <c r="K124" s="15"/>
      <c r="L124" s="15"/>
      <c r="M124" s="16"/>
      <c r="N124" s="17"/>
      <c r="O124" s="19" t="str">
        <f t="shared" si="0"/>
        <v/>
      </c>
      <c r="P124" s="17"/>
      <c r="Q124" s="17" t="str">
        <f t="shared" ca="1" si="1"/>
        <v/>
      </c>
      <c r="R124" s="21" t="str">
        <f ca="1">IF($Q124="","",IF($Q124&lt;=Settings!$B$8,Settings!$C$8,IF($Q124&lt;=Settings!$B$9,Settings!$C$9,IF($Q124&lt;=Settings!$B$10,Settings!$C$10,IF($Q124&lt;=Settings!$B$11,Settings!$C$11,Settings!$C$12)))))</f>
        <v/>
      </c>
      <c r="S124" s="21" t="str">
        <f>IF($F124="","",IFERROR(VLOOKUP($F124,Settings!$E$8:$F$11,2,FALSE),0))</f>
        <v/>
      </c>
      <c r="T124" s="21">
        <f>IF($G124="",Settings!$B$16,1)</f>
        <v>1</v>
      </c>
      <c r="U124" s="21" t="str">
        <f t="shared" si="2"/>
        <v/>
      </c>
      <c r="V124" s="32" t="str">
        <f>IF($C124="","",IF($Q124&gt;Settings!$B$4,IF($G124="","|","")&amp;"OLD_7D","")&amp;IF($Q124&gt;Settings!$B$5,IF(OR($G124="", $Q124&gt;Settings!$B$4),"|","")&amp;"OLD_30D",""))</f>
        <v/>
      </c>
      <c r="W124" s="21" t="str">
        <f>IF(OR($C124="", $M124&lt;&gt;"APPROVED",$I124="", $U124=0),"",SUMIFS($U$3:$U$502,$H$3:$H$502,$H124,$M$3:$M$502,"APPROVED",$Q$3:$Q$502,"&lt;="&amp;Settings!$B$4,$I$3:$I$502,"&lt;="&amp;$I124))</f>
        <v/>
      </c>
      <c r="X124" s="21" t="str">
        <f>IF(OR($C124="", $M124&lt;&gt;"APPROVED",$I124="", $U124=0),"",SUMIFS($U$3:$U$502,$H$3:$H$502,$H124,$M$3:$M$502,"APPROVED",$Q$3:$Q$502,"&lt;="&amp;Settings!$B$5,$I$3:$I$502,"&lt;="&amp;$I124))</f>
        <v/>
      </c>
      <c r="Y124" s="21" t="str">
        <f>IF($P124="","",IFERROR(MATCH($P124,Lists!$H$2:$H$4,0),""))</f>
        <v/>
      </c>
      <c r="Z124" s="21" t="str">
        <f t="shared" si="3"/>
        <v/>
      </c>
    </row>
    <row r="125" spans="1:26" ht="15.75" customHeight="1" x14ac:dyDescent="0.3">
      <c r="A125" s="16" t="str">
        <f t="shared" si="4"/>
        <v/>
      </c>
      <c r="B125" s="28"/>
      <c r="C125" s="29"/>
      <c r="D125" s="16"/>
      <c r="E125" s="16"/>
      <c r="F125" s="16"/>
      <c r="G125" s="16"/>
      <c r="H125" s="16"/>
      <c r="I125" s="31"/>
      <c r="J125" s="15"/>
      <c r="K125" s="15"/>
      <c r="L125" s="15"/>
      <c r="M125" s="16"/>
      <c r="N125" s="17"/>
      <c r="O125" s="19" t="str">
        <f t="shared" si="0"/>
        <v/>
      </c>
      <c r="P125" s="17"/>
      <c r="Q125" s="17" t="str">
        <f t="shared" ca="1" si="1"/>
        <v/>
      </c>
      <c r="R125" s="21" t="str">
        <f ca="1">IF($Q125="","",IF($Q125&lt;=Settings!$B$8,Settings!$C$8,IF($Q125&lt;=Settings!$B$9,Settings!$C$9,IF($Q125&lt;=Settings!$B$10,Settings!$C$10,IF($Q125&lt;=Settings!$B$11,Settings!$C$11,Settings!$C$12)))))</f>
        <v/>
      </c>
      <c r="S125" s="21" t="str">
        <f>IF($F125="","",IFERROR(VLOOKUP($F125,Settings!$E$8:$F$11,2,FALSE),0))</f>
        <v/>
      </c>
      <c r="T125" s="21">
        <f>IF($G125="",Settings!$B$16,1)</f>
        <v>1</v>
      </c>
      <c r="U125" s="21" t="str">
        <f t="shared" si="2"/>
        <v/>
      </c>
      <c r="V125" s="32" t="str">
        <f>IF($C125="","",IF($Q125&gt;Settings!$B$4,IF($G125="","|","")&amp;"OLD_7D","")&amp;IF($Q125&gt;Settings!$B$5,IF(OR($G125="", $Q125&gt;Settings!$B$4),"|","")&amp;"OLD_30D",""))</f>
        <v/>
      </c>
      <c r="W125" s="21" t="str">
        <f>IF(OR($C125="", $M125&lt;&gt;"APPROVED",$I125="", $U125=0),"",SUMIFS($U$3:$U$502,$H$3:$H$502,$H125,$M$3:$M$502,"APPROVED",$Q$3:$Q$502,"&lt;="&amp;Settings!$B$4,$I$3:$I$502,"&lt;="&amp;$I125))</f>
        <v/>
      </c>
      <c r="X125" s="21" t="str">
        <f>IF(OR($C125="", $M125&lt;&gt;"APPROVED",$I125="", $U125=0),"",SUMIFS($U$3:$U$502,$H$3:$H$502,$H125,$M$3:$M$502,"APPROVED",$Q$3:$Q$502,"&lt;="&amp;Settings!$B$5,$I$3:$I$502,"&lt;="&amp;$I125))</f>
        <v/>
      </c>
      <c r="Y125" s="21" t="str">
        <f>IF($P125="","",IFERROR(MATCH($P125,Lists!$H$2:$H$4,0),""))</f>
        <v/>
      </c>
      <c r="Z125" s="21" t="str">
        <f t="shared" si="3"/>
        <v/>
      </c>
    </row>
    <row r="126" spans="1:26" ht="15.75" customHeight="1" x14ac:dyDescent="0.3">
      <c r="A126" s="16" t="str">
        <f t="shared" si="4"/>
        <v/>
      </c>
      <c r="B126" s="28"/>
      <c r="C126" s="29"/>
      <c r="D126" s="16"/>
      <c r="E126" s="16"/>
      <c r="F126" s="16"/>
      <c r="G126" s="16"/>
      <c r="H126" s="16"/>
      <c r="I126" s="31"/>
      <c r="J126" s="15"/>
      <c r="K126" s="15"/>
      <c r="L126" s="15"/>
      <c r="M126" s="16"/>
      <c r="N126" s="17"/>
      <c r="O126" s="19" t="str">
        <f t="shared" si="0"/>
        <v/>
      </c>
      <c r="P126" s="17"/>
      <c r="Q126" s="17" t="str">
        <f t="shared" ca="1" si="1"/>
        <v/>
      </c>
      <c r="R126" s="21" t="str">
        <f ca="1">IF($Q126="","",IF($Q126&lt;=Settings!$B$8,Settings!$C$8,IF($Q126&lt;=Settings!$B$9,Settings!$C$9,IF($Q126&lt;=Settings!$B$10,Settings!$C$10,IF($Q126&lt;=Settings!$B$11,Settings!$C$11,Settings!$C$12)))))</f>
        <v/>
      </c>
      <c r="S126" s="21" t="str">
        <f>IF($F126="","",IFERROR(VLOOKUP($F126,Settings!$E$8:$F$11,2,FALSE),0))</f>
        <v/>
      </c>
      <c r="T126" s="21">
        <f>IF($G126="",Settings!$B$16,1)</f>
        <v>1</v>
      </c>
      <c r="U126" s="21" t="str">
        <f t="shared" si="2"/>
        <v/>
      </c>
      <c r="V126" s="32" t="str">
        <f>IF($C126="","",IF($Q126&gt;Settings!$B$4,IF($G126="","|","")&amp;"OLD_7D","")&amp;IF($Q126&gt;Settings!$B$5,IF(OR($G126="", $Q126&gt;Settings!$B$4),"|","")&amp;"OLD_30D",""))</f>
        <v/>
      </c>
      <c r="W126" s="21" t="str">
        <f>IF(OR($C126="", $M126&lt;&gt;"APPROVED",$I126="", $U126=0),"",SUMIFS($U$3:$U$502,$H$3:$H$502,$H126,$M$3:$M$502,"APPROVED",$Q$3:$Q$502,"&lt;="&amp;Settings!$B$4,$I$3:$I$502,"&lt;="&amp;$I126))</f>
        <v/>
      </c>
      <c r="X126" s="21" t="str">
        <f>IF(OR($C126="", $M126&lt;&gt;"APPROVED",$I126="", $U126=0),"",SUMIFS($U$3:$U$502,$H$3:$H$502,$H126,$M$3:$M$502,"APPROVED",$Q$3:$Q$502,"&lt;="&amp;Settings!$B$5,$I$3:$I$502,"&lt;="&amp;$I126))</f>
        <v/>
      </c>
      <c r="Y126" s="21" t="str">
        <f>IF($P126="","",IFERROR(MATCH($P126,Lists!$H$2:$H$4,0),""))</f>
        <v/>
      </c>
      <c r="Z126" s="21" t="str">
        <f t="shared" si="3"/>
        <v/>
      </c>
    </row>
    <row r="127" spans="1:26" ht="15.75" customHeight="1" x14ac:dyDescent="0.3">
      <c r="A127" s="16" t="str">
        <f t="shared" si="4"/>
        <v/>
      </c>
      <c r="B127" s="28"/>
      <c r="C127" s="29"/>
      <c r="D127" s="16"/>
      <c r="E127" s="16"/>
      <c r="F127" s="16"/>
      <c r="G127" s="16"/>
      <c r="H127" s="16"/>
      <c r="I127" s="31"/>
      <c r="J127" s="15"/>
      <c r="K127" s="15"/>
      <c r="L127" s="15"/>
      <c r="M127" s="16"/>
      <c r="N127" s="17"/>
      <c r="O127" s="19" t="str">
        <f t="shared" si="0"/>
        <v/>
      </c>
      <c r="P127" s="17"/>
      <c r="Q127" s="17" t="str">
        <f t="shared" ca="1" si="1"/>
        <v/>
      </c>
      <c r="R127" s="21" t="str">
        <f ca="1">IF($Q127="","",IF($Q127&lt;=Settings!$B$8,Settings!$C$8,IF($Q127&lt;=Settings!$B$9,Settings!$C$9,IF($Q127&lt;=Settings!$B$10,Settings!$C$10,IF($Q127&lt;=Settings!$B$11,Settings!$C$11,Settings!$C$12)))))</f>
        <v/>
      </c>
      <c r="S127" s="21" t="str">
        <f>IF($F127="","",IFERROR(VLOOKUP($F127,Settings!$E$8:$F$11,2,FALSE),0))</f>
        <v/>
      </c>
      <c r="T127" s="21">
        <f>IF($G127="",Settings!$B$16,1)</f>
        <v>1</v>
      </c>
      <c r="U127" s="21" t="str">
        <f t="shared" si="2"/>
        <v/>
      </c>
      <c r="V127" s="32" t="str">
        <f>IF($C127="","",IF($Q127&gt;Settings!$B$4,IF($G127="","|","")&amp;"OLD_7D","")&amp;IF($Q127&gt;Settings!$B$5,IF(OR($G127="", $Q127&gt;Settings!$B$4),"|","")&amp;"OLD_30D",""))</f>
        <v/>
      </c>
      <c r="W127" s="21" t="str">
        <f>IF(OR($C127="", $M127&lt;&gt;"APPROVED",$I127="", $U127=0),"",SUMIFS($U$3:$U$502,$H$3:$H$502,$H127,$M$3:$M$502,"APPROVED",$Q$3:$Q$502,"&lt;="&amp;Settings!$B$4,$I$3:$I$502,"&lt;="&amp;$I127))</f>
        <v/>
      </c>
      <c r="X127" s="21" t="str">
        <f>IF(OR($C127="", $M127&lt;&gt;"APPROVED",$I127="", $U127=0),"",SUMIFS($U$3:$U$502,$H$3:$H$502,$H127,$M$3:$M$502,"APPROVED",$Q$3:$Q$502,"&lt;="&amp;Settings!$B$5,$I$3:$I$502,"&lt;="&amp;$I127))</f>
        <v/>
      </c>
      <c r="Y127" s="21" t="str">
        <f>IF($P127="","",IFERROR(MATCH($P127,Lists!$H$2:$H$4,0),""))</f>
        <v/>
      </c>
      <c r="Z127" s="21" t="str">
        <f t="shared" si="3"/>
        <v/>
      </c>
    </row>
    <row r="128" spans="1:26" ht="15.75" customHeight="1" x14ac:dyDescent="0.3">
      <c r="A128" s="16" t="str">
        <f t="shared" si="4"/>
        <v/>
      </c>
      <c r="B128" s="28"/>
      <c r="C128" s="29"/>
      <c r="D128" s="16"/>
      <c r="E128" s="16"/>
      <c r="F128" s="16"/>
      <c r="G128" s="16"/>
      <c r="H128" s="16"/>
      <c r="I128" s="31"/>
      <c r="J128" s="15"/>
      <c r="K128" s="15"/>
      <c r="L128" s="15"/>
      <c r="M128" s="16"/>
      <c r="N128" s="17"/>
      <c r="O128" s="19" t="str">
        <f t="shared" si="0"/>
        <v/>
      </c>
      <c r="P128" s="17"/>
      <c r="Q128" s="17" t="str">
        <f t="shared" ca="1" si="1"/>
        <v/>
      </c>
      <c r="R128" s="21" t="str">
        <f ca="1">IF($Q128="","",IF($Q128&lt;=Settings!$B$8,Settings!$C$8,IF($Q128&lt;=Settings!$B$9,Settings!$C$9,IF($Q128&lt;=Settings!$B$10,Settings!$C$10,IF($Q128&lt;=Settings!$B$11,Settings!$C$11,Settings!$C$12)))))</f>
        <v/>
      </c>
      <c r="S128" s="21" t="str">
        <f>IF($F128="","",IFERROR(VLOOKUP($F128,Settings!$E$8:$F$11,2,FALSE),0))</f>
        <v/>
      </c>
      <c r="T128" s="21">
        <f>IF($G128="",Settings!$B$16,1)</f>
        <v>1</v>
      </c>
      <c r="U128" s="21" t="str">
        <f t="shared" si="2"/>
        <v/>
      </c>
      <c r="V128" s="32" t="str">
        <f>IF($C128="","",IF($Q128&gt;Settings!$B$4,IF($G128="","|","")&amp;"OLD_7D","")&amp;IF($Q128&gt;Settings!$B$5,IF(OR($G128="", $Q128&gt;Settings!$B$4),"|","")&amp;"OLD_30D",""))</f>
        <v/>
      </c>
      <c r="W128" s="21" t="str">
        <f>IF(OR($C128="", $M128&lt;&gt;"APPROVED",$I128="", $U128=0),"",SUMIFS($U$3:$U$502,$H$3:$H$502,$H128,$M$3:$M$502,"APPROVED",$Q$3:$Q$502,"&lt;="&amp;Settings!$B$4,$I$3:$I$502,"&lt;="&amp;$I128))</f>
        <v/>
      </c>
      <c r="X128" s="21" t="str">
        <f>IF(OR($C128="", $M128&lt;&gt;"APPROVED",$I128="", $U128=0),"",SUMIFS($U$3:$U$502,$H$3:$H$502,$H128,$M$3:$M$502,"APPROVED",$Q$3:$Q$502,"&lt;="&amp;Settings!$B$5,$I$3:$I$502,"&lt;="&amp;$I128))</f>
        <v/>
      </c>
      <c r="Y128" s="21" t="str">
        <f>IF($P128="","",IFERROR(MATCH($P128,Lists!$H$2:$H$4,0),""))</f>
        <v/>
      </c>
      <c r="Z128" s="21" t="str">
        <f t="shared" si="3"/>
        <v/>
      </c>
    </row>
    <row r="129" spans="1:26" ht="15.75" customHeight="1" x14ac:dyDescent="0.3">
      <c r="A129" s="16" t="str">
        <f t="shared" si="4"/>
        <v/>
      </c>
      <c r="B129" s="28"/>
      <c r="C129" s="29"/>
      <c r="D129" s="16"/>
      <c r="E129" s="16"/>
      <c r="F129" s="16"/>
      <c r="G129" s="16"/>
      <c r="H129" s="16"/>
      <c r="I129" s="31"/>
      <c r="J129" s="15"/>
      <c r="K129" s="15"/>
      <c r="L129" s="15"/>
      <c r="M129" s="16"/>
      <c r="N129" s="17"/>
      <c r="O129" s="19" t="str">
        <f t="shared" si="0"/>
        <v/>
      </c>
      <c r="P129" s="17"/>
      <c r="Q129" s="17" t="str">
        <f t="shared" ca="1" si="1"/>
        <v/>
      </c>
      <c r="R129" s="21" t="str">
        <f ca="1">IF($Q129="","",IF($Q129&lt;=Settings!$B$8,Settings!$C$8,IF($Q129&lt;=Settings!$B$9,Settings!$C$9,IF($Q129&lt;=Settings!$B$10,Settings!$C$10,IF($Q129&lt;=Settings!$B$11,Settings!$C$11,Settings!$C$12)))))</f>
        <v/>
      </c>
      <c r="S129" s="21" t="str">
        <f>IF($F129="","",IFERROR(VLOOKUP($F129,Settings!$E$8:$F$11,2,FALSE),0))</f>
        <v/>
      </c>
      <c r="T129" s="21">
        <f>IF($G129="",Settings!$B$16,1)</f>
        <v>1</v>
      </c>
      <c r="U129" s="21" t="str">
        <f t="shared" si="2"/>
        <v/>
      </c>
      <c r="V129" s="32" t="str">
        <f>IF($C129="","",IF($Q129&gt;Settings!$B$4,IF($G129="","|","")&amp;"OLD_7D","")&amp;IF($Q129&gt;Settings!$B$5,IF(OR($G129="", $Q129&gt;Settings!$B$4),"|","")&amp;"OLD_30D",""))</f>
        <v/>
      </c>
      <c r="W129" s="21" t="str">
        <f>IF(OR($C129="", $M129&lt;&gt;"APPROVED",$I129="", $U129=0),"",SUMIFS($U$3:$U$502,$H$3:$H$502,$H129,$M$3:$M$502,"APPROVED",$Q$3:$Q$502,"&lt;="&amp;Settings!$B$4,$I$3:$I$502,"&lt;="&amp;$I129))</f>
        <v/>
      </c>
      <c r="X129" s="21" t="str">
        <f>IF(OR($C129="", $M129&lt;&gt;"APPROVED",$I129="", $U129=0),"",SUMIFS($U$3:$U$502,$H$3:$H$502,$H129,$M$3:$M$502,"APPROVED",$Q$3:$Q$502,"&lt;="&amp;Settings!$B$5,$I$3:$I$502,"&lt;="&amp;$I129))</f>
        <v/>
      </c>
      <c r="Y129" s="21" t="str">
        <f>IF($P129="","",IFERROR(MATCH($P129,Lists!$H$2:$H$4,0),""))</f>
        <v/>
      </c>
      <c r="Z129" s="21" t="str">
        <f t="shared" si="3"/>
        <v/>
      </c>
    </row>
    <row r="130" spans="1:26" ht="15.75" customHeight="1" x14ac:dyDescent="0.3">
      <c r="A130" s="16" t="str">
        <f t="shared" si="4"/>
        <v/>
      </c>
      <c r="B130" s="28"/>
      <c r="C130" s="29"/>
      <c r="D130" s="16"/>
      <c r="E130" s="16"/>
      <c r="F130" s="16"/>
      <c r="G130" s="16"/>
      <c r="H130" s="16"/>
      <c r="I130" s="31"/>
      <c r="J130" s="15"/>
      <c r="K130" s="15"/>
      <c r="L130" s="15"/>
      <c r="M130" s="16"/>
      <c r="N130" s="17"/>
      <c r="O130" s="19" t="str">
        <f t="shared" si="0"/>
        <v/>
      </c>
      <c r="P130" s="17"/>
      <c r="Q130" s="17" t="str">
        <f t="shared" ca="1" si="1"/>
        <v/>
      </c>
      <c r="R130" s="21" t="str">
        <f ca="1">IF($Q130="","",IF($Q130&lt;=Settings!$B$8,Settings!$C$8,IF($Q130&lt;=Settings!$B$9,Settings!$C$9,IF($Q130&lt;=Settings!$B$10,Settings!$C$10,IF($Q130&lt;=Settings!$B$11,Settings!$C$11,Settings!$C$12)))))</f>
        <v/>
      </c>
      <c r="S130" s="21" t="str">
        <f>IF($F130="","",IFERROR(VLOOKUP($F130,Settings!$E$8:$F$11,2,FALSE),0))</f>
        <v/>
      </c>
      <c r="T130" s="21">
        <f>IF($G130="",Settings!$B$16,1)</f>
        <v>1</v>
      </c>
      <c r="U130" s="21" t="str">
        <f t="shared" si="2"/>
        <v/>
      </c>
      <c r="V130" s="32" t="str">
        <f>IF($C130="","",IF($Q130&gt;Settings!$B$4,IF($G130="","|","")&amp;"OLD_7D","")&amp;IF($Q130&gt;Settings!$B$5,IF(OR($G130="", $Q130&gt;Settings!$B$4),"|","")&amp;"OLD_30D",""))</f>
        <v/>
      </c>
      <c r="W130" s="21" t="str">
        <f>IF(OR($C130="", $M130&lt;&gt;"APPROVED",$I130="", $U130=0),"",SUMIFS($U$3:$U$502,$H$3:$H$502,$H130,$M$3:$M$502,"APPROVED",$Q$3:$Q$502,"&lt;="&amp;Settings!$B$4,$I$3:$I$502,"&lt;="&amp;$I130))</f>
        <v/>
      </c>
      <c r="X130" s="21" t="str">
        <f>IF(OR($C130="", $M130&lt;&gt;"APPROVED",$I130="", $U130=0),"",SUMIFS($U$3:$U$502,$H$3:$H$502,$H130,$M$3:$M$502,"APPROVED",$Q$3:$Q$502,"&lt;="&amp;Settings!$B$5,$I$3:$I$502,"&lt;="&amp;$I130))</f>
        <v/>
      </c>
      <c r="Y130" s="21" t="str">
        <f>IF($P130="","",IFERROR(MATCH($P130,Lists!$H$2:$H$4,0),""))</f>
        <v/>
      </c>
      <c r="Z130" s="21" t="str">
        <f t="shared" si="3"/>
        <v/>
      </c>
    </row>
    <row r="131" spans="1:26" ht="15.75" customHeight="1" x14ac:dyDescent="0.3">
      <c r="A131" s="16" t="str">
        <f t="shared" si="4"/>
        <v/>
      </c>
      <c r="B131" s="28"/>
      <c r="C131" s="29"/>
      <c r="D131" s="16"/>
      <c r="E131" s="16"/>
      <c r="F131" s="16"/>
      <c r="G131" s="16"/>
      <c r="H131" s="16"/>
      <c r="I131" s="31"/>
      <c r="J131" s="15"/>
      <c r="K131" s="15"/>
      <c r="L131" s="15"/>
      <c r="M131" s="16"/>
      <c r="N131" s="17"/>
      <c r="O131" s="19" t="str">
        <f t="shared" si="0"/>
        <v/>
      </c>
      <c r="P131" s="17"/>
      <c r="Q131" s="17" t="str">
        <f t="shared" ca="1" si="1"/>
        <v/>
      </c>
      <c r="R131" s="21" t="str">
        <f ca="1">IF($Q131="","",IF($Q131&lt;=Settings!$B$8,Settings!$C$8,IF($Q131&lt;=Settings!$B$9,Settings!$C$9,IF($Q131&lt;=Settings!$B$10,Settings!$C$10,IF($Q131&lt;=Settings!$B$11,Settings!$C$11,Settings!$C$12)))))</f>
        <v/>
      </c>
      <c r="S131" s="21" t="str">
        <f>IF($F131="","",IFERROR(VLOOKUP($F131,Settings!$E$8:$F$11,2,FALSE),0))</f>
        <v/>
      </c>
      <c r="T131" s="21">
        <f>IF($G131="",Settings!$B$16,1)</f>
        <v>1</v>
      </c>
      <c r="U131" s="21" t="str">
        <f t="shared" si="2"/>
        <v/>
      </c>
      <c r="V131" s="32" t="str">
        <f>IF($C131="","",IF($Q131&gt;Settings!$B$4,IF($G131="","|","")&amp;"OLD_7D","")&amp;IF($Q131&gt;Settings!$B$5,IF(OR($G131="", $Q131&gt;Settings!$B$4),"|","")&amp;"OLD_30D",""))</f>
        <v/>
      </c>
      <c r="W131" s="21" t="str">
        <f>IF(OR($C131="", $M131&lt;&gt;"APPROVED",$I131="", $U131=0),"",SUMIFS($U$3:$U$502,$H$3:$H$502,$H131,$M$3:$M$502,"APPROVED",$Q$3:$Q$502,"&lt;="&amp;Settings!$B$4,$I$3:$I$502,"&lt;="&amp;$I131))</f>
        <v/>
      </c>
      <c r="X131" s="21" t="str">
        <f>IF(OR($C131="", $M131&lt;&gt;"APPROVED",$I131="", $U131=0),"",SUMIFS($U$3:$U$502,$H$3:$H$502,$H131,$M$3:$M$502,"APPROVED",$Q$3:$Q$502,"&lt;="&amp;Settings!$B$5,$I$3:$I$502,"&lt;="&amp;$I131))</f>
        <v/>
      </c>
      <c r="Y131" s="21" t="str">
        <f>IF($P131="","",IFERROR(MATCH($P131,Lists!$H$2:$H$4,0),""))</f>
        <v/>
      </c>
      <c r="Z131" s="21" t="str">
        <f t="shared" si="3"/>
        <v/>
      </c>
    </row>
    <row r="132" spans="1:26" ht="15.75" customHeight="1" x14ac:dyDescent="0.3">
      <c r="A132" s="16" t="str">
        <f t="shared" si="4"/>
        <v/>
      </c>
      <c r="B132" s="28"/>
      <c r="C132" s="29"/>
      <c r="D132" s="16"/>
      <c r="E132" s="16"/>
      <c r="F132" s="16"/>
      <c r="G132" s="16"/>
      <c r="H132" s="16"/>
      <c r="I132" s="31"/>
      <c r="J132" s="15"/>
      <c r="K132" s="15"/>
      <c r="L132" s="15"/>
      <c r="M132" s="16"/>
      <c r="N132" s="17"/>
      <c r="O132" s="19" t="str">
        <f t="shared" si="0"/>
        <v/>
      </c>
      <c r="P132" s="17"/>
      <c r="Q132" s="17" t="str">
        <f t="shared" ca="1" si="1"/>
        <v/>
      </c>
      <c r="R132" s="21" t="str">
        <f ca="1">IF($Q132="","",IF($Q132&lt;=Settings!$B$8,Settings!$C$8,IF($Q132&lt;=Settings!$B$9,Settings!$C$9,IF($Q132&lt;=Settings!$B$10,Settings!$C$10,IF($Q132&lt;=Settings!$B$11,Settings!$C$11,Settings!$C$12)))))</f>
        <v/>
      </c>
      <c r="S132" s="21" t="str">
        <f>IF($F132="","",IFERROR(VLOOKUP($F132,Settings!$E$8:$F$11,2,FALSE),0))</f>
        <v/>
      </c>
      <c r="T132" s="21">
        <f>IF($G132="",Settings!$B$16,1)</f>
        <v>1</v>
      </c>
      <c r="U132" s="21" t="str">
        <f t="shared" si="2"/>
        <v/>
      </c>
      <c r="V132" s="32" t="str">
        <f>IF($C132="","",IF($Q132&gt;Settings!$B$4,IF($G132="","|","")&amp;"OLD_7D","")&amp;IF($Q132&gt;Settings!$B$5,IF(OR($G132="", $Q132&gt;Settings!$B$4),"|","")&amp;"OLD_30D",""))</f>
        <v/>
      </c>
      <c r="W132" s="21" t="str">
        <f>IF(OR($C132="", $M132&lt;&gt;"APPROVED",$I132="", $U132=0),"",SUMIFS($U$3:$U$502,$H$3:$H$502,$H132,$M$3:$M$502,"APPROVED",$Q$3:$Q$502,"&lt;="&amp;Settings!$B$4,$I$3:$I$502,"&lt;="&amp;$I132))</f>
        <v/>
      </c>
      <c r="X132" s="21" t="str">
        <f>IF(OR($C132="", $M132&lt;&gt;"APPROVED",$I132="", $U132=0),"",SUMIFS($U$3:$U$502,$H$3:$H$502,$H132,$M$3:$M$502,"APPROVED",$Q$3:$Q$502,"&lt;="&amp;Settings!$B$5,$I$3:$I$502,"&lt;="&amp;$I132))</f>
        <v/>
      </c>
      <c r="Y132" s="21" t="str">
        <f>IF($P132="","",IFERROR(MATCH($P132,Lists!$H$2:$H$4,0),""))</f>
        <v/>
      </c>
      <c r="Z132" s="21" t="str">
        <f t="shared" si="3"/>
        <v/>
      </c>
    </row>
    <row r="133" spans="1:26" ht="15.75" customHeight="1" x14ac:dyDescent="0.3">
      <c r="A133" s="16" t="str">
        <f t="shared" si="4"/>
        <v/>
      </c>
      <c r="B133" s="28"/>
      <c r="C133" s="29"/>
      <c r="D133" s="16"/>
      <c r="E133" s="16"/>
      <c r="F133" s="16"/>
      <c r="G133" s="16"/>
      <c r="H133" s="16"/>
      <c r="I133" s="31"/>
      <c r="J133" s="15"/>
      <c r="K133" s="15"/>
      <c r="L133" s="15"/>
      <c r="M133" s="16"/>
      <c r="N133" s="17"/>
      <c r="O133" s="19" t="str">
        <f t="shared" si="0"/>
        <v/>
      </c>
      <c r="P133" s="17"/>
      <c r="Q133" s="17" t="str">
        <f t="shared" ca="1" si="1"/>
        <v/>
      </c>
      <c r="R133" s="21" t="str">
        <f ca="1">IF($Q133="","",IF($Q133&lt;=Settings!$B$8,Settings!$C$8,IF($Q133&lt;=Settings!$B$9,Settings!$C$9,IF($Q133&lt;=Settings!$B$10,Settings!$C$10,IF($Q133&lt;=Settings!$B$11,Settings!$C$11,Settings!$C$12)))))</f>
        <v/>
      </c>
      <c r="S133" s="21" t="str">
        <f>IF($F133="","",IFERROR(VLOOKUP($F133,Settings!$E$8:$F$11,2,FALSE),0))</f>
        <v/>
      </c>
      <c r="T133" s="21">
        <f>IF($G133="",Settings!$B$16,1)</f>
        <v>1</v>
      </c>
      <c r="U133" s="21" t="str">
        <f t="shared" si="2"/>
        <v/>
      </c>
      <c r="V133" s="32" t="str">
        <f>IF($C133="","",IF($Q133&gt;Settings!$B$4,IF($G133="","|","")&amp;"OLD_7D","")&amp;IF($Q133&gt;Settings!$B$5,IF(OR($G133="", $Q133&gt;Settings!$B$4),"|","")&amp;"OLD_30D",""))</f>
        <v/>
      </c>
      <c r="W133" s="21" t="str">
        <f>IF(OR($C133="", $M133&lt;&gt;"APPROVED",$I133="", $U133=0),"",SUMIFS($U$3:$U$502,$H$3:$H$502,$H133,$M$3:$M$502,"APPROVED",$Q$3:$Q$502,"&lt;="&amp;Settings!$B$4,$I$3:$I$502,"&lt;="&amp;$I133))</f>
        <v/>
      </c>
      <c r="X133" s="21" t="str">
        <f>IF(OR($C133="", $M133&lt;&gt;"APPROVED",$I133="", $U133=0),"",SUMIFS($U$3:$U$502,$H$3:$H$502,$H133,$M$3:$M$502,"APPROVED",$Q$3:$Q$502,"&lt;="&amp;Settings!$B$5,$I$3:$I$502,"&lt;="&amp;$I133))</f>
        <v/>
      </c>
      <c r="Y133" s="21" t="str">
        <f>IF($P133="","",IFERROR(MATCH($P133,Lists!$H$2:$H$4,0),""))</f>
        <v/>
      </c>
      <c r="Z133" s="21" t="str">
        <f t="shared" si="3"/>
        <v/>
      </c>
    </row>
    <row r="134" spans="1:26" ht="15.75" customHeight="1" x14ac:dyDescent="0.3">
      <c r="A134" s="16" t="str">
        <f t="shared" si="4"/>
        <v/>
      </c>
      <c r="B134" s="28"/>
      <c r="C134" s="29"/>
      <c r="D134" s="16"/>
      <c r="E134" s="16"/>
      <c r="F134" s="16"/>
      <c r="G134" s="16"/>
      <c r="H134" s="16"/>
      <c r="I134" s="31"/>
      <c r="J134" s="15"/>
      <c r="K134" s="15"/>
      <c r="L134" s="15"/>
      <c r="M134" s="16"/>
      <c r="N134" s="17"/>
      <c r="O134" s="19" t="str">
        <f t="shared" si="0"/>
        <v/>
      </c>
      <c r="P134" s="17"/>
      <c r="Q134" s="17" t="str">
        <f t="shared" ca="1" si="1"/>
        <v/>
      </c>
      <c r="R134" s="21" t="str">
        <f ca="1">IF($Q134="","",IF($Q134&lt;=Settings!$B$8,Settings!$C$8,IF($Q134&lt;=Settings!$B$9,Settings!$C$9,IF($Q134&lt;=Settings!$B$10,Settings!$C$10,IF($Q134&lt;=Settings!$B$11,Settings!$C$11,Settings!$C$12)))))</f>
        <v/>
      </c>
      <c r="S134" s="21" t="str">
        <f>IF($F134="","",IFERROR(VLOOKUP($F134,Settings!$E$8:$F$11,2,FALSE),0))</f>
        <v/>
      </c>
      <c r="T134" s="21">
        <f>IF($G134="",Settings!$B$16,1)</f>
        <v>1</v>
      </c>
      <c r="U134" s="21" t="str">
        <f t="shared" si="2"/>
        <v/>
      </c>
      <c r="V134" s="32" t="str">
        <f>IF($C134="","",IF($Q134&gt;Settings!$B$4,IF($G134="","|","")&amp;"OLD_7D","")&amp;IF($Q134&gt;Settings!$B$5,IF(OR($G134="", $Q134&gt;Settings!$B$4),"|","")&amp;"OLD_30D",""))</f>
        <v/>
      </c>
      <c r="W134" s="21" t="str">
        <f>IF(OR($C134="", $M134&lt;&gt;"APPROVED",$I134="", $U134=0),"",SUMIFS($U$3:$U$502,$H$3:$H$502,$H134,$M$3:$M$502,"APPROVED",$Q$3:$Q$502,"&lt;="&amp;Settings!$B$4,$I$3:$I$502,"&lt;="&amp;$I134))</f>
        <v/>
      </c>
      <c r="X134" s="21" t="str">
        <f>IF(OR($C134="", $M134&lt;&gt;"APPROVED",$I134="", $U134=0),"",SUMIFS($U$3:$U$502,$H$3:$H$502,$H134,$M$3:$M$502,"APPROVED",$Q$3:$Q$502,"&lt;="&amp;Settings!$B$5,$I$3:$I$502,"&lt;="&amp;$I134))</f>
        <v/>
      </c>
      <c r="Y134" s="21" t="str">
        <f>IF($P134="","",IFERROR(MATCH($P134,Lists!$H$2:$H$4,0),""))</f>
        <v/>
      </c>
      <c r="Z134" s="21" t="str">
        <f t="shared" si="3"/>
        <v/>
      </c>
    </row>
    <row r="135" spans="1:26" ht="15.75" customHeight="1" x14ac:dyDescent="0.3">
      <c r="A135" s="16" t="str">
        <f t="shared" si="4"/>
        <v/>
      </c>
      <c r="B135" s="28"/>
      <c r="C135" s="29"/>
      <c r="D135" s="16"/>
      <c r="E135" s="16"/>
      <c r="F135" s="16"/>
      <c r="G135" s="16"/>
      <c r="H135" s="16"/>
      <c r="I135" s="31"/>
      <c r="J135" s="15"/>
      <c r="K135" s="15"/>
      <c r="L135" s="15"/>
      <c r="M135" s="16"/>
      <c r="N135" s="17"/>
      <c r="O135" s="19" t="str">
        <f t="shared" si="0"/>
        <v/>
      </c>
      <c r="P135" s="17"/>
      <c r="Q135" s="17" t="str">
        <f t="shared" ca="1" si="1"/>
        <v/>
      </c>
      <c r="R135" s="21" t="str">
        <f ca="1">IF($Q135="","",IF($Q135&lt;=Settings!$B$8,Settings!$C$8,IF($Q135&lt;=Settings!$B$9,Settings!$C$9,IF($Q135&lt;=Settings!$B$10,Settings!$C$10,IF($Q135&lt;=Settings!$B$11,Settings!$C$11,Settings!$C$12)))))</f>
        <v/>
      </c>
      <c r="S135" s="21" t="str">
        <f>IF($F135="","",IFERROR(VLOOKUP($F135,Settings!$E$8:$F$11,2,FALSE),0))</f>
        <v/>
      </c>
      <c r="T135" s="21">
        <f>IF($G135="",Settings!$B$16,1)</f>
        <v>1</v>
      </c>
      <c r="U135" s="21" t="str">
        <f t="shared" si="2"/>
        <v/>
      </c>
      <c r="V135" s="32" t="str">
        <f>IF($C135="","",IF($Q135&gt;Settings!$B$4,IF($G135="","|","")&amp;"OLD_7D","")&amp;IF($Q135&gt;Settings!$B$5,IF(OR($G135="", $Q135&gt;Settings!$B$4),"|","")&amp;"OLD_30D",""))</f>
        <v/>
      </c>
      <c r="W135" s="21" t="str">
        <f>IF(OR($C135="", $M135&lt;&gt;"APPROVED",$I135="", $U135=0),"",SUMIFS($U$3:$U$502,$H$3:$H$502,$H135,$M$3:$M$502,"APPROVED",$Q$3:$Q$502,"&lt;="&amp;Settings!$B$4,$I$3:$I$502,"&lt;="&amp;$I135))</f>
        <v/>
      </c>
      <c r="X135" s="21" t="str">
        <f>IF(OR($C135="", $M135&lt;&gt;"APPROVED",$I135="", $U135=0),"",SUMIFS($U$3:$U$502,$H$3:$H$502,$H135,$M$3:$M$502,"APPROVED",$Q$3:$Q$502,"&lt;="&amp;Settings!$B$5,$I$3:$I$502,"&lt;="&amp;$I135))</f>
        <v/>
      </c>
      <c r="Y135" s="21" t="str">
        <f>IF($P135="","",IFERROR(MATCH($P135,Lists!$H$2:$H$4,0),""))</f>
        <v/>
      </c>
      <c r="Z135" s="21" t="str">
        <f t="shared" si="3"/>
        <v/>
      </c>
    </row>
    <row r="136" spans="1:26" ht="15.75" customHeight="1" x14ac:dyDescent="0.3">
      <c r="A136" s="16" t="str">
        <f t="shared" si="4"/>
        <v/>
      </c>
      <c r="B136" s="28"/>
      <c r="C136" s="29"/>
      <c r="D136" s="16"/>
      <c r="E136" s="16"/>
      <c r="F136" s="16"/>
      <c r="G136" s="16"/>
      <c r="H136" s="16"/>
      <c r="I136" s="31"/>
      <c r="J136" s="15"/>
      <c r="K136" s="15"/>
      <c r="L136" s="15"/>
      <c r="M136" s="16"/>
      <c r="N136" s="17"/>
      <c r="O136" s="19" t="str">
        <f t="shared" si="0"/>
        <v/>
      </c>
      <c r="P136" s="17"/>
      <c r="Q136" s="17" t="str">
        <f t="shared" ca="1" si="1"/>
        <v/>
      </c>
      <c r="R136" s="21" t="str">
        <f ca="1">IF($Q136="","",IF($Q136&lt;=Settings!$B$8,Settings!$C$8,IF($Q136&lt;=Settings!$B$9,Settings!$C$9,IF($Q136&lt;=Settings!$B$10,Settings!$C$10,IF($Q136&lt;=Settings!$B$11,Settings!$C$11,Settings!$C$12)))))</f>
        <v/>
      </c>
      <c r="S136" s="21" t="str">
        <f>IF($F136="","",IFERROR(VLOOKUP($F136,Settings!$E$8:$F$11,2,FALSE),0))</f>
        <v/>
      </c>
      <c r="T136" s="21">
        <f>IF($G136="",Settings!$B$16,1)</f>
        <v>1</v>
      </c>
      <c r="U136" s="21" t="str">
        <f t="shared" si="2"/>
        <v/>
      </c>
      <c r="V136" s="32" t="str">
        <f>IF($C136="","",IF($Q136&gt;Settings!$B$4,IF($G136="","|","")&amp;"OLD_7D","")&amp;IF($Q136&gt;Settings!$B$5,IF(OR($G136="", $Q136&gt;Settings!$B$4),"|","")&amp;"OLD_30D",""))</f>
        <v/>
      </c>
      <c r="W136" s="21" t="str">
        <f>IF(OR($C136="", $M136&lt;&gt;"APPROVED",$I136="", $U136=0),"",SUMIFS($U$3:$U$502,$H$3:$H$502,$H136,$M$3:$M$502,"APPROVED",$Q$3:$Q$502,"&lt;="&amp;Settings!$B$4,$I$3:$I$502,"&lt;="&amp;$I136))</f>
        <v/>
      </c>
      <c r="X136" s="21" t="str">
        <f>IF(OR($C136="", $M136&lt;&gt;"APPROVED",$I136="", $U136=0),"",SUMIFS($U$3:$U$502,$H$3:$H$502,$H136,$M$3:$M$502,"APPROVED",$Q$3:$Q$502,"&lt;="&amp;Settings!$B$5,$I$3:$I$502,"&lt;="&amp;$I136))</f>
        <v/>
      </c>
      <c r="Y136" s="21" t="str">
        <f>IF($P136="","",IFERROR(MATCH($P136,Lists!$H$2:$H$4,0),""))</f>
        <v/>
      </c>
      <c r="Z136" s="21" t="str">
        <f t="shared" si="3"/>
        <v/>
      </c>
    </row>
    <row r="137" spans="1:26" ht="15.75" customHeight="1" x14ac:dyDescent="0.3">
      <c r="A137" s="16" t="str">
        <f t="shared" si="4"/>
        <v/>
      </c>
      <c r="B137" s="28"/>
      <c r="C137" s="29"/>
      <c r="D137" s="16"/>
      <c r="E137" s="16"/>
      <c r="F137" s="16"/>
      <c r="G137" s="16"/>
      <c r="H137" s="16"/>
      <c r="I137" s="31"/>
      <c r="J137" s="15"/>
      <c r="K137" s="15"/>
      <c r="L137" s="15"/>
      <c r="M137" s="16"/>
      <c r="N137" s="17"/>
      <c r="O137" s="19" t="str">
        <f t="shared" si="0"/>
        <v/>
      </c>
      <c r="P137" s="17"/>
      <c r="Q137" s="17" t="str">
        <f t="shared" ca="1" si="1"/>
        <v/>
      </c>
      <c r="R137" s="21" t="str">
        <f ca="1">IF($Q137="","",IF($Q137&lt;=Settings!$B$8,Settings!$C$8,IF($Q137&lt;=Settings!$B$9,Settings!$C$9,IF($Q137&lt;=Settings!$B$10,Settings!$C$10,IF($Q137&lt;=Settings!$B$11,Settings!$C$11,Settings!$C$12)))))</f>
        <v/>
      </c>
      <c r="S137" s="21" t="str">
        <f>IF($F137="","",IFERROR(VLOOKUP($F137,Settings!$E$8:$F$11,2,FALSE),0))</f>
        <v/>
      </c>
      <c r="T137" s="21">
        <f>IF($G137="",Settings!$B$16,1)</f>
        <v>1</v>
      </c>
      <c r="U137" s="21" t="str">
        <f t="shared" si="2"/>
        <v/>
      </c>
      <c r="V137" s="32" t="str">
        <f>IF($C137="","",IF($Q137&gt;Settings!$B$4,IF($G137="","|","")&amp;"OLD_7D","")&amp;IF($Q137&gt;Settings!$B$5,IF(OR($G137="", $Q137&gt;Settings!$B$4),"|","")&amp;"OLD_30D",""))</f>
        <v/>
      </c>
      <c r="W137" s="21" t="str">
        <f>IF(OR($C137="", $M137&lt;&gt;"APPROVED",$I137="", $U137=0),"",SUMIFS($U$3:$U$502,$H$3:$H$502,$H137,$M$3:$M$502,"APPROVED",$Q$3:$Q$502,"&lt;="&amp;Settings!$B$4,$I$3:$I$502,"&lt;="&amp;$I137))</f>
        <v/>
      </c>
      <c r="X137" s="21" t="str">
        <f>IF(OR($C137="", $M137&lt;&gt;"APPROVED",$I137="", $U137=0),"",SUMIFS($U$3:$U$502,$H$3:$H$502,$H137,$M$3:$M$502,"APPROVED",$Q$3:$Q$502,"&lt;="&amp;Settings!$B$5,$I$3:$I$502,"&lt;="&amp;$I137))</f>
        <v/>
      </c>
      <c r="Y137" s="21" t="str">
        <f>IF($P137="","",IFERROR(MATCH($P137,Lists!$H$2:$H$4,0),""))</f>
        <v/>
      </c>
      <c r="Z137" s="21" t="str">
        <f t="shared" si="3"/>
        <v/>
      </c>
    </row>
    <row r="138" spans="1:26" ht="15.75" customHeight="1" x14ac:dyDescent="0.3">
      <c r="A138" s="16" t="str">
        <f t="shared" si="4"/>
        <v/>
      </c>
      <c r="B138" s="28"/>
      <c r="C138" s="29"/>
      <c r="D138" s="16"/>
      <c r="E138" s="16"/>
      <c r="F138" s="16"/>
      <c r="G138" s="16"/>
      <c r="H138" s="16"/>
      <c r="I138" s="31"/>
      <c r="J138" s="15"/>
      <c r="K138" s="15"/>
      <c r="L138" s="15"/>
      <c r="M138" s="16"/>
      <c r="N138" s="17"/>
      <c r="O138" s="19" t="str">
        <f t="shared" si="0"/>
        <v/>
      </c>
      <c r="P138" s="17"/>
      <c r="Q138" s="17" t="str">
        <f t="shared" ca="1" si="1"/>
        <v/>
      </c>
      <c r="R138" s="21" t="str">
        <f ca="1">IF($Q138="","",IF($Q138&lt;=Settings!$B$8,Settings!$C$8,IF($Q138&lt;=Settings!$B$9,Settings!$C$9,IF($Q138&lt;=Settings!$B$10,Settings!$C$10,IF($Q138&lt;=Settings!$B$11,Settings!$C$11,Settings!$C$12)))))</f>
        <v/>
      </c>
      <c r="S138" s="21" t="str">
        <f>IF($F138="","",IFERROR(VLOOKUP($F138,Settings!$E$8:$F$11,2,FALSE),0))</f>
        <v/>
      </c>
      <c r="T138" s="21">
        <f>IF($G138="",Settings!$B$16,1)</f>
        <v>1</v>
      </c>
      <c r="U138" s="21" t="str">
        <f t="shared" si="2"/>
        <v/>
      </c>
      <c r="V138" s="32" t="str">
        <f>IF($C138="","",IF($Q138&gt;Settings!$B$4,IF($G138="","|","")&amp;"OLD_7D","")&amp;IF($Q138&gt;Settings!$B$5,IF(OR($G138="", $Q138&gt;Settings!$B$4),"|","")&amp;"OLD_30D",""))</f>
        <v/>
      </c>
      <c r="W138" s="21" t="str">
        <f>IF(OR($C138="", $M138&lt;&gt;"APPROVED",$I138="", $U138=0),"",SUMIFS($U$3:$U$502,$H$3:$H$502,$H138,$M$3:$M$502,"APPROVED",$Q$3:$Q$502,"&lt;="&amp;Settings!$B$4,$I$3:$I$502,"&lt;="&amp;$I138))</f>
        <v/>
      </c>
      <c r="X138" s="21" t="str">
        <f>IF(OR($C138="", $M138&lt;&gt;"APPROVED",$I138="", $U138=0),"",SUMIFS($U$3:$U$502,$H$3:$H$502,$H138,$M$3:$M$502,"APPROVED",$Q$3:$Q$502,"&lt;="&amp;Settings!$B$5,$I$3:$I$502,"&lt;="&amp;$I138))</f>
        <v/>
      </c>
      <c r="Y138" s="21" t="str">
        <f>IF($P138="","",IFERROR(MATCH($P138,Lists!$H$2:$H$4,0),""))</f>
        <v/>
      </c>
      <c r="Z138" s="21" t="str">
        <f t="shared" si="3"/>
        <v/>
      </c>
    </row>
    <row r="139" spans="1:26" ht="15.75" customHeight="1" x14ac:dyDescent="0.3">
      <c r="A139" s="16" t="str">
        <f t="shared" si="4"/>
        <v/>
      </c>
      <c r="B139" s="28"/>
      <c r="C139" s="29"/>
      <c r="D139" s="16"/>
      <c r="E139" s="16"/>
      <c r="F139" s="16"/>
      <c r="G139" s="16"/>
      <c r="H139" s="16"/>
      <c r="I139" s="31"/>
      <c r="J139" s="15"/>
      <c r="K139" s="15"/>
      <c r="L139" s="15"/>
      <c r="M139" s="16"/>
      <c r="N139" s="17"/>
      <c r="O139" s="19" t="str">
        <f t="shared" si="0"/>
        <v/>
      </c>
      <c r="P139" s="17"/>
      <c r="Q139" s="17" t="str">
        <f t="shared" ca="1" si="1"/>
        <v/>
      </c>
      <c r="R139" s="21" t="str">
        <f ca="1">IF($Q139="","",IF($Q139&lt;=Settings!$B$8,Settings!$C$8,IF($Q139&lt;=Settings!$B$9,Settings!$C$9,IF($Q139&lt;=Settings!$B$10,Settings!$C$10,IF($Q139&lt;=Settings!$B$11,Settings!$C$11,Settings!$C$12)))))</f>
        <v/>
      </c>
      <c r="S139" s="21" t="str">
        <f>IF($F139="","",IFERROR(VLOOKUP($F139,Settings!$E$8:$F$11,2,FALSE),0))</f>
        <v/>
      </c>
      <c r="T139" s="21">
        <f>IF($G139="",Settings!$B$16,1)</f>
        <v>1</v>
      </c>
      <c r="U139" s="21" t="str">
        <f t="shared" si="2"/>
        <v/>
      </c>
      <c r="V139" s="32" t="str">
        <f>IF($C139="","",IF($Q139&gt;Settings!$B$4,IF($G139="","|","")&amp;"OLD_7D","")&amp;IF($Q139&gt;Settings!$B$5,IF(OR($G139="", $Q139&gt;Settings!$B$4),"|","")&amp;"OLD_30D",""))</f>
        <v/>
      </c>
      <c r="W139" s="21" t="str">
        <f>IF(OR($C139="", $M139&lt;&gt;"APPROVED",$I139="", $U139=0),"",SUMIFS($U$3:$U$502,$H$3:$H$502,$H139,$M$3:$M$502,"APPROVED",$Q$3:$Q$502,"&lt;="&amp;Settings!$B$4,$I$3:$I$502,"&lt;="&amp;$I139))</f>
        <v/>
      </c>
      <c r="X139" s="21" t="str">
        <f>IF(OR($C139="", $M139&lt;&gt;"APPROVED",$I139="", $U139=0),"",SUMIFS($U$3:$U$502,$H$3:$H$502,$H139,$M$3:$M$502,"APPROVED",$Q$3:$Q$502,"&lt;="&amp;Settings!$B$5,$I$3:$I$502,"&lt;="&amp;$I139))</f>
        <v/>
      </c>
      <c r="Y139" s="21" t="str">
        <f>IF($P139="","",IFERROR(MATCH($P139,Lists!$H$2:$H$4,0),""))</f>
        <v/>
      </c>
      <c r="Z139" s="21" t="str">
        <f t="shared" si="3"/>
        <v/>
      </c>
    </row>
    <row r="140" spans="1:26" ht="15.75" customHeight="1" x14ac:dyDescent="0.3">
      <c r="A140" s="16" t="str">
        <f t="shared" si="4"/>
        <v/>
      </c>
      <c r="B140" s="28"/>
      <c r="C140" s="29"/>
      <c r="D140" s="16"/>
      <c r="E140" s="16"/>
      <c r="F140" s="16"/>
      <c r="G140" s="16"/>
      <c r="H140" s="16"/>
      <c r="I140" s="31"/>
      <c r="J140" s="15"/>
      <c r="K140" s="15"/>
      <c r="L140" s="15"/>
      <c r="M140" s="16"/>
      <c r="N140" s="17"/>
      <c r="O140" s="19" t="str">
        <f t="shared" si="0"/>
        <v/>
      </c>
      <c r="P140" s="17"/>
      <c r="Q140" s="17" t="str">
        <f t="shared" ca="1" si="1"/>
        <v/>
      </c>
      <c r="R140" s="21" t="str">
        <f ca="1">IF($Q140="","",IF($Q140&lt;=Settings!$B$8,Settings!$C$8,IF($Q140&lt;=Settings!$B$9,Settings!$C$9,IF($Q140&lt;=Settings!$B$10,Settings!$C$10,IF($Q140&lt;=Settings!$B$11,Settings!$C$11,Settings!$C$12)))))</f>
        <v/>
      </c>
      <c r="S140" s="21" t="str">
        <f>IF($F140="","",IFERROR(VLOOKUP($F140,Settings!$E$8:$F$11,2,FALSE),0))</f>
        <v/>
      </c>
      <c r="T140" s="21">
        <f>IF($G140="",Settings!$B$16,1)</f>
        <v>1</v>
      </c>
      <c r="U140" s="21" t="str">
        <f t="shared" si="2"/>
        <v/>
      </c>
      <c r="V140" s="32" t="str">
        <f>IF($C140="","",IF($Q140&gt;Settings!$B$4,IF($G140="","|","")&amp;"OLD_7D","")&amp;IF($Q140&gt;Settings!$B$5,IF(OR($G140="", $Q140&gt;Settings!$B$4),"|","")&amp;"OLD_30D",""))</f>
        <v/>
      </c>
      <c r="W140" s="21" t="str">
        <f>IF(OR($C140="", $M140&lt;&gt;"APPROVED",$I140="", $U140=0),"",SUMIFS($U$3:$U$502,$H$3:$H$502,$H140,$M$3:$M$502,"APPROVED",$Q$3:$Q$502,"&lt;="&amp;Settings!$B$4,$I$3:$I$502,"&lt;="&amp;$I140))</f>
        <v/>
      </c>
      <c r="X140" s="21" t="str">
        <f>IF(OR($C140="", $M140&lt;&gt;"APPROVED",$I140="", $U140=0),"",SUMIFS($U$3:$U$502,$H$3:$H$502,$H140,$M$3:$M$502,"APPROVED",$Q$3:$Q$502,"&lt;="&amp;Settings!$B$5,$I$3:$I$502,"&lt;="&amp;$I140))</f>
        <v/>
      </c>
      <c r="Y140" s="21" t="str">
        <f>IF($P140="","",IFERROR(MATCH($P140,Lists!$H$2:$H$4,0),""))</f>
        <v/>
      </c>
      <c r="Z140" s="21" t="str">
        <f t="shared" si="3"/>
        <v/>
      </c>
    </row>
    <row r="141" spans="1:26" ht="15.75" customHeight="1" x14ac:dyDescent="0.3">
      <c r="A141" s="16" t="str">
        <f t="shared" si="4"/>
        <v/>
      </c>
      <c r="B141" s="28"/>
      <c r="C141" s="29"/>
      <c r="D141" s="16"/>
      <c r="E141" s="16"/>
      <c r="F141" s="16"/>
      <c r="G141" s="16"/>
      <c r="H141" s="16"/>
      <c r="I141" s="31"/>
      <c r="J141" s="15"/>
      <c r="K141" s="15"/>
      <c r="L141" s="15"/>
      <c r="M141" s="16"/>
      <c r="N141" s="17"/>
      <c r="O141" s="19" t="str">
        <f t="shared" si="0"/>
        <v/>
      </c>
      <c r="P141" s="17"/>
      <c r="Q141" s="17" t="str">
        <f t="shared" ca="1" si="1"/>
        <v/>
      </c>
      <c r="R141" s="21" t="str">
        <f ca="1">IF($Q141="","",IF($Q141&lt;=Settings!$B$8,Settings!$C$8,IF($Q141&lt;=Settings!$B$9,Settings!$C$9,IF($Q141&lt;=Settings!$B$10,Settings!$C$10,IF($Q141&lt;=Settings!$B$11,Settings!$C$11,Settings!$C$12)))))</f>
        <v/>
      </c>
      <c r="S141" s="21" t="str">
        <f>IF($F141="","",IFERROR(VLOOKUP($F141,Settings!$E$8:$F$11,2,FALSE),0))</f>
        <v/>
      </c>
      <c r="T141" s="21">
        <f>IF($G141="",Settings!$B$16,1)</f>
        <v>1</v>
      </c>
      <c r="U141" s="21" t="str">
        <f t="shared" si="2"/>
        <v/>
      </c>
      <c r="V141" s="32" t="str">
        <f>IF($C141="","",IF($Q141&gt;Settings!$B$4,IF($G141="","|","")&amp;"OLD_7D","")&amp;IF($Q141&gt;Settings!$B$5,IF(OR($G141="", $Q141&gt;Settings!$B$4),"|","")&amp;"OLD_30D",""))</f>
        <v/>
      </c>
      <c r="W141" s="21" t="str">
        <f>IF(OR($C141="", $M141&lt;&gt;"APPROVED",$I141="", $U141=0),"",SUMIFS($U$3:$U$502,$H$3:$H$502,$H141,$M$3:$M$502,"APPROVED",$Q$3:$Q$502,"&lt;="&amp;Settings!$B$4,$I$3:$I$502,"&lt;="&amp;$I141))</f>
        <v/>
      </c>
      <c r="X141" s="21" t="str">
        <f>IF(OR($C141="", $M141&lt;&gt;"APPROVED",$I141="", $U141=0),"",SUMIFS($U$3:$U$502,$H$3:$H$502,$H141,$M$3:$M$502,"APPROVED",$Q$3:$Q$502,"&lt;="&amp;Settings!$B$5,$I$3:$I$502,"&lt;="&amp;$I141))</f>
        <v/>
      </c>
      <c r="Y141" s="21" t="str">
        <f>IF($P141="","",IFERROR(MATCH($P141,Lists!$H$2:$H$4,0),""))</f>
        <v/>
      </c>
      <c r="Z141" s="21" t="str">
        <f t="shared" si="3"/>
        <v/>
      </c>
    </row>
    <row r="142" spans="1:26" ht="15.75" customHeight="1" x14ac:dyDescent="0.3">
      <c r="A142" s="16" t="str">
        <f t="shared" si="4"/>
        <v/>
      </c>
      <c r="B142" s="28"/>
      <c r="C142" s="29"/>
      <c r="D142" s="16"/>
      <c r="E142" s="16"/>
      <c r="F142" s="16"/>
      <c r="G142" s="16"/>
      <c r="H142" s="16"/>
      <c r="I142" s="31"/>
      <c r="J142" s="15"/>
      <c r="K142" s="15"/>
      <c r="L142" s="15"/>
      <c r="M142" s="16"/>
      <c r="N142" s="17"/>
      <c r="O142" s="19" t="str">
        <f t="shared" si="0"/>
        <v/>
      </c>
      <c r="P142" s="17"/>
      <c r="Q142" s="17" t="str">
        <f t="shared" ca="1" si="1"/>
        <v/>
      </c>
      <c r="R142" s="21" t="str">
        <f ca="1">IF($Q142="","",IF($Q142&lt;=Settings!$B$8,Settings!$C$8,IF($Q142&lt;=Settings!$B$9,Settings!$C$9,IF($Q142&lt;=Settings!$B$10,Settings!$C$10,IF($Q142&lt;=Settings!$B$11,Settings!$C$11,Settings!$C$12)))))</f>
        <v/>
      </c>
      <c r="S142" s="21" t="str">
        <f>IF($F142="","",IFERROR(VLOOKUP($F142,Settings!$E$8:$F$11,2,FALSE),0))</f>
        <v/>
      </c>
      <c r="T142" s="21">
        <f>IF($G142="",Settings!$B$16,1)</f>
        <v>1</v>
      </c>
      <c r="U142" s="21" t="str">
        <f t="shared" si="2"/>
        <v/>
      </c>
      <c r="V142" s="32" t="str">
        <f>IF($C142="","",IF($Q142&gt;Settings!$B$4,IF($G142="","|","")&amp;"OLD_7D","")&amp;IF($Q142&gt;Settings!$B$5,IF(OR($G142="", $Q142&gt;Settings!$B$4),"|","")&amp;"OLD_30D",""))</f>
        <v/>
      </c>
      <c r="W142" s="21" t="str">
        <f>IF(OR($C142="", $M142&lt;&gt;"APPROVED",$I142="", $U142=0),"",SUMIFS($U$3:$U$502,$H$3:$H$502,$H142,$M$3:$M$502,"APPROVED",$Q$3:$Q$502,"&lt;="&amp;Settings!$B$4,$I$3:$I$502,"&lt;="&amp;$I142))</f>
        <v/>
      </c>
      <c r="X142" s="21" t="str">
        <f>IF(OR($C142="", $M142&lt;&gt;"APPROVED",$I142="", $U142=0),"",SUMIFS($U$3:$U$502,$H$3:$H$502,$H142,$M$3:$M$502,"APPROVED",$Q$3:$Q$502,"&lt;="&amp;Settings!$B$5,$I$3:$I$502,"&lt;="&amp;$I142))</f>
        <v/>
      </c>
      <c r="Y142" s="21" t="str">
        <f>IF($P142="","",IFERROR(MATCH($P142,Lists!$H$2:$H$4,0),""))</f>
        <v/>
      </c>
      <c r="Z142" s="21" t="str">
        <f t="shared" si="3"/>
        <v/>
      </c>
    </row>
    <row r="143" spans="1:26" ht="15.75" customHeight="1" x14ac:dyDescent="0.3">
      <c r="A143" s="16" t="str">
        <f t="shared" si="4"/>
        <v/>
      </c>
      <c r="B143" s="28"/>
      <c r="C143" s="29"/>
      <c r="D143" s="16"/>
      <c r="E143" s="16"/>
      <c r="F143" s="16"/>
      <c r="G143" s="16"/>
      <c r="H143" s="16"/>
      <c r="I143" s="31"/>
      <c r="J143" s="15"/>
      <c r="K143" s="15"/>
      <c r="L143" s="15"/>
      <c r="M143" s="16"/>
      <c r="N143" s="17"/>
      <c r="O143" s="19" t="str">
        <f t="shared" si="0"/>
        <v/>
      </c>
      <c r="P143" s="17"/>
      <c r="Q143" s="17" t="str">
        <f t="shared" ca="1" si="1"/>
        <v/>
      </c>
      <c r="R143" s="21" t="str">
        <f ca="1">IF($Q143="","",IF($Q143&lt;=Settings!$B$8,Settings!$C$8,IF($Q143&lt;=Settings!$B$9,Settings!$C$9,IF($Q143&lt;=Settings!$B$10,Settings!$C$10,IF($Q143&lt;=Settings!$B$11,Settings!$C$11,Settings!$C$12)))))</f>
        <v/>
      </c>
      <c r="S143" s="21" t="str">
        <f>IF($F143="","",IFERROR(VLOOKUP($F143,Settings!$E$8:$F$11,2,FALSE),0))</f>
        <v/>
      </c>
      <c r="T143" s="21">
        <f>IF($G143="",Settings!$B$16,1)</f>
        <v>1</v>
      </c>
      <c r="U143" s="21" t="str">
        <f t="shared" si="2"/>
        <v/>
      </c>
      <c r="V143" s="32" t="str">
        <f>IF($C143="","",IF($Q143&gt;Settings!$B$4,IF($G143="","|","")&amp;"OLD_7D","")&amp;IF($Q143&gt;Settings!$B$5,IF(OR($G143="", $Q143&gt;Settings!$B$4),"|","")&amp;"OLD_30D",""))</f>
        <v/>
      </c>
      <c r="W143" s="21" t="str">
        <f>IF(OR($C143="", $M143&lt;&gt;"APPROVED",$I143="", $U143=0),"",SUMIFS($U$3:$U$502,$H$3:$H$502,$H143,$M$3:$M$502,"APPROVED",$Q$3:$Q$502,"&lt;="&amp;Settings!$B$4,$I$3:$I$502,"&lt;="&amp;$I143))</f>
        <v/>
      </c>
      <c r="X143" s="21" t="str">
        <f>IF(OR($C143="", $M143&lt;&gt;"APPROVED",$I143="", $U143=0),"",SUMIFS($U$3:$U$502,$H$3:$H$502,$H143,$M$3:$M$502,"APPROVED",$Q$3:$Q$502,"&lt;="&amp;Settings!$B$5,$I$3:$I$502,"&lt;="&amp;$I143))</f>
        <v/>
      </c>
      <c r="Y143" s="21" t="str">
        <f>IF($P143="","",IFERROR(MATCH($P143,Lists!$H$2:$H$4,0),""))</f>
        <v/>
      </c>
      <c r="Z143" s="21" t="str">
        <f t="shared" si="3"/>
        <v/>
      </c>
    </row>
    <row r="144" spans="1:26" ht="15.75" customHeight="1" x14ac:dyDescent="0.3">
      <c r="A144" s="16" t="str">
        <f t="shared" si="4"/>
        <v/>
      </c>
      <c r="B144" s="28"/>
      <c r="C144" s="29"/>
      <c r="D144" s="16"/>
      <c r="E144" s="16"/>
      <c r="F144" s="16"/>
      <c r="G144" s="16"/>
      <c r="H144" s="16"/>
      <c r="I144" s="31"/>
      <c r="J144" s="15"/>
      <c r="K144" s="15"/>
      <c r="L144" s="15"/>
      <c r="M144" s="16"/>
      <c r="N144" s="17"/>
      <c r="O144" s="19" t="str">
        <f t="shared" si="0"/>
        <v/>
      </c>
      <c r="P144" s="17"/>
      <c r="Q144" s="17" t="str">
        <f t="shared" ca="1" si="1"/>
        <v/>
      </c>
      <c r="R144" s="21" t="str">
        <f ca="1">IF($Q144="","",IF($Q144&lt;=Settings!$B$8,Settings!$C$8,IF($Q144&lt;=Settings!$B$9,Settings!$C$9,IF($Q144&lt;=Settings!$B$10,Settings!$C$10,IF($Q144&lt;=Settings!$B$11,Settings!$C$11,Settings!$C$12)))))</f>
        <v/>
      </c>
      <c r="S144" s="21" t="str">
        <f>IF($F144="","",IFERROR(VLOOKUP($F144,Settings!$E$8:$F$11,2,FALSE),0))</f>
        <v/>
      </c>
      <c r="T144" s="21">
        <f>IF($G144="",Settings!$B$16,1)</f>
        <v>1</v>
      </c>
      <c r="U144" s="21" t="str">
        <f t="shared" si="2"/>
        <v/>
      </c>
      <c r="V144" s="32" t="str">
        <f>IF($C144="","",IF($Q144&gt;Settings!$B$4,IF($G144="","|","")&amp;"OLD_7D","")&amp;IF($Q144&gt;Settings!$B$5,IF(OR($G144="", $Q144&gt;Settings!$B$4),"|","")&amp;"OLD_30D",""))</f>
        <v/>
      </c>
      <c r="W144" s="21" t="str">
        <f>IF(OR($C144="", $M144&lt;&gt;"APPROVED",$I144="", $U144=0),"",SUMIFS($U$3:$U$502,$H$3:$H$502,$H144,$M$3:$M$502,"APPROVED",$Q$3:$Q$502,"&lt;="&amp;Settings!$B$4,$I$3:$I$502,"&lt;="&amp;$I144))</f>
        <v/>
      </c>
      <c r="X144" s="21" t="str">
        <f>IF(OR($C144="", $M144&lt;&gt;"APPROVED",$I144="", $U144=0),"",SUMIFS($U$3:$U$502,$H$3:$H$502,$H144,$M$3:$M$502,"APPROVED",$Q$3:$Q$502,"&lt;="&amp;Settings!$B$5,$I$3:$I$502,"&lt;="&amp;$I144))</f>
        <v/>
      </c>
      <c r="Y144" s="21" t="str">
        <f>IF($P144="","",IFERROR(MATCH($P144,Lists!$H$2:$H$4,0),""))</f>
        <v/>
      </c>
      <c r="Z144" s="21" t="str">
        <f t="shared" si="3"/>
        <v/>
      </c>
    </row>
    <row r="145" spans="1:26" ht="15.75" customHeight="1" x14ac:dyDescent="0.3">
      <c r="A145" s="16" t="str">
        <f t="shared" si="4"/>
        <v/>
      </c>
      <c r="B145" s="28"/>
      <c r="C145" s="29"/>
      <c r="D145" s="16"/>
      <c r="E145" s="16"/>
      <c r="F145" s="16"/>
      <c r="G145" s="16"/>
      <c r="H145" s="16"/>
      <c r="I145" s="31"/>
      <c r="J145" s="15"/>
      <c r="K145" s="15"/>
      <c r="L145" s="15"/>
      <c r="M145" s="16"/>
      <c r="N145" s="17"/>
      <c r="O145" s="19" t="str">
        <f t="shared" si="0"/>
        <v/>
      </c>
      <c r="P145" s="17"/>
      <c r="Q145" s="17" t="str">
        <f t="shared" ca="1" si="1"/>
        <v/>
      </c>
      <c r="R145" s="21" t="str">
        <f ca="1">IF($Q145="","",IF($Q145&lt;=Settings!$B$8,Settings!$C$8,IF($Q145&lt;=Settings!$B$9,Settings!$C$9,IF($Q145&lt;=Settings!$B$10,Settings!$C$10,IF($Q145&lt;=Settings!$B$11,Settings!$C$11,Settings!$C$12)))))</f>
        <v/>
      </c>
      <c r="S145" s="21" t="str">
        <f>IF($F145="","",IFERROR(VLOOKUP($F145,Settings!$E$8:$F$11,2,FALSE),0))</f>
        <v/>
      </c>
      <c r="T145" s="21">
        <f>IF($G145="",Settings!$B$16,1)</f>
        <v>1</v>
      </c>
      <c r="U145" s="21" t="str">
        <f t="shared" si="2"/>
        <v/>
      </c>
      <c r="V145" s="32" t="str">
        <f>IF($C145="","",IF($Q145&gt;Settings!$B$4,IF($G145="","|","")&amp;"OLD_7D","")&amp;IF($Q145&gt;Settings!$B$5,IF(OR($G145="", $Q145&gt;Settings!$B$4),"|","")&amp;"OLD_30D",""))</f>
        <v/>
      </c>
      <c r="W145" s="21" t="str">
        <f>IF(OR($C145="", $M145&lt;&gt;"APPROVED",$I145="", $U145=0),"",SUMIFS($U$3:$U$502,$H$3:$H$502,$H145,$M$3:$M$502,"APPROVED",$Q$3:$Q$502,"&lt;="&amp;Settings!$B$4,$I$3:$I$502,"&lt;="&amp;$I145))</f>
        <v/>
      </c>
      <c r="X145" s="21" t="str">
        <f>IF(OR($C145="", $M145&lt;&gt;"APPROVED",$I145="", $U145=0),"",SUMIFS($U$3:$U$502,$H$3:$H$502,$H145,$M$3:$M$502,"APPROVED",$Q$3:$Q$502,"&lt;="&amp;Settings!$B$5,$I$3:$I$502,"&lt;="&amp;$I145))</f>
        <v/>
      </c>
      <c r="Y145" s="21" t="str">
        <f>IF($P145="","",IFERROR(MATCH($P145,Lists!$H$2:$H$4,0),""))</f>
        <v/>
      </c>
      <c r="Z145" s="21" t="str">
        <f t="shared" si="3"/>
        <v/>
      </c>
    </row>
    <row r="146" spans="1:26" ht="15.75" customHeight="1" x14ac:dyDescent="0.3">
      <c r="A146" s="16" t="str">
        <f t="shared" si="4"/>
        <v/>
      </c>
      <c r="B146" s="28"/>
      <c r="C146" s="29"/>
      <c r="D146" s="16"/>
      <c r="E146" s="16"/>
      <c r="F146" s="16"/>
      <c r="G146" s="16"/>
      <c r="H146" s="16"/>
      <c r="I146" s="31"/>
      <c r="J146" s="15"/>
      <c r="K146" s="15"/>
      <c r="L146" s="15"/>
      <c r="M146" s="16"/>
      <c r="N146" s="17"/>
      <c r="O146" s="19" t="str">
        <f t="shared" si="0"/>
        <v/>
      </c>
      <c r="P146" s="17"/>
      <c r="Q146" s="17" t="str">
        <f t="shared" ca="1" si="1"/>
        <v/>
      </c>
      <c r="R146" s="21" t="str">
        <f ca="1">IF($Q146="","",IF($Q146&lt;=Settings!$B$8,Settings!$C$8,IF($Q146&lt;=Settings!$B$9,Settings!$C$9,IF($Q146&lt;=Settings!$B$10,Settings!$C$10,IF($Q146&lt;=Settings!$B$11,Settings!$C$11,Settings!$C$12)))))</f>
        <v/>
      </c>
      <c r="S146" s="21" t="str">
        <f>IF($F146="","",IFERROR(VLOOKUP($F146,Settings!$E$8:$F$11,2,FALSE),0))</f>
        <v/>
      </c>
      <c r="T146" s="21">
        <f>IF($G146="",Settings!$B$16,1)</f>
        <v>1</v>
      </c>
      <c r="U146" s="21" t="str">
        <f t="shared" si="2"/>
        <v/>
      </c>
      <c r="V146" s="32" t="str">
        <f>IF($C146="","",IF($Q146&gt;Settings!$B$4,IF($G146="","|","")&amp;"OLD_7D","")&amp;IF($Q146&gt;Settings!$B$5,IF(OR($G146="", $Q146&gt;Settings!$B$4),"|","")&amp;"OLD_30D",""))</f>
        <v/>
      </c>
      <c r="W146" s="21" t="str">
        <f>IF(OR($C146="", $M146&lt;&gt;"APPROVED",$I146="", $U146=0),"",SUMIFS($U$3:$U$502,$H$3:$H$502,$H146,$M$3:$M$502,"APPROVED",$Q$3:$Q$502,"&lt;="&amp;Settings!$B$4,$I$3:$I$502,"&lt;="&amp;$I146))</f>
        <v/>
      </c>
      <c r="X146" s="21" t="str">
        <f>IF(OR($C146="", $M146&lt;&gt;"APPROVED",$I146="", $U146=0),"",SUMIFS($U$3:$U$502,$H$3:$H$502,$H146,$M$3:$M$502,"APPROVED",$Q$3:$Q$502,"&lt;="&amp;Settings!$B$5,$I$3:$I$502,"&lt;="&amp;$I146))</f>
        <v/>
      </c>
      <c r="Y146" s="21" t="str">
        <f>IF($P146="","",IFERROR(MATCH($P146,Lists!$H$2:$H$4,0),""))</f>
        <v/>
      </c>
      <c r="Z146" s="21" t="str">
        <f t="shared" si="3"/>
        <v/>
      </c>
    </row>
    <row r="147" spans="1:26" ht="15.75" customHeight="1" x14ac:dyDescent="0.3">
      <c r="A147" s="16" t="str">
        <f t="shared" si="4"/>
        <v/>
      </c>
      <c r="B147" s="28"/>
      <c r="C147" s="29"/>
      <c r="D147" s="16"/>
      <c r="E147" s="16"/>
      <c r="F147" s="16"/>
      <c r="G147" s="16"/>
      <c r="H147" s="16"/>
      <c r="I147" s="31"/>
      <c r="J147" s="15"/>
      <c r="K147" s="15"/>
      <c r="L147" s="15"/>
      <c r="M147" s="16"/>
      <c r="N147" s="17"/>
      <c r="O147" s="19" t="str">
        <f t="shared" si="0"/>
        <v/>
      </c>
      <c r="P147" s="17"/>
      <c r="Q147" s="17" t="str">
        <f t="shared" ca="1" si="1"/>
        <v/>
      </c>
      <c r="R147" s="21" t="str">
        <f ca="1">IF($Q147="","",IF($Q147&lt;=Settings!$B$8,Settings!$C$8,IF($Q147&lt;=Settings!$B$9,Settings!$C$9,IF($Q147&lt;=Settings!$B$10,Settings!$C$10,IF($Q147&lt;=Settings!$B$11,Settings!$C$11,Settings!$C$12)))))</f>
        <v/>
      </c>
      <c r="S147" s="21" t="str">
        <f>IF($F147="","",IFERROR(VLOOKUP($F147,Settings!$E$8:$F$11,2,FALSE),0))</f>
        <v/>
      </c>
      <c r="T147" s="21">
        <f>IF($G147="",Settings!$B$16,1)</f>
        <v>1</v>
      </c>
      <c r="U147" s="21" t="str">
        <f t="shared" si="2"/>
        <v/>
      </c>
      <c r="V147" s="32" t="str">
        <f>IF($C147="","",IF($Q147&gt;Settings!$B$4,IF($G147="","|","")&amp;"OLD_7D","")&amp;IF($Q147&gt;Settings!$B$5,IF(OR($G147="", $Q147&gt;Settings!$B$4),"|","")&amp;"OLD_30D",""))</f>
        <v/>
      </c>
      <c r="W147" s="21" t="str">
        <f>IF(OR($C147="", $M147&lt;&gt;"APPROVED",$I147="", $U147=0),"",SUMIFS($U$3:$U$502,$H$3:$H$502,$H147,$M$3:$M$502,"APPROVED",$Q$3:$Q$502,"&lt;="&amp;Settings!$B$4,$I$3:$I$502,"&lt;="&amp;$I147))</f>
        <v/>
      </c>
      <c r="X147" s="21" t="str">
        <f>IF(OR($C147="", $M147&lt;&gt;"APPROVED",$I147="", $U147=0),"",SUMIFS($U$3:$U$502,$H$3:$H$502,$H147,$M$3:$M$502,"APPROVED",$Q$3:$Q$502,"&lt;="&amp;Settings!$B$5,$I$3:$I$502,"&lt;="&amp;$I147))</f>
        <v/>
      </c>
      <c r="Y147" s="21" t="str">
        <f>IF($P147="","",IFERROR(MATCH($P147,Lists!$H$2:$H$4,0),""))</f>
        <v/>
      </c>
      <c r="Z147" s="21" t="str">
        <f t="shared" si="3"/>
        <v/>
      </c>
    </row>
    <row r="148" spans="1:26" ht="15.75" customHeight="1" x14ac:dyDescent="0.3">
      <c r="A148" s="16" t="str">
        <f t="shared" si="4"/>
        <v/>
      </c>
      <c r="B148" s="28"/>
      <c r="C148" s="29"/>
      <c r="D148" s="16"/>
      <c r="E148" s="16"/>
      <c r="F148" s="16"/>
      <c r="G148" s="16"/>
      <c r="H148" s="16"/>
      <c r="I148" s="31"/>
      <c r="J148" s="15"/>
      <c r="K148" s="15"/>
      <c r="L148" s="15"/>
      <c r="M148" s="16"/>
      <c r="N148" s="17"/>
      <c r="O148" s="19" t="str">
        <f t="shared" si="0"/>
        <v/>
      </c>
      <c r="P148" s="17"/>
      <c r="Q148" s="17" t="str">
        <f t="shared" ca="1" si="1"/>
        <v/>
      </c>
      <c r="R148" s="21" t="str">
        <f ca="1">IF($Q148="","",IF($Q148&lt;=Settings!$B$8,Settings!$C$8,IF($Q148&lt;=Settings!$B$9,Settings!$C$9,IF($Q148&lt;=Settings!$B$10,Settings!$C$10,IF($Q148&lt;=Settings!$B$11,Settings!$C$11,Settings!$C$12)))))</f>
        <v/>
      </c>
      <c r="S148" s="21" t="str">
        <f>IF($F148="","",IFERROR(VLOOKUP($F148,Settings!$E$8:$F$11,2,FALSE),0))</f>
        <v/>
      </c>
      <c r="T148" s="21">
        <f>IF($G148="",Settings!$B$16,1)</f>
        <v>1</v>
      </c>
      <c r="U148" s="21" t="str">
        <f t="shared" si="2"/>
        <v/>
      </c>
      <c r="V148" s="32" t="str">
        <f>IF($C148="","",IF($Q148&gt;Settings!$B$4,IF($G148="","|","")&amp;"OLD_7D","")&amp;IF($Q148&gt;Settings!$B$5,IF(OR($G148="", $Q148&gt;Settings!$B$4),"|","")&amp;"OLD_30D",""))</f>
        <v/>
      </c>
      <c r="W148" s="21" t="str">
        <f>IF(OR($C148="", $M148&lt;&gt;"APPROVED",$I148="", $U148=0),"",SUMIFS($U$3:$U$502,$H$3:$H$502,$H148,$M$3:$M$502,"APPROVED",$Q$3:$Q$502,"&lt;="&amp;Settings!$B$4,$I$3:$I$502,"&lt;="&amp;$I148))</f>
        <v/>
      </c>
      <c r="X148" s="21" t="str">
        <f>IF(OR($C148="", $M148&lt;&gt;"APPROVED",$I148="", $U148=0),"",SUMIFS($U$3:$U$502,$H$3:$H$502,$H148,$M$3:$M$502,"APPROVED",$Q$3:$Q$502,"&lt;="&amp;Settings!$B$5,$I$3:$I$502,"&lt;="&amp;$I148))</f>
        <v/>
      </c>
      <c r="Y148" s="21" t="str">
        <f>IF($P148="","",IFERROR(MATCH($P148,Lists!$H$2:$H$4,0),""))</f>
        <v/>
      </c>
      <c r="Z148" s="21" t="str">
        <f t="shared" si="3"/>
        <v/>
      </c>
    </row>
    <row r="149" spans="1:26" ht="15.75" customHeight="1" x14ac:dyDescent="0.3">
      <c r="A149" s="16" t="str">
        <f t="shared" si="4"/>
        <v/>
      </c>
      <c r="B149" s="28"/>
      <c r="C149" s="29"/>
      <c r="D149" s="16"/>
      <c r="E149" s="16"/>
      <c r="F149" s="16"/>
      <c r="G149" s="16"/>
      <c r="H149" s="16"/>
      <c r="I149" s="31"/>
      <c r="J149" s="15"/>
      <c r="K149" s="15"/>
      <c r="L149" s="15"/>
      <c r="M149" s="16"/>
      <c r="N149" s="17"/>
      <c r="O149" s="19" t="str">
        <f t="shared" si="0"/>
        <v/>
      </c>
      <c r="P149" s="17"/>
      <c r="Q149" s="17" t="str">
        <f t="shared" ca="1" si="1"/>
        <v/>
      </c>
      <c r="R149" s="21" t="str">
        <f ca="1">IF($Q149="","",IF($Q149&lt;=Settings!$B$8,Settings!$C$8,IF($Q149&lt;=Settings!$B$9,Settings!$C$9,IF($Q149&lt;=Settings!$B$10,Settings!$C$10,IF($Q149&lt;=Settings!$B$11,Settings!$C$11,Settings!$C$12)))))</f>
        <v/>
      </c>
      <c r="S149" s="21" t="str">
        <f>IF($F149="","",IFERROR(VLOOKUP($F149,Settings!$E$8:$F$11,2,FALSE),0))</f>
        <v/>
      </c>
      <c r="T149" s="21">
        <f>IF($G149="",Settings!$B$16,1)</f>
        <v>1</v>
      </c>
      <c r="U149" s="21" t="str">
        <f t="shared" si="2"/>
        <v/>
      </c>
      <c r="V149" s="32" t="str">
        <f>IF($C149="","",IF($Q149&gt;Settings!$B$4,IF($G149="","|","")&amp;"OLD_7D","")&amp;IF($Q149&gt;Settings!$B$5,IF(OR($G149="", $Q149&gt;Settings!$B$4),"|","")&amp;"OLD_30D",""))</f>
        <v/>
      </c>
      <c r="W149" s="21" t="str">
        <f>IF(OR($C149="", $M149&lt;&gt;"APPROVED",$I149="", $U149=0),"",SUMIFS($U$3:$U$502,$H$3:$H$502,$H149,$M$3:$M$502,"APPROVED",$Q$3:$Q$502,"&lt;="&amp;Settings!$B$4,$I$3:$I$502,"&lt;="&amp;$I149))</f>
        <v/>
      </c>
      <c r="X149" s="21" t="str">
        <f>IF(OR($C149="", $M149&lt;&gt;"APPROVED",$I149="", $U149=0),"",SUMIFS($U$3:$U$502,$H$3:$H$502,$H149,$M$3:$M$502,"APPROVED",$Q$3:$Q$502,"&lt;="&amp;Settings!$B$5,$I$3:$I$502,"&lt;="&amp;$I149))</f>
        <v/>
      </c>
      <c r="Y149" s="21" t="str">
        <f>IF($P149="","",IFERROR(MATCH($P149,Lists!$H$2:$H$4,0),""))</f>
        <v/>
      </c>
      <c r="Z149" s="21" t="str">
        <f t="shared" si="3"/>
        <v/>
      </c>
    </row>
    <row r="150" spans="1:26" ht="15.75" customHeight="1" x14ac:dyDescent="0.3">
      <c r="A150" s="16" t="str">
        <f t="shared" si="4"/>
        <v/>
      </c>
      <c r="B150" s="28"/>
      <c r="C150" s="29"/>
      <c r="D150" s="16"/>
      <c r="E150" s="16"/>
      <c r="F150" s="16"/>
      <c r="G150" s="16"/>
      <c r="H150" s="16"/>
      <c r="I150" s="31"/>
      <c r="J150" s="15"/>
      <c r="K150" s="15"/>
      <c r="L150" s="15"/>
      <c r="M150" s="16"/>
      <c r="N150" s="17"/>
      <c r="O150" s="19" t="str">
        <f t="shared" si="0"/>
        <v/>
      </c>
      <c r="P150" s="17"/>
      <c r="Q150" s="17" t="str">
        <f t="shared" ca="1" si="1"/>
        <v/>
      </c>
      <c r="R150" s="21" t="str">
        <f ca="1">IF($Q150="","",IF($Q150&lt;=Settings!$B$8,Settings!$C$8,IF($Q150&lt;=Settings!$B$9,Settings!$C$9,IF($Q150&lt;=Settings!$B$10,Settings!$C$10,IF($Q150&lt;=Settings!$B$11,Settings!$C$11,Settings!$C$12)))))</f>
        <v/>
      </c>
      <c r="S150" s="21" t="str">
        <f>IF($F150="","",IFERROR(VLOOKUP($F150,Settings!$E$8:$F$11,2,FALSE),0))</f>
        <v/>
      </c>
      <c r="T150" s="21">
        <f>IF($G150="",Settings!$B$16,1)</f>
        <v>1</v>
      </c>
      <c r="U150" s="21" t="str">
        <f t="shared" si="2"/>
        <v/>
      </c>
      <c r="V150" s="32" t="str">
        <f>IF($C150="","",IF($Q150&gt;Settings!$B$4,IF($G150="","|","")&amp;"OLD_7D","")&amp;IF($Q150&gt;Settings!$B$5,IF(OR($G150="", $Q150&gt;Settings!$B$4),"|","")&amp;"OLD_30D",""))</f>
        <v/>
      </c>
      <c r="W150" s="21" t="str">
        <f>IF(OR($C150="", $M150&lt;&gt;"APPROVED",$I150="", $U150=0),"",SUMIFS($U$3:$U$502,$H$3:$H$502,$H150,$M$3:$M$502,"APPROVED",$Q$3:$Q$502,"&lt;="&amp;Settings!$B$4,$I$3:$I$502,"&lt;="&amp;$I150))</f>
        <v/>
      </c>
      <c r="X150" s="21" t="str">
        <f>IF(OR($C150="", $M150&lt;&gt;"APPROVED",$I150="", $U150=0),"",SUMIFS($U$3:$U$502,$H$3:$H$502,$H150,$M$3:$M$502,"APPROVED",$Q$3:$Q$502,"&lt;="&amp;Settings!$B$5,$I$3:$I$502,"&lt;="&amp;$I150))</f>
        <v/>
      </c>
      <c r="Y150" s="21" t="str">
        <f>IF($P150="","",IFERROR(MATCH($P150,Lists!$H$2:$H$4,0),""))</f>
        <v/>
      </c>
      <c r="Z150" s="21" t="str">
        <f t="shared" si="3"/>
        <v/>
      </c>
    </row>
    <row r="151" spans="1:26" ht="15.75" customHeight="1" x14ac:dyDescent="0.3">
      <c r="A151" s="16" t="str">
        <f t="shared" si="4"/>
        <v/>
      </c>
      <c r="B151" s="28"/>
      <c r="C151" s="29"/>
      <c r="D151" s="16"/>
      <c r="E151" s="16"/>
      <c r="F151" s="16"/>
      <c r="G151" s="16"/>
      <c r="H151" s="16"/>
      <c r="I151" s="31"/>
      <c r="J151" s="15"/>
      <c r="K151" s="15"/>
      <c r="L151" s="15"/>
      <c r="M151" s="16"/>
      <c r="N151" s="17"/>
      <c r="O151" s="19" t="str">
        <f t="shared" si="0"/>
        <v/>
      </c>
      <c r="P151" s="17"/>
      <c r="Q151" s="17" t="str">
        <f t="shared" ca="1" si="1"/>
        <v/>
      </c>
      <c r="R151" s="21" t="str">
        <f ca="1">IF($Q151="","",IF($Q151&lt;=Settings!$B$8,Settings!$C$8,IF($Q151&lt;=Settings!$B$9,Settings!$C$9,IF($Q151&lt;=Settings!$B$10,Settings!$C$10,IF($Q151&lt;=Settings!$B$11,Settings!$C$11,Settings!$C$12)))))</f>
        <v/>
      </c>
      <c r="S151" s="21" t="str">
        <f>IF($F151="","",IFERROR(VLOOKUP($F151,Settings!$E$8:$F$11,2,FALSE),0))</f>
        <v/>
      </c>
      <c r="T151" s="21">
        <f>IF($G151="",Settings!$B$16,1)</f>
        <v>1</v>
      </c>
      <c r="U151" s="21" t="str">
        <f t="shared" si="2"/>
        <v/>
      </c>
      <c r="V151" s="32" t="str">
        <f>IF($C151="","",IF($Q151&gt;Settings!$B$4,IF($G151="","|","")&amp;"OLD_7D","")&amp;IF($Q151&gt;Settings!$B$5,IF(OR($G151="", $Q151&gt;Settings!$B$4),"|","")&amp;"OLD_30D",""))</f>
        <v/>
      </c>
      <c r="W151" s="21" t="str">
        <f>IF(OR($C151="", $M151&lt;&gt;"APPROVED",$I151="", $U151=0),"",SUMIFS($U$3:$U$502,$H$3:$H$502,$H151,$M$3:$M$502,"APPROVED",$Q$3:$Q$502,"&lt;="&amp;Settings!$B$4,$I$3:$I$502,"&lt;="&amp;$I151))</f>
        <v/>
      </c>
      <c r="X151" s="21" t="str">
        <f>IF(OR($C151="", $M151&lt;&gt;"APPROVED",$I151="", $U151=0),"",SUMIFS($U$3:$U$502,$H$3:$H$502,$H151,$M$3:$M$502,"APPROVED",$Q$3:$Q$502,"&lt;="&amp;Settings!$B$5,$I$3:$I$502,"&lt;="&amp;$I151))</f>
        <v/>
      </c>
      <c r="Y151" s="21" t="str">
        <f>IF($P151="","",IFERROR(MATCH($P151,Lists!$H$2:$H$4,0),""))</f>
        <v/>
      </c>
      <c r="Z151" s="21" t="str">
        <f t="shared" si="3"/>
        <v/>
      </c>
    </row>
    <row r="152" spans="1:26" ht="15.75" customHeight="1" x14ac:dyDescent="0.3">
      <c r="A152" s="16" t="str">
        <f t="shared" si="4"/>
        <v/>
      </c>
      <c r="B152" s="28"/>
      <c r="C152" s="29"/>
      <c r="D152" s="16"/>
      <c r="E152" s="16"/>
      <c r="F152" s="16"/>
      <c r="G152" s="16"/>
      <c r="H152" s="16"/>
      <c r="I152" s="31"/>
      <c r="J152" s="15"/>
      <c r="K152" s="15"/>
      <c r="L152" s="15"/>
      <c r="M152" s="16"/>
      <c r="N152" s="17"/>
      <c r="O152" s="19" t="str">
        <f t="shared" si="0"/>
        <v/>
      </c>
      <c r="P152" s="17"/>
      <c r="Q152" s="17" t="str">
        <f t="shared" ca="1" si="1"/>
        <v/>
      </c>
      <c r="R152" s="21" t="str">
        <f ca="1">IF($Q152="","",IF($Q152&lt;=Settings!$B$8,Settings!$C$8,IF($Q152&lt;=Settings!$B$9,Settings!$C$9,IF($Q152&lt;=Settings!$B$10,Settings!$C$10,IF($Q152&lt;=Settings!$B$11,Settings!$C$11,Settings!$C$12)))))</f>
        <v/>
      </c>
      <c r="S152" s="21" t="str">
        <f>IF($F152="","",IFERROR(VLOOKUP($F152,Settings!$E$8:$F$11,2,FALSE),0))</f>
        <v/>
      </c>
      <c r="T152" s="21">
        <f>IF($G152="",Settings!$B$16,1)</f>
        <v>1</v>
      </c>
      <c r="U152" s="21" t="str">
        <f t="shared" si="2"/>
        <v/>
      </c>
      <c r="V152" s="32" t="str">
        <f>IF($C152="","",IF($Q152&gt;Settings!$B$4,IF($G152="","|","")&amp;"OLD_7D","")&amp;IF($Q152&gt;Settings!$B$5,IF(OR($G152="", $Q152&gt;Settings!$B$4),"|","")&amp;"OLD_30D",""))</f>
        <v/>
      </c>
      <c r="W152" s="21" t="str">
        <f>IF(OR($C152="", $M152&lt;&gt;"APPROVED",$I152="", $U152=0),"",SUMIFS($U$3:$U$502,$H$3:$H$502,$H152,$M$3:$M$502,"APPROVED",$Q$3:$Q$502,"&lt;="&amp;Settings!$B$4,$I$3:$I$502,"&lt;="&amp;$I152))</f>
        <v/>
      </c>
      <c r="X152" s="21" t="str">
        <f>IF(OR($C152="", $M152&lt;&gt;"APPROVED",$I152="", $U152=0),"",SUMIFS($U$3:$U$502,$H$3:$H$502,$H152,$M$3:$M$502,"APPROVED",$Q$3:$Q$502,"&lt;="&amp;Settings!$B$5,$I$3:$I$502,"&lt;="&amp;$I152))</f>
        <v/>
      </c>
      <c r="Y152" s="21" t="str">
        <f>IF($P152="","",IFERROR(MATCH($P152,Lists!$H$2:$H$4,0),""))</f>
        <v/>
      </c>
      <c r="Z152" s="21" t="str">
        <f t="shared" si="3"/>
        <v/>
      </c>
    </row>
    <row r="153" spans="1:26" ht="15.75" customHeight="1" x14ac:dyDescent="0.3">
      <c r="A153" s="16" t="str">
        <f t="shared" si="4"/>
        <v/>
      </c>
      <c r="B153" s="28"/>
      <c r="C153" s="29"/>
      <c r="D153" s="16"/>
      <c r="E153" s="16"/>
      <c r="F153" s="16"/>
      <c r="G153" s="16"/>
      <c r="H153" s="16"/>
      <c r="I153" s="31"/>
      <c r="J153" s="15"/>
      <c r="K153" s="15"/>
      <c r="L153" s="15"/>
      <c r="M153" s="16"/>
      <c r="N153" s="17"/>
      <c r="O153" s="19" t="str">
        <f t="shared" si="0"/>
        <v/>
      </c>
      <c r="P153" s="17"/>
      <c r="Q153" s="17" t="str">
        <f t="shared" ca="1" si="1"/>
        <v/>
      </c>
      <c r="R153" s="21" t="str">
        <f ca="1">IF($Q153="","",IF($Q153&lt;=Settings!$B$8,Settings!$C$8,IF($Q153&lt;=Settings!$B$9,Settings!$C$9,IF($Q153&lt;=Settings!$B$10,Settings!$C$10,IF($Q153&lt;=Settings!$B$11,Settings!$C$11,Settings!$C$12)))))</f>
        <v/>
      </c>
      <c r="S153" s="21" t="str">
        <f>IF($F153="","",IFERROR(VLOOKUP($F153,Settings!$E$8:$F$11,2,FALSE),0))</f>
        <v/>
      </c>
      <c r="T153" s="21">
        <f>IF($G153="",Settings!$B$16,1)</f>
        <v>1</v>
      </c>
      <c r="U153" s="21" t="str">
        <f t="shared" si="2"/>
        <v/>
      </c>
      <c r="V153" s="32" t="str">
        <f>IF($C153="","",IF($Q153&gt;Settings!$B$4,IF($G153="","|","")&amp;"OLD_7D","")&amp;IF($Q153&gt;Settings!$B$5,IF(OR($G153="", $Q153&gt;Settings!$B$4),"|","")&amp;"OLD_30D",""))</f>
        <v/>
      </c>
      <c r="W153" s="21" t="str">
        <f>IF(OR($C153="", $M153&lt;&gt;"APPROVED",$I153="", $U153=0),"",SUMIFS($U$3:$U$502,$H$3:$H$502,$H153,$M$3:$M$502,"APPROVED",$Q$3:$Q$502,"&lt;="&amp;Settings!$B$4,$I$3:$I$502,"&lt;="&amp;$I153))</f>
        <v/>
      </c>
      <c r="X153" s="21" t="str">
        <f>IF(OR($C153="", $M153&lt;&gt;"APPROVED",$I153="", $U153=0),"",SUMIFS($U$3:$U$502,$H$3:$H$502,$H153,$M$3:$M$502,"APPROVED",$Q$3:$Q$502,"&lt;="&amp;Settings!$B$5,$I$3:$I$502,"&lt;="&amp;$I153))</f>
        <v/>
      </c>
      <c r="Y153" s="21" t="str">
        <f>IF($P153="","",IFERROR(MATCH($P153,Lists!$H$2:$H$4,0),""))</f>
        <v/>
      </c>
      <c r="Z153" s="21" t="str">
        <f t="shared" si="3"/>
        <v/>
      </c>
    </row>
    <row r="154" spans="1:26" ht="15.75" customHeight="1" x14ac:dyDescent="0.3">
      <c r="A154" s="16" t="str">
        <f t="shared" si="4"/>
        <v/>
      </c>
      <c r="B154" s="28"/>
      <c r="C154" s="29"/>
      <c r="D154" s="16"/>
      <c r="E154" s="16"/>
      <c r="F154" s="16"/>
      <c r="G154" s="16"/>
      <c r="H154" s="16"/>
      <c r="I154" s="31"/>
      <c r="J154" s="15"/>
      <c r="K154" s="15"/>
      <c r="L154" s="15"/>
      <c r="M154" s="16"/>
      <c r="N154" s="17"/>
      <c r="O154" s="19" t="str">
        <f t="shared" si="0"/>
        <v/>
      </c>
      <c r="P154" s="17"/>
      <c r="Q154" s="17" t="str">
        <f t="shared" ca="1" si="1"/>
        <v/>
      </c>
      <c r="R154" s="21" t="str">
        <f ca="1">IF($Q154="","",IF($Q154&lt;=Settings!$B$8,Settings!$C$8,IF($Q154&lt;=Settings!$B$9,Settings!$C$9,IF($Q154&lt;=Settings!$B$10,Settings!$C$10,IF($Q154&lt;=Settings!$B$11,Settings!$C$11,Settings!$C$12)))))</f>
        <v/>
      </c>
      <c r="S154" s="21" t="str">
        <f>IF($F154="","",IFERROR(VLOOKUP($F154,Settings!$E$8:$F$11,2,FALSE),0))</f>
        <v/>
      </c>
      <c r="T154" s="21">
        <f>IF($G154="",Settings!$B$16,1)</f>
        <v>1</v>
      </c>
      <c r="U154" s="21" t="str">
        <f t="shared" si="2"/>
        <v/>
      </c>
      <c r="V154" s="32" t="str">
        <f>IF($C154="","",IF($Q154&gt;Settings!$B$4,IF($G154="","|","")&amp;"OLD_7D","")&amp;IF($Q154&gt;Settings!$B$5,IF(OR($G154="", $Q154&gt;Settings!$B$4),"|","")&amp;"OLD_30D",""))</f>
        <v/>
      </c>
      <c r="W154" s="21" t="str">
        <f>IF(OR($C154="", $M154&lt;&gt;"APPROVED",$I154="", $U154=0),"",SUMIFS($U$3:$U$502,$H$3:$H$502,$H154,$M$3:$M$502,"APPROVED",$Q$3:$Q$502,"&lt;="&amp;Settings!$B$4,$I$3:$I$502,"&lt;="&amp;$I154))</f>
        <v/>
      </c>
      <c r="X154" s="21" t="str">
        <f>IF(OR($C154="", $M154&lt;&gt;"APPROVED",$I154="", $U154=0),"",SUMIFS($U$3:$U$502,$H$3:$H$502,$H154,$M$3:$M$502,"APPROVED",$Q$3:$Q$502,"&lt;="&amp;Settings!$B$5,$I$3:$I$502,"&lt;="&amp;$I154))</f>
        <v/>
      </c>
      <c r="Y154" s="21" t="str">
        <f>IF($P154="","",IFERROR(MATCH($P154,Lists!$H$2:$H$4,0),""))</f>
        <v/>
      </c>
      <c r="Z154" s="21" t="str">
        <f t="shared" si="3"/>
        <v/>
      </c>
    </row>
    <row r="155" spans="1:26" ht="15.75" customHeight="1" x14ac:dyDescent="0.3">
      <c r="A155" s="16" t="str">
        <f t="shared" si="4"/>
        <v/>
      </c>
      <c r="B155" s="28"/>
      <c r="C155" s="29"/>
      <c r="D155" s="16"/>
      <c r="E155" s="16"/>
      <c r="F155" s="16"/>
      <c r="G155" s="16"/>
      <c r="H155" s="16"/>
      <c r="I155" s="31"/>
      <c r="J155" s="15"/>
      <c r="K155" s="15"/>
      <c r="L155" s="15"/>
      <c r="M155" s="16"/>
      <c r="N155" s="17"/>
      <c r="O155" s="19" t="str">
        <f t="shared" si="0"/>
        <v/>
      </c>
      <c r="P155" s="17"/>
      <c r="Q155" s="17" t="str">
        <f t="shared" ca="1" si="1"/>
        <v/>
      </c>
      <c r="R155" s="21" t="str">
        <f ca="1">IF($Q155="","",IF($Q155&lt;=Settings!$B$8,Settings!$C$8,IF($Q155&lt;=Settings!$B$9,Settings!$C$9,IF($Q155&lt;=Settings!$B$10,Settings!$C$10,IF($Q155&lt;=Settings!$B$11,Settings!$C$11,Settings!$C$12)))))</f>
        <v/>
      </c>
      <c r="S155" s="21" t="str">
        <f>IF($F155="","",IFERROR(VLOOKUP($F155,Settings!$E$8:$F$11,2,FALSE),0))</f>
        <v/>
      </c>
      <c r="T155" s="21">
        <f>IF($G155="",Settings!$B$16,1)</f>
        <v>1</v>
      </c>
      <c r="U155" s="21" t="str">
        <f t="shared" si="2"/>
        <v/>
      </c>
      <c r="V155" s="32" t="str">
        <f>IF($C155="","",IF($Q155&gt;Settings!$B$4,IF($G155="","|","")&amp;"OLD_7D","")&amp;IF($Q155&gt;Settings!$B$5,IF(OR($G155="", $Q155&gt;Settings!$B$4),"|","")&amp;"OLD_30D",""))</f>
        <v/>
      </c>
      <c r="W155" s="21" t="str">
        <f>IF(OR($C155="", $M155&lt;&gt;"APPROVED",$I155="", $U155=0),"",SUMIFS($U$3:$U$502,$H$3:$H$502,$H155,$M$3:$M$502,"APPROVED",$Q$3:$Q$502,"&lt;="&amp;Settings!$B$4,$I$3:$I$502,"&lt;="&amp;$I155))</f>
        <v/>
      </c>
      <c r="X155" s="21" t="str">
        <f>IF(OR($C155="", $M155&lt;&gt;"APPROVED",$I155="", $U155=0),"",SUMIFS($U$3:$U$502,$H$3:$H$502,$H155,$M$3:$M$502,"APPROVED",$Q$3:$Q$502,"&lt;="&amp;Settings!$B$5,$I$3:$I$502,"&lt;="&amp;$I155))</f>
        <v/>
      </c>
      <c r="Y155" s="21" t="str">
        <f>IF($P155="","",IFERROR(MATCH($P155,Lists!$H$2:$H$4,0),""))</f>
        <v/>
      </c>
      <c r="Z155" s="21" t="str">
        <f t="shared" si="3"/>
        <v/>
      </c>
    </row>
    <row r="156" spans="1:26" ht="15.75" customHeight="1" x14ac:dyDescent="0.3">
      <c r="A156" s="16" t="str">
        <f t="shared" si="4"/>
        <v/>
      </c>
      <c r="B156" s="28"/>
      <c r="C156" s="29"/>
      <c r="D156" s="16"/>
      <c r="E156" s="16"/>
      <c r="F156" s="16"/>
      <c r="G156" s="16"/>
      <c r="H156" s="16"/>
      <c r="I156" s="31"/>
      <c r="J156" s="15"/>
      <c r="K156" s="15"/>
      <c r="L156" s="15"/>
      <c r="M156" s="16"/>
      <c r="N156" s="17"/>
      <c r="O156" s="19" t="str">
        <f t="shared" si="0"/>
        <v/>
      </c>
      <c r="P156" s="17"/>
      <c r="Q156" s="17" t="str">
        <f t="shared" ca="1" si="1"/>
        <v/>
      </c>
      <c r="R156" s="21" t="str">
        <f ca="1">IF($Q156="","",IF($Q156&lt;=Settings!$B$8,Settings!$C$8,IF($Q156&lt;=Settings!$B$9,Settings!$C$9,IF($Q156&lt;=Settings!$B$10,Settings!$C$10,IF($Q156&lt;=Settings!$B$11,Settings!$C$11,Settings!$C$12)))))</f>
        <v/>
      </c>
      <c r="S156" s="21" t="str">
        <f>IF($F156="","",IFERROR(VLOOKUP($F156,Settings!$E$8:$F$11,2,FALSE),0))</f>
        <v/>
      </c>
      <c r="T156" s="21">
        <f>IF($G156="",Settings!$B$16,1)</f>
        <v>1</v>
      </c>
      <c r="U156" s="21" t="str">
        <f t="shared" si="2"/>
        <v/>
      </c>
      <c r="V156" s="32" t="str">
        <f>IF($C156="","",IF($Q156&gt;Settings!$B$4,IF($G156="","|","")&amp;"OLD_7D","")&amp;IF($Q156&gt;Settings!$B$5,IF(OR($G156="", $Q156&gt;Settings!$B$4),"|","")&amp;"OLD_30D",""))</f>
        <v/>
      </c>
      <c r="W156" s="21" t="str">
        <f>IF(OR($C156="", $M156&lt;&gt;"APPROVED",$I156="", $U156=0),"",SUMIFS($U$3:$U$502,$H$3:$H$502,$H156,$M$3:$M$502,"APPROVED",$Q$3:$Q$502,"&lt;="&amp;Settings!$B$4,$I$3:$I$502,"&lt;="&amp;$I156))</f>
        <v/>
      </c>
      <c r="X156" s="21" t="str">
        <f>IF(OR($C156="", $M156&lt;&gt;"APPROVED",$I156="", $U156=0),"",SUMIFS($U$3:$U$502,$H$3:$H$502,$H156,$M$3:$M$502,"APPROVED",$Q$3:$Q$502,"&lt;="&amp;Settings!$B$5,$I$3:$I$502,"&lt;="&amp;$I156))</f>
        <v/>
      </c>
      <c r="Y156" s="21" t="str">
        <f>IF($P156="","",IFERROR(MATCH($P156,Lists!$H$2:$H$4,0),""))</f>
        <v/>
      </c>
      <c r="Z156" s="21" t="str">
        <f t="shared" si="3"/>
        <v/>
      </c>
    </row>
    <row r="157" spans="1:26" ht="15.75" customHeight="1" x14ac:dyDescent="0.3">
      <c r="A157" s="16" t="str">
        <f t="shared" si="4"/>
        <v/>
      </c>
      <c r="B157" s="28"/>
      <c r="C157" s="29"/>
      <c r="D157" s="16"/>
      <c r="E157" s="16"/>
      <c r="F157" s="16"/>
      <c r="G157" s="16"/>
      <c r="H157" s="16"/>
      <c r="I157" s="31"/>
      <c r="J157" s="15"/>
      <c r="K157" s="15"/>
      <c r="L157" s="15"/>
      <c r="M157" s="16"/>
      <c r="N157" s="17"/>
      <c r="O157" s="19" t="str">
        <f t="shared" si="0"/>
        <v/>
      </c>
      <c r="P157" s="17"/>
      <c r="Q157" s="17" t="str">
        <f t="shared" ca="1" si="1"/>
        <v/>
      </c>
      <c r="R157" s="21" t="str">
        <f ca="1">IF($Q157="","",IF($Q157&lt;=Settings!$B$8,Settings!$C$8,IF($Q157&lt;=Settings!$B$9,Settings!$C$9,IF($Q157&lt;=Settings!$B$10,Settings!$C$10,IF($Q157&lt;=Settings!$B$11,Settings!$C$11,Settings!$C$12)))))</f>
        <v/>
      </c>
      <c r="S157" s="21" t="str">
        <f>IF($F157="","",IFERROR(VLOOKUP($F157,Settings!$E$8:$F$11,2,FALSE),0))</f>
        <v/>
      </c>
      <c r="T157" s="21">
        <f>IF($G157="",Settings!$B$16,1)</f>
        <v>1</v>
      </c>
      <c r="U157" s="21" t="str">
        <f t="shared" si="2"/>
        <v/>
      </c>
      <c r="V157" s="32" t="str">
        <f>IF($C157="","",IF($Q157&gt;Settings!$B$4,IF($G157="","|","")&amp;"OLD_7D","")&amp;IF($Q157&gt;Settings!$B$5,IF(OR($G157="", $Q157&gt;Settings!$B$4),"|","")&amp;"OLD_30D",""))</f>
        <v/>
      </c>
      <c r="W157" s="21" t="str">
        <f>IF(OR($C157="", $M157&lt;&gt;"APPROVED",$I157="", $U157=0),"",SUMIFS($U$3:$U$502,$H$3:$H$502,$H157,$M$3:$M$502,"APPROVED",$Q$3:$Q$502,"&lt;="&amp;Settings!$B$4,$I$3:$I$502,"&lt;="&amp;$I157))</f>
        <v/>
      </c>
      <c r="X157" s="21" t="str">
        <f>IF(OR($C157="", $M157&lt;&gt;"APPROVED",$I157="", $U157=0),"",SUMIFS($U$3:$U$502,$H$3:$H$502,$H157,$M$3:$M$502,"APPROVED",$Q$3:$Q$502,"&lt;="&amp;Settings!$B$5,$I$3:$I$502,"&lt;="&amp;$I157))</f>
        <v/>
      </c>
      <c r="Y157" s="21" t="str">
        <f>IF($P157="","",IFERROR(MATCH($P157,Lists!$H$2:$H$4,0),""))</f>
        <v/>
      </c>
      <c r="Z157" s="21" t="str">
        <f t="shared" si="3"/>
        <v/>
      </c>
    </row>
    <row r="158" spans="1:26" ht="15.75" customHeight="1" x14ac:dyDescent="0.3">
      <c r="A158" s="16" t="str">
        <f t="shared" si="4"/>
        <v/>
      </c>
      <c r="B158" s="28"/>
      <c r="C158" s="29"/>
      <c r="D158" s="16"/>
      <c r="E158" s="16"/>
      <c r="F158" s="16"/>
      <c r="G158" s="16"/>
      <c r="H158" s="16"/>
      <c r="I158" s="31"/>
      <c r="J158" s="15"/>
      <c r="K158" s="15"/>
      <c r="L158" s="15"/>
      <c r="M158" s="16"/>
      <c r="N158" s="17"/>
      <c r="O158" s="19" t="str">
        <f t="shared" si="0"/>
        <v/>
      </c>
      <c r="P158" s="17"/>
      <c r="Q158" s="17" t="str">
        <f t="shared" ca="1" si="1"/>
        <v/>
      </c>
      <c r="R158" s="21" t="str">
        <f ca="1">IF($Q158="","",IF($Q158&lt;=Settings!$B$8,Settings!$C$8,IF($Q158&lt;=Settings!$B$9,Settings!$C$9,IF($Q158&lt;=Settings!$B$10,Settings!$C$10,IF($Q158&lt;=Settings!$B$11,Settings!$C$11,Settings!$C$12)))))</f>
        <v/>
      </c>
      <c r="S158" s="21" t="str">
        <f>IF($F158="","",IFERROR(VLOOKUP($F158,Settings!$E$8:$F$11,2,FALSE),0))</f>
        <v/>
      </c>
      <c r="T158" s="21">
        <f>IF($G158="",Settings!$B$16,1)</f>
        <v>1</v>
      </c>
      <c r="U158" s="21" t="str">
        <f t="shared" si="2"/>
        <v/>
      </c>
      <c r="V158" s="32" t="str">
        <f>IF($C158="","",IF($Q158&gt;Settings!$B$4,IF($G158="","|","")&amp;"OLD_7D","")&amp;IF($Q158&gt;Settings!$B$5,IF(OR($G158="", $Q158&gt;Settings!$B$4),"|","")&amp;"OLD_30D",""))</f>
        <v/>
      </c>
      <c r="W158" s="21" t="str">
        <f>IF(OR($C158="", $M158&lt;&gt;"APPROVED",$I158="", $U158=0),"",SUMIFS($U$3:$U$502,$H$3:$H$502,$H158,$M$3:$M$502,"APPROVED",$Q$3:$Q$502,"&lt;="&amp;Settings!$B$4,$I$3:$I$502,"&lt;="&amp;$I158))</f>
        <v/>
      </c>
      <c r="X158" s="21" t="str">
        <f>IF(OR($C158="", $M158&lt;&gt;"APPROVED",$I158="", $U158=0),"",SUMIFS($U$3:$U$502,$H$3:$H$502,$H158,$M$3:$M$502,"APPROVED",$Q$3:$Q$502,"&lt;="&amp;Settings!$B$5,$I$3:$I$502,"&lt;="&amp;$I158))</f>
        <v/>
      </c>
      <c r="Y158" s="21" t="str">
        <f>IF($P158="","",IFERROR(MATCH($P158,Lists!$H$2:$H$4,0),""))</f>
        <v/>
      </c>
      <c r="Z158" s="21" t="str">
        <f t="shared" si="3"/>
        <v/>
      </c>
    </row>
    <row r="159" spans="1:26" ht="15.75" customHeight="1" x14ac:dyDescent="0.3">
      <c r="A159" s="16" t="str">
        <f t="shared" si="4"/>
        <v/>
      </c>
      <c r="B159" s="28"/>
      <c r="C159" s="29"/>
      <c r="D159" s="16"/>
      <c r="E159" s="16"/>
      <c r="F159" s="16"/>
      <c r="G159" s="16"/>
      <c r="H159" s="16"/>
      <c r="I159" s="31"/>
      <c r="J159" s="15"/>
      <c r="K159" s="15"/>
      <c r="L159" s="15"/>
      <c r="M159" s="16"/>
      <c r="N159" s="17"/>
      <c r="O159" s="19" t="str">
        <f t="shared" si="0"/>
        <v/>
      </c>
      <c r="P159" s="17"/>
      <c r="Q159" s="17" t="str">
        <f t="shared" ca="1" si="1"/>
        <v/>
      </c>
      <c r="R159" s="21" t="str">
        <f ca="1">IF($Q159="","",IF($Q159&lt;=Settings!$B$8,Settings!$C$8,IF($Q159&lt;=Settings!$B$9,Settings!$C$9,IF($Q159&lt;=Settings!$B$10,Settings!$C$10,IF($Q159&lt;=Settings!$B$11,Settings!$C$11,Settings!$C$12)))))</f>
        <v/>
      </c>
      <c r="S159" s="21" t="str">
        <f>IF($F159="","",IFERROR(VLOOKUP($F159,Settings!$E$8:$F$11,2,FALSE),0))</f>
        <v/>
      </c>
      <c r="T159" s="21">
        <f>IF($G159="",Settings!$B$16,1)</f>
        <v>1</v>
      </c>
      <c r="U159" s="21" t="str">
        <f t="shared" si="2"/>
        <v/>
      </c>
      <c r="V159" s="32" t="str">
        <f>IF($C159="","",IF($Q159&gt;Settings!$B$4,IF($G159="","|","")&amp;"OLD_7D","")&amp;IF($Q159&gt;Settings!$B$5,IF(OR($G159="", $Q159&gt;Settings!$B$4),"|","")&amp;"OLD_30D",""))</f>
        <v/>
      </c>
      <c r="W159" s="21" t="str">
        <f>IF(OR($C159="", $M159&lt;&gt;"APPROVED",$I159="", $U159=0),"",SUMIFS($U$3:$U$502,$H$3:$H$502,$H159,$M$3:$M$502,"APPROVED",$Q$3:$Q$502,"&lt;="&amp;Settings!$B$4,$I$3:$I$502,"&lt;="&amp;$I159))</f>
        <v/>
      </c>
      <c r="X159" s="21" t="str">
        <f>IF(OR($C159="", $M159&lt;&gt;"APPROVED",$I159="", $U159=0),"",SUMIFS($U$3:$U$502,$H$3:$H$502,$H159,$M$3:$M$502,"APPROVED",$Q$3:$Q$502,"&lt;="&amp;Settings!$B$5,$I$3:$I$502,"&lt;="&amp;$I159))</f>
        <v/>
      </c>
      <c r="Y159" s="21" t="str">
        <f>IF($P159="","",IFERROR(MATCH($P159,Lists!$H$2:$H$4,0),""))</f>
        <v/>
      </c>
      <c r="Z159" s="21" t="str">
        <f t="shared" si="3"/>
        <v/>
      </c>
    </row>
    <row r="160" spans="1:26" ht="15.75" customHeight="1" x14ac:dyDescent="0.3">
      <c r="A160" s="16" t="str">
        <f t="shared" si="4"/>
        <v/>
      </c>
      <c r="B160" s="28"/>
      <c r="C160" s="29"/>
      <c r="D160" s="16"/>
      <c r="E160" s="16"/>
      <c r="F160" s="16"/>
      <c r="G160" s="16"/>
      <c r="H160" s="16"/>
      <c r="I160" s="31"/>
      <c r="J160" s="15"/>
      <c r="K160" s="15"/>
      <c r="L160" s="15"/>
      <c r="M160" s="16"/>
      <c r="N160" s="17"/>
      <c r="O160" s="19" t="str">
        <f t="shared" si="0"/>
        <v/>
      </c>
      <c r="P160" s="17"/>
      <c r="Q160" s="17" t="str">
        <f t="shared" ca="1" si="1"/>
        <v/>
      </c>
      <c r="R160" s="21" t="str">
        <f ca="1">IF($Q160="","",IF($Q160&lt;=Settings!$B$8,Settings!$C$8,IF($Q160&lt;=Settings!$B$9,Settings!$C$9,IF($Q160&lt;=Settings!$B$10,Settings!$C$10,IF($Q160&lt;=Settings!$B$11,Settings!$C$11,Settings!$C$12)))))</f>
        <v/>
      </c>
      <c r="S160" s="21" t="str">
        <f>IF($F160="","",IFERROR(VLOOKUP($F160,Settings!$E$8:$F$11,2,FALSE),0))</f>
        <v/>
      </c>
      <c r="T160" s="21">
        <f>IF($G160="",Settings!$B$16,1)</f>
        <v>1</v>
      </c>
      <c r="U160" s="21" t="str">
        <f t="shared" si="2"/>
        <v/>
      </c>
      <c r="V160" s="32" t="str">
        <f>IF($C160="","",IF($Q160&gt;Settings!$B$4,IF($G160="","|","")&amp;"OLD_7D","")&amp;IF($Q160&gt;Settings!$B$5,IF(OR($G160="", $Q160&gt;Settings!$B$4),"|","")&amp;"OLD_30D",""))</f>
        <v/>
      </c>
      <c r="W160" s="21" t="str">
        <f>IF(OR($C160="", $M160&lt;&gt;"APPROVED",$I160="", $U160=0),"",SUMIFS($U$3:$U$502,$H$3:$H$502,$H160,$M$3:$M$502,"APPROVED",$Q$3:$Q$502,"&lt;="&amp;Settings!$B$4,$I$3:$I$502,"&lt;="&amp;$I160))</f>
        <v/>
      </c>
      <c r="X160" s="21" t="str">
        <f>IF(OR($C160="", $M160&lt;&gt;"APPROVED",$I160="", $U160=0),"",SUMIFS($U$3:$U$502,$H$3:$H$502,$H160,$M$3:$M$502,"APPROVED",$Q$3:$Q$502,"&lt;="&amp;Settings!$B$5,$I$3:$I$502,"&lt;="&amp;$I160))</f>
        <v/>
      </c>
      <c r="Y160" s="21" t="str">
        <f>IF($P160="","",IFERROR(MATCH($P160,Lists!$H$2:$H$4,0),""))</f>
        <v/>
      </c>
      <c r="Z160" s="21" t="str">
        <f t="shared" si="3"/>
        <v/>
      </c>
    </row>
    <row r="161" spans="1:26" ht="15.75" customHeight="1" x14ac:dyDescent="0.3">
      <c r="A161" s="16" t="str">
        <f t="shared" si="4"/>
        <v/>
      </c>
      <c r="B161" s="28"/>
      <c r="C161" s="29"/>
      <c r="D161" s="16"/>
      <c r="E161" s="16"/>
      <c r="F161" s="16"/>
      <c r="G161" s="16"/>
      <c r="H161" s="16"/>
      <c r="I161" s="31"/>
      <c r="J161" s="15"/>
      <c r="K161" s="15"/>
      <c r="L161" s="15"/>
      <c r="M161" s="16"/>
      <c r="N161" s="17"/>
      <c r="O161" s="19" t="str">
        <f t="shared" si="0"/>
        <v/>
      </c>
      <c r="P161" s="17"/>
      <c r="Q161" s="17" t="str">
        <f t="shared" ca="1" si="1"/>
        <v/>
      </c>
      <c r="R161" s="21" t="str">
        <f ca="1">IF($Q161="","",IF($Q161&lt;=Settings!$B$8,Settings!$C$8,IF($Q161&lt;=Settings!$B$9,Settings!$C$9,IF($Q161&lt;=Settings!$B$10,Settings!$C$10,IF($Q161&lt;=Settings!$B$11,Settings!$C$11,Settings!$C$12)))))</f>
        <v/>
      </c>
      <c r="S161" s="21" t="str">
        <f>IF($F161="","",IFERROR(VLOOKUP($F161,Settings!$E$8:$F$11,2,FALSE),0))</f>
        <v/>
      </c>
      <c r="T161" s="21">
        <f>IF($G161="",Settings!$B$16,1)</f>
        <v>1</v>
      </c>
      <c r="U161" s="21" t="str">
        <f t="shared" si="2"/>
        <v/>
      </c>
      <c r="V161" s="32" t="str">
        <f>IF($C161="","",IF($Q161&gt;Settings!$B$4,IF($G161="","|","")&amp;"OLD_7D","")&amp;IF($Q161&gt;Settings!$B$5,IF(OR($G161="", $Q161&gt;Settings!$B$4),"|","")&amp;"OLD_30D",""))</f>
        <v/>
      </c>
      <c r="W161" s="21" t="str">
        <f>IF(OR($C161="", $M161&lt;&gt;"APPROVED",$I161="", $U161=0),"",SUMIFS($U$3:$U$502,$H$3:$H$502,$H161,$M$3:$M$502,"APPROVED",$Q$3:$Q$502,"&lt;="&amp;Settings!$B$4,$I$3:$I$502,"&lt;="&amp;$I161))</f>
        <v/>
      </c>
      <c r="X161" s="21" t="str">
        <f>IF(OR($C161="", $M161&lt;&gt;"APPROVED",$I161="", $U161=0),"",SUMIFS($U$3:$U$502,$H$3:$H$502,$H161,$M$3:$M$502,"APPROVED",$Q$3:$Q$502,"&lt;="&amp;Settings!$B$5,$I$3:$I$502,"&lt;="&amp;$I161))</f>
        <v/>
      </c>
      <c r="Y161" s="21" t="str">
        <f>IF($P161="","",IFERROR(MATCH($P161,Lists!$H$2:$H$4,0),""))</f>
        <v/>
      </c>
      <c r="Z161" s="21" t="str">
        <f t="shared" si="3"/>
        <v/>
      </c>
    </row>
    <row r="162" spans="1:26" ht="15.75" customHeight="1" x14ac:dyDescent="0.3">
      <c r="A162" s="16" t="str">
        <f t="shared" si="4"/>
        <v/>
      </c>
      <c r="B162" s="28"/>
      <c r="C162" s="29"/>
      <c r="D162" s="16"/>
      <c r="E162" s="16"/>
      <c r="F162" s="16"/>
      <c r="G162" s="16"/>
      <c r="H162" s="16"/>
      <c r="I162" s="31"/>
      <c r="J162" s="15"/>
      <c r="K162" s="15"/>
      <c r="L162" s="15"/>
      <c r="M162" s="16"/>
      <c r="N162" s="17"/>
      <c r="O162" s="19" t="str">
        <f t="shared" si="0"/>
        <v/>
      </c>
      <c r="P162" s="17"/>
      <c r="Q162" s="17" t="str">
        <f t="shared" ca="1" si="1"/>
        <v/>
      </c>
      <c r="R162" s="21" t="str">
        <f ca="1">IF($Q162="","",IF($Q162&lt;=Settings!$B$8,Settings!$C$8,IF($Q162&lt;=Settings!$B$9,Settings!$C$9,IF($Q162&lt;=Settings!$B$10,Settings!$C$10,IF($Q162&lt;=Settings!$B$11,Settings!$C$11,Settings!$C$12)))))</f>
        <v/>
      </c>
      <c r="S162" s="21" t="str">
        <f>IF($F162="","",IFERROR(VLOOKUP($F162,Settings!$E$8:$F$11,2,FALSE),0))</f>
        <v/>
      </c>
      <c r="T162" s="21">
        <f>IF($G162="",Settings!$B$16,1)</f>
        <v>1</v>
      </c>
      <c r="U162" s="21" t="str">
        <f t="shared" si="2"/>
        <v/>
      </c>
      <c r="V162" s="32" t="str">
        <f>IF($C162="","",IF($Q162&gt;Settings!$B$4,IF($G162="","|","")&amp;"OLD_7D","")&amp;IF($Q162&gt;Settings!$B$5,IF(OR($G162="", $Q162&gt;Settings!$B$4),"|","")&amp;"OLD_30D",""))</f>
        <v/>
      </c>
      <c r="W162" s="21" t="str">
        <f>IF(OR($C162="", $M162&lt;&gt;"APPROVED",$I162="", $U162=0),"",SUMIFS($U$3:$U$502,$H$3:$H$502,$H162,$M$3:$M$502,"APPROVED",$Q$3:$Q$502,"&lt;="&amp;Settings!$B$4,$I$3:$I$502,"&lt;="&amp;$I162))</f>
        <v/>
      </c>
      <c r="X162" s="21" t="str">
        <f>IF(OR($C162="", $M162&lt;&gt;"APPROVED",$I162="", $U162=0),"",SUMIFS($U$3:$U$502,$H$3:$H$502,$H162,$M$3:$M$502,"APPROVED",$Q$3:$Q$502,"&lt;="&amp;Settings!$B$5,$I$3:$I$502,"&lt;="&amp;$I162))</f>
        <v/>
      </c>
      <c r="Y162" s="21" t="str">
        <f>IF($P162="","",IFERROR(MATCH($P162,Lists!$H$2:$H$4,0),""))</f>
        <v/>
      </c>
      <c r="Z162" s="21" t="str">
        <f t="shared" si="3"/>
        <v/>
      </c>
    </row>
    <row r="163" spans="1:26" ht="15.75" customHeight="1" x14ac:dyDescent="0.3">
      <c r="A163" s="16" t="str">
        <f t="shared" si="4"/>
        <v/>
      </c>
      <c r="B163" s="28"/>
      <c r="C163" s="29"/>
      <c r="D163" s="16"/>
      <c r="E163" s="16"/>
      <c r="F163" s="16"/>
      <c r="G163" s="16"/>
      <c r="H163" s="16"/>
      <c r="I163" s="31"/>
      <c r="J163" s="15"/>
      <c r="K163" s="15"/>
      <c r="L163" s="15"/>
      <c r="M163" s="16"/>
      <c r="N163" s="17"/>
      <c r="O163" s="19" t="str">
        <f t="shared" si="0"/>
        <v/>
      </c>
      <c r="P163" s="17"/>
      <c r="Q163" s="17" t="str">
        <f t="shared" ca="1" si="1"/>
        <v/>
      </c>
      <c r="R163" s="21" t="str">
        <f ca="1">IF($Q163="","",IF($Q163&lt;=Settings!$B$8,Settings!$C$8,IF($Q163&lt;=Settings!$B$9,Settings!$C$9,IF($Q163&lt;=Settings!$B$10,Settings!$C$10,IF($Q163&lt;=Settings!$B$11,Settings!$C$11,Settings!$C$12)))))</f>
        <v/>
      </c>
      <c r="S163" s="21" t="str">
        <f>IF($F163="","",IFERROR(VLOOKUP($F163,Settings!$E$8:$F$11,2,FALSE),0))</f>
        <v/>
      </c>
      <c r="T163" s="21">
        <f>IF($G163="",Settings!$B$16,1)</f>
        <v>1</v>
      </c>
      <c r="U163" s="21" t="str">
        <f t="shared" si="2"/>
        <v/>
      </c>
      <c r="V163" s="32" t="str">
        <f>IF($C163="","",IF($Q163&gt;Settings!$B$4,IF($G163="","|","")&amp;"OLD_7D","")&amp;IF($Q163&gt;Settings!$B$5,IF(OR($G163="", $Q163&gt;Settings!$B$4),"|","")&amp;"OLD_30D",""))</f>
        <v/>
      </c>
      <c r="W163" s="21" t="str">
        <f>IF(OR($C163="", $M163&lt;&gt;"APPROVED",$I163="", $U163=0),"",SUMIFS($U$3:$U$502,$H$3:$H$502,$H163,$M$3:$M$502,"APPROVED",$Q$3:$Q$502,"&lt;="&amp;Settings!$B$4,$I$3:$I$502,"&lt;="&amp;$I163))</f>
        <v/>
      </c>
      <c r="X163" s="21" t="str">
        <f>IF(OR($C163="", $M163&lt;&gt;"APPROVED",$I163="", $U163=0),"",SUMIFS($U$3:$U$502,$H$3:$H$502,$H163,$M$3:$M$502,"APPROVED",$Q$3:$Q$502,"&lt;="&amp;Settings!$B$5,$I$3:$I$502,"&lt;="&amp;$I163))</f>
        <v/>
      </c>
      <c r="Y163" s="21" t="str">
        <f>IF($P163="","",IFERROR(MATCH($P163,Lists!$H$2:$H$4,0),""))</f>
        <v/>
      </c>
      <c r="Z163" s="21" t="str">
        <f t="shared" si="3"/>
        <v/>
      </c>
    </row>
    <row r="164" spans="1:26" ht="15.75" customHeight="1" x14ac:dyDescent="0.3">
      <c r="A164" s="16" t="str">
        <f t="shared" si="4"/>
        <v/>
      </c>
      <c r="B164" s="28"/>
      <c r="C164" s="29"/>
      <c r="D164" s="16"/>
      <c r="E164" s="16"/>
      <c r="F164" s="16"/>
      <c r="G164" s="16"/>
      <c r="H164" s="16"/>
      <c r="I164" s="31"/>
      <c r="J164" s="15"/>
      <c r="K164" s="15"/>
      <c r="L164" s="15"/>
      <c r="M164" s="16"/>
      <c r="N164" s="17"/>
      <c r="O164" s="19" t="str">
        <f t="shared" si="0"/>
        <v/>
      </c>
      <c r="P164" s="17"/>
      <c r="Q164" s="17" t="str">
        <f t="shared" ca="1" si="1"/>
        <v/>
      </c>
      <c r="R164" s="21" t="str">
        <f ca="1">IF($Q164="","",IF($Q164&lt;=Settings!$B$8,Settings!$C$8,IF($Q164&lt;=Settings!$B$9,Settings!$C$9,IF($Q164&lt;=Settings!$B$10,Settings!$C$10,IF($Q164&lt;=Settings!$B$11,Settings!$C$11,Settings!$C$12)))))</f>
        <v/>
      </c>
      <c r="S164" s="21" t="str">
        <f>IF($F164="","",IFERROR(VLOOKUP($F164,Settings!$E$8:$F$11,2,FALSE),0))</f>
        <v/>
      </c>
      <c r="T164" s="21">
        <f>IF($G164="",Settings!$B$16,1)</f>
        <v>1</v>
      </c>
      <c r="U164" s="21" t="str">
        <f t="shared" si="2"/>
        <v/>
      </c>
      <c r="V164" s="32" t="str">
        <f>IF($C164="","",IF($Q164&gt;Settings!$B$4,IF($G164="","|","")&amp;"OLD_7D","")&amp;IF($Q164&gt;Settings!$B$5,IF(OR($G164="", $Q164&gt;Settings!$B$4),"|","")&amp;"OLD_30D",""))</f>
        <v/>
      </c>
      <c r="W164" s="21" t="str">
        <f>IF(OR($C164="", $M164&lt;&gt;"APPROVED",$I164="", $U164=0),"",SUMIFS($U$3:$U$502,$H$3:$H$502,$H164,$M$3:$M$502,"APPROVED",$Q$3:$Q$502,"&lt;="&amp;Settings!$B$4,$I$3:$I$502,"&lt;="&amp;$I164))</f>
        <v/>
      </c>
      <c r="X164" s="21" t="str">
        <f>IF(OR($C164="", $M164&lt;&gt;"APPROVED",$I164="", $U164=0),"",SUMIFS($U$3:$U$502,$H$3:$H$502,$H164,$M$3:$M$502,"APPROVED",$Q$3:$Q$502,"&lt;="&amp;Settings!$B$5,$I$3:$I$502,"&lt;="&amp;$I164))</f>
        <v/>
      </c>
      <c r="Y164" s="21" t="str">
        <f>IF($P164="","",IFERROR(MATCH($P164,Lists!$H$2:$H$4,0),""))</f>
        <v/>
      </c>
      <c r="Z164" s="21" t="str">
        <f t="shared" si="3"/>
        <v/>
      </c>
    </row>
    <row r="165" spans="1:26" ht="15.75" customHeight="1" x14ac:dyDescent="0.3">
      <c r="A165" s="16" t="str">
        <f t="shared" si="4"/>
        <v/>
      </c>
      <c r="B165" s="28"/>
      <c r="C165" s="29"/>
      <c r="D165" s="16"/>
      <c r="E165" s="16"/>
      <c r="F165" s="16"/>
      <c r="G165" s="16"/>
      <c r="H165" s="16"/>
      <c r="I165" s="31"/>
      <c r="J165" s="15"/>
      <c r="K165" s="15"/>
      <c r="L165" s="15"/>
      <c r="M165" s="16"/>
      <c r="N165" s="17"/>
      <c r="O165" s="19" t="str">
        <f t="shared" si="0"/>
        <v/>
      </c>
      <c r="P165" s="17"/>
      <c r="Q165" s="17" t="str">
        <f t="shared" ca="1" si="1"/>
        <v/>
      </c>
      <c r="R165" s="21" t="str">
        <f ca="1">IF($Q165="","",IF($Q165&lt;=Settings!$B$8,Settings!$C$8,IF($Q165&lt;=Settings!$B$9,Settings!$C$9,IF($Q165&lt;=Settings!$B$10,Settings!$C$10,IF($Q165&lt;=Settings!$B$11,Settings!$C$11,Settings!$C$12)))))</f>
        <v/>
      </c>
      <c r="S165" s="21" t="str">
        <f>IF($F165="","",IFERROR(VLOOKUP($F165,Settings!$E$8:$F$11,2,FALSE),0))</f>
        <v/>
      </c>
      <c r="T165" s="21">
        <f>IF($G165="",Settings!$B$16,1)</f>
        <v>1</v>
      </c>
      <c r="U165" s="21" t="str">
        <f t="shared" si="2"/>
        <v/>
      </c>
      <c r="V165" s="32" t="str">
        <f>IF($C165="","",IF($Q165&gt;Settings!$B$4,IF($G165="","|","")&amp;"OLD_7D","")&amp;IF($Q165&gt;Settings!$B$5,IF(OR($G165="", $Q165&gt;Settings!$B$4),"|","")&amp;"OLD_30D",""))</f>
        <v/>
      </c>
      <c r="W165" s="21" t="str">
        <f>IF(OR($C165="", $M165&lt;&gt;"APPROVED",$I165="", $U165=0),"",SUMIFS($U$3:$U$502,$H$3:$H$502,$H165,$M$3:$M$502,"APPROVED",$Q$3:$Q$502,"&lt;="&amp;Settings!$B$4,$I$3:$I$502,"&lt;="&amp;$I165))</f>
        <v/>
      </c>
      <c r="X165" s="21" t="str">
        <f>IF(OR($C165="", $M165&lt;&gt;"APPROVED",$I165="", $U165=0),"",SUMIFS($U$3:$U$502,$H$3:$H$502,$H165,$M$3:$M$502,"APPROVED",$Q$3:$Q$502,"&lt;="&amp;Settings!$B$5,$I$3:$I$502,"&lt;="&amp;$I165))</f>
        <v/>
      </c>
      <c r="Y165" s="21" t="str">
        <f>IF($P165="","",IFERROR(MATCH($P165,Lists!$H$2:$H$4,0),""))</f>
        <v/>
      </c>
      <c r="Z165" s="21" t="str">
        <f t="shared" si="3"/>
        <v/>
      </c>
    </row>
    <row r="166" spans="1:26" ht="15.75" customHeight="1" x14ac:dyDescent="0.3">
      <c r="A166" s="16" t="str">
        <f t="shared" si="4"/>
        <v/>
      </c>
      <c r="B166" s="28"/>
      <c r="C166" s="29"/>
      <c r="D166" s="16"/>
      <c r="E166" s="16"/>
      <c r="F166" s="16"/>
      <c r="G166" s="16"/>
      <c r="H166" s="16"/>
      <c r="I166" s="31"/>
      <c r="J166" s="15"/>
      <c r="K166" s="15"/>
      <c r="L166" s="15"/>
      <c r="M166" s="16"/>
      <c r="N166" s="17"/>
      <c r="O166" s="19" t="str">
        <f t="shared" si="0"/>
        <v/>
      </c>
      <c r="P166" s="17"/>
      <c r="Q166" s="17" t="str">
        <f t="shared" ca="1" si="1"/>
        <v/>
      </c>
      <c r="R166" s="21" t="str">
        <f ca="1">IF($Q166="","",IF($Q166&lt;=Settings!$B$8,Settings!$C$8,IF($Q166&lt;=Settings!$B$9,Settings!$C$9,IF($Q166&lt;=Settings!$B$10,Settings!$C$10,IF($Q166&lt;=Settings!$B$11,Settings!$C$11,Settings!$C$12)))))</f>
        <v/>
      </c>
      <c r="S166" s="21" t="str">
        <f>IF($F166="","",IFERROR(VLOOKUP($F166,Settings!$E$8:$F$11,2,FALSE),0))</f>
        <v/>
      </c>
      <c r="T166" s="21">
        <f>IF($G166="",Settings!$B$16,1)</f>
        <v>1</v>
      </c>
      <c r="U166" s="21" t="str">
        <f t="shared" si="2"/>
        <v/>
      </c>
      <c r="V166" s="32" t="str">
        <f>IF($C166="","",IF($Q166&gt;Settings!$B$4,IF($G166="","|","")&amp;"OLD_7D","")&amp;IF($Q166&gt;Settings!$B$5,IF(OR($G166="", $Q166&gt;Settings!$B$4),"|","")&amp;"OLD_30D",""))</f>
        <v/>
      </c>
      <c r="W166" s="21" t="str">
        <f>IF(OR($C166="", $M166&lt;&gt;"APPROVED",$I166="", $U166=0),"",SUMIFS($U$3:$U$502,$H$3:$H$502,$H166,$M$3:$M$502,"APPROVED",$Q$3:$Q$502,"&lt;="&amp;Settings!$B$4,$I$3:$I$502,"&lt;="&amp;$I166))</f>
        <v/>
      </c>
      <c r="X166" s="21" t="str">
        <f>IF(OR($C166="", $M166&lt;&gt;"APPROVED",$I166="", $U166=0),"",SUMIFS($U$3:$U$502,$H$3:$H$502,$H166,$M$3:$M$502,"APPROVED",$Q$3:$Q$502,"&lt;="&amp;Settings!$B$5,$I$3:$I$502,"&lt;="&amp;$I166))</f>
        <v/>
      </c>
      <c r="Y166" s="21" t="str">
        <f>IF($P166="","",IFERROR(MATCH($P166,Lists!$H$2:$H$4,0),""))</f>
        <v/>
      </c>
      <c r="Z166" s="21" t="str">
        <f t="shared" si="3"/>
        <v/>
      </c>
    </row>
    <row r="167" spans="1:26" ht="15.75" customHeight="1" x14ac:dyDescent="0.3">
      <c r="A167" s="16" t="str">
        <f t="shared" si="4"/>
        <v/>
      </c>
      <c r="B167" s="28"/>
      <c r="C167" s="29"/>
      <c r="D167" s="16"/>
      <c r="E167" s="16"/>
      <c r="F167" s="16"/>
      <c r="G167" s="16"/>
      <c r="H167" s="16"/>
      <c r="I167" s="31"/>
      <c r="J167" s="15"/>
      <c r="K167" s="15"/>
      <c r="L167" s="15"/>
      <c r="M167" s="16"/>
      <c r="N167" s="17"/>
      <c r="O167" s="19" t="str">
        <f t="shared" si="0"/>
        <v/>
      </c>
      <c r="P167" s="17"/>
      <c r="Q167" s="17" t="str">
        <f t="shared" ca="1" si="1"/>
        <v/>
      </c>
      <c r="R167" s="21" t="str">
        <f ca="1">IF($Q167="","",IF($Q167&lt;=Settings!$B$8,Settings!$C$8,IF($Q167&lt;=Settings!$B$9,Settings!$C$9,IF($Q167&lt;=Settings!$B$10,Settings!$C$10,IF($Q167&lt;=Settings!$B$11,Settings!$C$11,Settings!$C$12)))))</f>
        <v/>
      </c>
      <c r="S167" s="21" t="str">
        <f>IF($F167="","",IFERROR(VLOOKUP($F167,Settings!$E$8:$F$11,2,FALSE),0))</f>
        <v/>
      </c>
      <c r="T167" s="21">
        <f>IF($G167="",Settings!$B$16,1)</f>
        <v>1</v>
      </c>
      <c r="U167" s="21" t="str">
        <f t="shared" si="2"/>
        <v/>
      </c>
      <c r="V167" s="32" t="str">
        <f>IF($C167="","",IF($Q167&gt;Settings!$B$4,IF($G167="","|","")&amp;"OLD_7D","")&amp;IF($Q167&gt;Settings!$B$5,IF(OR($G167="", $Q167&gt;Settings!$B$4),"|","")&amp;"OLD_30D",""))</f>
        <v/>
      </c>
      <c r="W167" s="21" t="str">
        <f>IF(OR($C167="", $M167&lt;&gt;"APPROVED",$I167="", $U167=0),"",SUMIFS($U$3:$U$502,$H$3:$H$502,$H167,$M$3:$M$502,"APPROVED",$Q$3:$Q$502,"&lt;="&amp;Settings!$B$4,$I$3:$I$502,"&lt;="&amp;$I167))</f>
        <v/>
      </c>
      <c r="X167" s="21" t="str">
        <f>IF(OR($C167="", $M167&lt;&gt;"APPROVED",$I167="", $U167=0),"",SUMIFS($U$3:$U$502,$H$3:$H$502,$H167,$M$3:$M$502,"APPROVED",$Q$3:$Q$502,"&lt;="&amp;Settings!$B$5,$I$3:$I$502,"&lt;="&amp;$I167))</f>
        <v/>
      </c>
      <c r="Y167" s="21" t="str">
        <f>IF($P167="","",IFERROR(MATCH($P167,Lists!$H$2:$H$4,0),""))</f>
        <v/>
      </c>
      <c r="Z167" s="21" t="str">
        <f t="shared" si="3"/>
        <v/>
      </c>
    </row>
    <row r="168" spans="1:26" ht="15.75" customHeight="1" x14ac:dyDescent="0.3">
      <c r="A168" s="16" t="str">
        <f t="shared" si="4"/>
        <v/>
      </c>
      <c r="B168" s="28"/>
      <c r="C168" s="29"/>
      <c r="D168" s="16"/>
      <c r="E168" s="16"/>
      <c r="F168" s="16"/>
      <c r="G168" s="16"/>
      <c r="H168" s="16"/>
      <c r="I168" s="31"/>
      <c r="J168" s="15"/>
      <c r="K168" s="15"/>
      <c r="L168" s="15"/>
      <c r="M168" s="16"/>
      <c r="N168" s="17"/>
      <c r="O168" s="19" t="str">
        <f t="shared" si="0"/>
        <v/>
      </c>
      <c r="P168" s="17"/>
      <c r="Q168" s="17" t="str">
        <f t="shared" ca="1" si="1"/>
        <v/>
      </c>
      <c r="R168" s="21" t="str">
        <f ca="1">IF($Q168="","",IF($Q168&lt;=Settings!$B$8,Settings!$C$8,IF($Q168&lt;=Settings!$B$9,Settings!$C$9,IF($Q168&lt;=Settings!$B$10,Settings!$C$10,IF($Q168&lt;=Settings!$B$11,Settings!$C$11,Settings!$C$12)))))</f>
        <v/>
      </c>
      <c r="S168" s="21" t="str">
        <f>IF($F168="","",IFERROR(VLOOKUP($F168,Settings!$E$8:$F$11,2,FALSE),0))</f>
        <v/>
      </c>
      <c r="T168" s="21">
        <f>IF($G168="",Settings!$B$16,1)</f>
        <v>1</v>
      </c>
      <c r="U168" s="21" t="str">
        <f t="shared" si="2"/>
        <v/>
      </c>
      <c r="V168" s="32" t="str">
        <f>IF($C168="","",IF($Q168&gt;Settings!$B$4,IF($G168="","|","")&amp;"OLD_7D","")&amp;IF($Q168&gt;Settings!$B$5,IF(OR($G168="", $Q168&gt;Settings!$B$4),"|","")&amp;"OLD_30D",""))</f>
        <v/>
      </c>
      <c r="W168" s="21" t="str">
        <f>IF(OR($C168="", $M168&lt;&gt;"APPROVED",$I168="", $U168=0),"",SUMIFS($U$3:$U$502,$H$3:$H$502,$H168,$M$3:$M$502,"APPROVED",$Q$3:$Q$502,"&lt;="&amp;Settings!$B$4,$I$3:$I$502,"&lt;="&amp;$I168))</f>
        <v/>
      </c>
      <c r="X168" s="21" t="str">
        <f>IF(OR($C168="", $M168&lt;&gt;"APPROVED",$I168="", $U168=0),"",SUMIFS($U$3:$U$502,$H$3:$H$502,$H168,$M$3:$M$502,"APPROVED",$Q$3:$Q$502,"&lt;="&amp;Settings!$B$5,$I$3:$I$502,"&lt;="&amp;$I168))</f>
        <v/>
      </c>
      <c r="Y168" s="21" t="str">
        <f>IF($P168="","",IFERROR(MATCH($P168,Lists!$H$2:$H$4,0),""))</f>
        <v/>
      </c>
      <c r="Z168" s="21" t="str">
        <f t="shared" si="3"/>
        <v/>
      </c>
    </row>
    <row r="169" spans="1:26" ht="15.75" customHeight="1" x14ac:dyDescent="0.3">
      <c r="A169" s="16" t="str">
        <f t="shared" si="4"/>
        <v/>
      </c>
      <c r="B169" s="28"/>
      <c r="C169" s="29"/>
      <c r="D169" s="16"/>
      <c r="E169" s="16"/>
      <c r="F169" s="16"/>
      <c r="G169" s="16"/>
      <c r="H169" s="16"/>
      <c r="I169" s="31"/>
      <c r="J169" s="15"/>
      <c r="K169" s="15"/>
      <c r="L169" s="15"/>
      <c r="M169" s="16"/>
      <c r="N169" s="17"/>
      <c r="O169" s="19" t="str">
        <f t="shared" si="0"/>
        <v/>
      </c>
      <c r="P169" s="17"/>
      <c r="Q169" s="17" t="str">
        <f t="shared" ca="1" si="1"/>
        <v/>
      </c>
      <c r="R169" s="21" t="str">
        <f ca="1">IF($Q169="","",IF($Q169&lt;=Settings!$B$8,Settings!$C$8,IF($Q169&lt;=Settings!$B$9,Settings!$C$9,IF($Q169&lt;=Settings!$B$10,Settings!$C$10,IF($Q169&lt;=Settings!$B$11,Settings!$C$11,Settings!$C$12)))))</f>
        <v/>
      </c>
      <c r="S169" s="21" t="str">
        <f>IF($F169="","",IFERROR(VLOOKUP($F169,Settings!$E$8:$F$11,2,FALSE),0))</f>
        <v/>
      </c>
      <c r="T169" s="21">
        <f>IF($G169="",Settings!$B$16,1)</f>
        <v>1</v>
      </c>
      <c r="U169" s="21" t="str">
        <f t="shared" si="2"/>
        <v/>
      </c>
      <c r="V169" s="32" t="str">
        <f>IF($C169="","",IF($Q169&gt;Settings!$B$4,IF($G169="","|","")&amp;"OLD_7D","")&amp;IF($Q169&gt;Settings!$B$5,IF(OR($G169="", $Q169&gt;Settings!$B$4),"|","")&amp;"OLD_30D",""))</f>
        <v/>
      </c>
      <c r="W169" s="21" t="str">
        <f>IF(OR($C169="", $M169&lt;&gt;"APPROVED",$I169="", $U169=0),"",SUMIFS($U$3:$U$502,$H$3:$H$502,$H169,$M$3:$M$502,"APPROVED",$Q$3:$Q$502,"&lt;="&amp;Settings!$B$4,$I$3:$I$502,"&lt;="&amp;$I169))</f>
        <v/>
      </c>
      <c r="X169" s="21" t="str">
        <f>IF(OR($C169="", $M169&lt;&gt;"APPROVED",$I169="", $U169=0),"",SUMIFS($U$3:$U$502,$H$3:$H$502,$H169,$M$3:$M$502,"APPROVED",$Q$3:$Q$502,"&lt;="&amp;Settings!$B$5,$I$3:$I$502,"&lt;="&amp;$I169))</f>
        <v/>
      </c>
      <c r="Y169" s="21" t="str">
        <f>IF($P169="","",IFERROR(MATCH($P169,Lists!$H$2:$H$4,0),""))</f>
        <v/>
      </c>
      <c r="Z169" s="21" t="str">
        <f t="shared" si="3"/>
        <v/>
      </c>
    </row>
    <row r="170" spans="1:26" ht="15.75" customHeight="1" x14ac:dyDescent="0.3">
      <c r="A170" s="16" t="str">
        <f t="shared" si="4"/>
        <v/>
      </c>
      <c r="B170" s="28"/>
      <c r="C170" s="29"/>
      <c r="D170" s="16"/>
      <c r="E170" s="16"/>
      <c r="F170" s="16"/>
      <c r="G170" s="16"/>
      <c r="H170" s="16"/>
      <c r="I170" s="31"/>
      <c r="J170" s="15"/>
      <c r="K170" s="15"/>
      <c r="L170" s="15"/>
      <c r="M170" s="16"/>
      <c r="N170" s="17"/>
      <c r="O170" s="19" t="str">
        <f t="shared" si="0"/>
        <v/>
      </c>
      <c r="P170" s="17"/>
      <c r="Q170" s="17" t="str">
        <f t="shared" ca="1" si="1"/>
        <v/>
      </c>
      <c r="R170" s="21" t="str">
        <f ca="1">IF($Q170="","",IF($Q170&lt;=Settings!$B$8,Settings!$C$8,IF($Q170&lt;=Settings!$B$9,Settings!$C$9,IF($Q170&lt;=Settings!$B$10,Settings!$C$10,IF($Q170&lt;=Settings!$B$11,Settings!$C$11,Settings!$C$12)))))</f>
        <v/>
      </c>
      <c r="S170" s="21" t="str">
        <f>IF($F170="","",IFERROR(VLOOKUP($F170,Settings!$E$8:$F$11,2,FALSE),0))</f>
        <v/>
      </c>
      <c r="T170" s="21">
        <f>IF($G170="",Settings!$B$16,1)</f>
        <v>1</v>
      </c>
      <c r="U170" s="21" t="str">
        <f t="shared" si="2"/>
        <v/>
      </c>
      <c r="V170" s="32" t="str">
        <f>IF($C170="","",IF($Q170&gt;Settings!$B$4,IF($G170="","|","")&amp;"OLD_7D","")&amp;IF($Q170&gt;Settings!$B$5,IF(OR($G170="", $Q170&gt;Settings!$B$4),"|","")&amp;"OLD_30D",""))</f>
        <v/>
      </c>
      <c r="W170" s="21" t="str">
        <f>IF(OR($C170="", $M170&lt;&gt;"APPROVED",$I170="", $U170=0),"",SUMIFS($U$3:$U$502,$H$3:$H$502,$H170,$M$3:$M$502,"APPROVED",$Q$3:$Q$502,"&lt;="&amp;Settings!$B$4,$I$3:$I$502,"&lt;="&amp;$I170))</f>
        <v/>
      </c>
      <c r="X170" s="21" t="str">
        <f>IF(OR($C170="", $M170&lt;&gt;"APPROVED",$I170="", $U170=0),"",SUMIFS($U$3:$U$502,$H$3:$H$502,$H170,$M$3:$M$502,"APPROVED",$Q$3:$Q$502,"&lt;="&amp;Settings!$B$5,$I$3:$I$502,"&lt;="&amp;$I170))</f>
        <v/>
      </c>
      <c r="Y170" s="21" t="str">
        <f>IF($P170="","",IFERROR(MATCH($P170,Lists!$H$2:$H$4,0),""))</f>
        <v/>
      </c>
      <c r="Z170" s="21" t="str">
        <f t="shared" si="3"/>
        <v/>
      </c>
    </row>
    <row r="171" spans="1:26" ht="15.75" customHeight="1" x14ac:dyDescent="0.3">
      <c r="A171" s="16" t="str">
        <f t="shared" si="4"/>
        <v/>
      </c>
      <c r="B171" s="28"/>
      <c r="C171" s="29"/>
      <c r="D171" s="16"/>
      <c r="E171" s="16"/>
      <c r="F171" s="16"/>
      <c r="G171" s="16"/>
      <c r="H171" s="16"/>
      <c r="I171" s="31"/>
      <c r="J171" s="15"/>
      <c r="K171" s="15"/>
      <c r="L171" s="15"/>
      <c r="M171" s="16"/>
      <c r="N171" s="17"/>
      <c r="O171" s="19" t="str">
        <f t="shared" si="0"/>
        <v/>
      </c>
      <c r="P171" s="17"/>
      <c r="Q171" s="17" t="str">
        <f t="shared" ca="1" si="1"/>
        <v/>
      </c>
      <c r="R171" s="21" t="str">
        <f ca="1">IF($Q171="","",IF($Q171&lt;=Settings!$B$8,Settings!$C$8,IF($Q171&lt;=Settings!$B$9,Settings!$C$9,IF($Q171&lt;=Settings!$B$10,Settings!$C$10,IF($Q171&lt;=Settings!$B$11,Settings!$C$11,Settings!$C$12)))))</f>
        <v/>
      </c>
      <c r="S171" s="21" t="str">
        <f>IF($F171="","",IFERROR(VLOOKUP($F171,Settings!$E$8:$F$11,2,FALSE),0))</f>
        <v/>
      </c>
      <c r="T171" s="21">
        <f>IF($G171="",Settings!$B$16,1)</f>
        <v>1</v>
      </c>
      <c r="U171" s="21" t="str">
        <f t="shared" si="2"/>
        <v/>
      </c>
      <c r="V171" s="32" t="str">
        <f>IF($C171="","",IF($Q171&gt;Settings!$B$4,IF($G171="","|","")&amp;"OLD_7D","")&amp;IF($Q171&gt;Settings!$B$5,IF(OR($G171="", $Q171&gt;Settings!$B$4),"|","")&amp;"OLD_30D",""))</f>
        <v/>
      </c>
      <c r="W171" s="21" t="str">
        <f>IF(OR($C171="", $M171&lt;&gt;"APPROVED",$I171="", $U171=0),"",SUMIFS($U$3:$U$502,$H$3:$H$502,$H171,$M$3:$M$502,"APPROVED",$Q$3:$Q$502,"&lt;="&amp;Settings!$B$4,$I$3:$I$502,"&lt;="&amp;$I171))</f>
        <v/>
      </c>
      <c r="X171" s="21" t="str">
        <f>IF(OR($C171="", $M171&lt;&gt;"APPROVED",$I171="", $U171=0),"",SUMIFS($U$3:$U$502,$H$3:$H$502,$H171,$M$3:$M$502,"APPROVED",$Q$3:$Q$502,"&lt;="&amp;Settings!$B$5,$I$3:$I$502,"&lt;="&amp;$I171))</f>
        <v/>
      </c>
      <c r="Y171" s="21" t="str">
        <f>IF($P171="","",IFERROR(MATCH($P171,Lists!$H$2:$H$4,0),""))</f>
        <v/>
      </c>
      <c r="Z171" s="21" t="str">
        <f t="shared" si="3"/>
        <v/>
      </c>
    </row>
    <row r="172" spans="1:26" ht="15.75" customHeight="1" x14ac:dyDescent="0.3">
      <c r="A172" s="16" t="str">
        <f t="shared" si="4"/>
        <v/>
      </c>
      <c r="B172" s="28"/>
      <c r="C172" s="29"/>
      <c r="D172" s="16"/>
      <c r="E172" s="16"/>
      <c r="F172" s="16"/>
      <c r="G172" s="16"/>
      <c r="H172" s="16"/>
      <c r="I172" s="31"/>
      <c r="J172" s="15"/>
      <c r="K172" s="15"/>
      <c r="L172" s="15"/>
      <c r="M172" s="16"/>
      <c r="N172" s="17"/>
      <c r="O172" s="19" t="str">
        <f t="shared" si="0"/>
        <v/>
      </c>
      <c r="P172" s="17"/>
      <c r="Q172" s="17" t="str">
        <f t="shared" ca="1" si="1"/>
        <v/>
      </c>
      <c r="R172" s="21" t="str">
        <f ca="1">IF($Q172="","",IF($Q172&lt;=Settings!$B$8,Settings!$C$8,IF($Q172&lt;=Settings!$B$9,Settings!$C$9,IF($Q172&lt;=Settings!$B$10,Settings!$C$10,IF($Q172&lt;=Settings!$B$11,Settings!$C$11,Settings!$C$12)))))</f>
        <v/>
      </c>
      <c r="S172" s="21" t="str">
        <f>IF($F172="","",IFERROR(VLOOKUP($F172,Settings!$E$8:$F$11,2,FALSE),0))</f>
        <v/>
      </c>
      <c r="T172" s="21">
        <f>IF($G172="",Settings!$B$16,1)</f>
        <v>1</v>
      </c>
      <c r="U172" s="21" t="str">
        <f t="shared" si="2"/>
        <v/>
      </c>
      <c r="V172" s="32" t="str">
        <f>IF($C172="","",IF($Q172&gt;Settings!$B$4,IF($G172="","|","")&amp;"OLD_7D","")&amp;IF($Q172&gt;Settings!$B$5,IF(OR($G172="", $Q172&gt;Settings!$B$4),"|","")&amp;"OLD_30D",""))</f>
        <v/>
      </c>
      <c r="W172" s="21" t="str">
        <f>IF(OR($C172="", $M172&lt;&gt;"APPROVED",$I172="", $U172=0),"",SUMIFS($U$3:$U$502,$H$3:$H$502,$H172,$M$3:$M$502,"APPROVED",$Q$3:$Q$502,"&lt;="&amp;Settings!$B$4,$I$3:$I$502,"&lt;="&amp;$I172))</f>
        <v/>
      </c>
      <c r="X172" s="21" t="str">
        <f>IF(OR($C172="", $M172&lt;&gt;"APPROVED",$I172="", $U172=0),"",SUMIFS($U$3:$U$502,$H$3:$H$502,$H172,$M$3:$M$502,"APPROVED",$Q$3:$Q$502,"&lt;="&amp;Settings!$B$5,$I$3:$I$502,"&lt;="&amp;$I172))</f>
        <v/>
      </c>
      <c r="Y172" s="21" t="str">
        <f>IF($P172="","",IFERROR(MATCH($P172,Lists!$H$2:$H$4,0),""))</f>
        <v/>
      </c>
      <c r="Z172" s="21" t="str">
        <f t="shared" si="3"/>
        <v/>
      </c>
    </row>
    <row r="173" spans="1:26" ht="15.75" customHeight="1" x14ac:dyDescent="0.3">
      <c r="A173" s="16" t="str">
        <f t="shared" si="4"/>
        <v/>
      </c>
      <c r="B173" s="28"/>
      <c r="C173" s="29"/>
      <c r="D173" s="16"/>
      <c r="E173" s="16"/>
      <c r="F173" s="16"/>
      <c r="G173" s="16"/>
      <c r="H173" s="16"/>
      <c r="I173" s="31"/>
      <c r="J173" s="15"/>
      <c r="K173" s="15"/>
      <c r="L173" s="15"/>
      <c r="M173" s="16"/>
      <c r="N173" s="17"/>
      <c r="O173" s="19" t="str">
        <f t="shared" si="0"/>
        <v/>
      </c>
      <c r="P173" s="17"/>
      <c r="Q173" s="17" t="str">
        <f t="shared" ca="1" si="1"/>
        <v/>
      </c>
      <c r="R173" s="21" t="str">
        <f ca="1">IF($Q173="","",IF($Q173&lt;=Settings!$B$8,Settings!$C$8,IF($Q173&lt;=Settings!$B$9,Settings!$C$9,IF($Q173&lt;=Settings!$B$10,Settings!$C$10,IF($Q173&lt;=Settings!$B$11,Settings!$C$11,Settings!$C$12)))))</f>
        <v/>
      </c>
      <c r="S173" s="21" t="str">
        <f>IF($F173="","",IFERROR(VLOOKUP($F173,Settings!$E$8:$F$11,2,FALSE),0))</f>
        <v/>
      </c>
      <c r="T173" s="21">
        <f>IF($G173="",Settings!$B$16,1)</f>
        <v>1</v>
      </c>
      <c r="U173" s="21" t="str">
        <f t="shared" si="2"/>
        <v/>
      </c>
      <c r="V173" s="32" t="str">
        <f>IF($C173="","",IF($Q173&gt;Settings!$B$4,IF($G173="","|","")&amp;"OLD_7D","")&amp;IF($Q173&gt;Settings!$B$5,IF(OR($G173="", $Q173&gt;Settings!$B$4),"|","")&amp;"OLD_30D",""))</f>
        <v/>
      </c>
      <c r="W173" s="21" t="str">
        <f>IF(OR($C173="", $M173&lt;&gt;"APPROVED",$I173="", $U173=0),"",SUMIFS($U$3:$U$502,$H$3:$H$502,$H173,$M$3:$M$502,"APPROVED",$Q$3:$Q$502,"&lt;="&amp;Settings!$B$4,$I$3:$I$502,"&lt;="&amp;$I173))</f>
        <v/>
      </c>
      <c r="X173" s="21" t="str">
        <f>IF(OR($C173="", $M173&lt;&gt;"APPROVED",$I173="", $U173=0),"",SUMIFS($U$3:$U$502,$H$3:$H$502,$H173,$M$3:$M$502,"APPROVED",$Q$3:$Q$502,"&lt;="&amp;Settings!$B$5,$I$3:$I$502,"&lt;="&amp;$I173))</f>
        <v/>
      </c>
      <c r="Y173" s="21" t="str">
        <f>IF($P173="","",IFERROR(MATCH($P173,Lists!$H$2:$H$4,0),""))</f>
        <v/>
      </c>
      <c r="Z173" s="21" t="str">
        <f t="shared" si="3"/>
        <v/>
      </c>
    </row>
    <row r="174" spans="1:26" ht="15.75" customHeight="1" x14ac:dyDescent="0.3">
      <c r="A174" s="16" t="str">
        <f t="shared" si="4"/>
        <v/>
      </c>
      <c r="B174" s="28"/>
      <c r="C174" s="29"/>
      <c r="D174" s="16"/>
      <c r="E174" s="16"/>
      <c r="F174" s="16"/>
      <c r="G174" s="16"/>
      <c r="H174" s="16"/>
      <c r="I174" s="31"/>
      <c r="J174" s="15"/>
      <c r="K174" s="15"/>
      <c r="L174" s="15"/>
      <c r="M174" s="16"/>
      <c r="N174" s="17"/>
      <c r="O174" s="19" t="str">
        <f t="shared" si="0"/>
        <v/>
      </c>
      <c r="P174" s="17"/>
      <c r="Q174" s="17" t="str">
        <f t="shared" ca="1" si="1"/>
        <v/>
      </c>
      <c r="R174" s="21" t="str">
        <f ca="1">IF($Q174="","",IF($Q174&lt;=Settings!$B$8,Settings!$C$8,IF($Q174&lt;=Settings!$B$9,Settings!$C$9,IF($Q174&lt;=Settings!$B$10,Settings!$C$10,IF($Q174&lt;=Settings!$B$11,Settings!$C$11,Settings!$C$12)))))</f>
        <v/>
      </c>
      <c r="S174" s="21" t="str">
        <f>IF($F174="","",IFERROR(VLOOKUP($F174,Settings!$E$8:$F$11,2,FALSE),0))</f>
        <v/>
      </c>
      <c r="T174" s="21">
        <f>IF($G174="",Settings!$B$16,1)</f>
        <v>1</v>
      </c>
      <c r="U174" s="21" t="str">
        <f t="shared" si="2"/>
        <v/>
      </c>
      <c r="V174" s="32" t="str">
        <f>IF($C174="","",IF($Q174&gt;Settings!$B$4,IF($G174="","|","")&amp;"OLD_7D","")&amp;IF($Q174&gt;Settings!$B$5,IF(OR($G174="", $Q174&gt;Settings!$B$4),"|","")&amp;"OLD_30D",""))</f>
        <v/>
      </c>
      <c r="W174" s="21" t="str">
        <f>IF(OR($C174="", $M174&lt;&gt;"APPROVED",$I174="", $U174=0),"",SUMIFS($U$3:$U$502,$H$3:$H$502,$H174,$M$3:$M$502,"APPROVED",$Q$3:$Q$502,"&lt;="&amp;Settings!$B$4,$I$3:$I$502,"&lt;="&amp;$I174))</f>
        <v/>
      </c>
      <c r="X174" s="21" t="str">
        <f>IF(OR($C174="", $M174&lt;&gt;"APPROVED",$I174="", $U174=0),"",SUMIFS($U$3:$U$502,$H$3:$H$502,$H174,$M$3:$M$502,"APPROVED",$Q$3:$Q$502,"&lt;="&amp;Settings!$B$5,$I$3:$I$502,"&lt;="&amp;$I174))</f>
        <v/>
      </c>
      <c r="Y174" s="21" t="str">
        <f>IF($P174="","",IFERROR(MATCH($P174,Lists!$H$2:$H$4,0),""))</f>
        <v/>
      </c>
      <c r="Z174" s="21" t="str">
        <f t="shared" si="3"/>
        <v/>
      </c>
    </row>
    <row r="175" spans="1:26" ht="15.75" customHeight="1" x14ac:dyDescent="0.3">
      <c r="A175" s="16" t="str">
        <f t="shared" si="4"/>
        <v/>
      </c>
      <c r="B175" s="28"/>
      <c r="C175" s="29"/>
      <c r="D175" s="16"/>
      <c r="E175" s="16"/>
      <c r="F175" s="16"/>
      <c r="G175" s="16"/>
      <c r="H175" s="16"/>
      <c r="I175" s="31"/>
      <c r="J175" s="15"/>
      <c r="K175" s="15"/>
      <c r="L175" s="15"/>
      <c r="M175" s="16"/>
      <c r="N175" s="17"/>
      <c r="O175" s="19" t="str">
        <f t="shared" si="0"/>
        <v/>
      </c>
      <c r="P175" s="17"/>
      <c r="Q175" s="17" t="str">
        <f t="shared" ca="1" si="1"/>
        <v/>
      </c>
      <c r="R175" s="21" t="str">
        <f ca="1">IF($Q175="","",IF($Q175&lt;=Settings!$B$8,Settings!$C$8,IF($Q175&lt;=Settings!$B$9,Settings!$C$9,IF($Q175&lt;=Settings!$B$10,Settings!$C$10,IF($Q175&lt;=Settings!$B$11,Settings!$C$11,Settings!$C$12)))))</f>
        <v/>
      </c>
      <c r="S175" s="21" t="str">
        <f>IF($F175="","",IFERROR(VLOOKUP($F175,Settings!$E$8:$F$11,2,FALSE),0))</f>
        <v/>
      </c>
      <c r="T175" s="21">
        <f>IF($G175="",Settings!$B$16,1)</f>
        <v>1</v>
      </c>
      <c r="U175" s="21" t="str">
        <f t="shared" si="2"/>
        <v/>
      </c>
      <c r="V175" s="32" t="str">
        <f>IF($C175="","",IF($Q175&gt;Settings!$B$4,IF($G175="","|","")&amp;"OLD_7D","")&amp;IF($Q175&gt;Settings!$B$5,IF(OR($G175="", $Q175&gt;Settings!$B$4),"|","")&amp;"OLD_30D",""))</f>
        <v/>
      </c>
      <c r="W175" s="21" t="str">
        <f>IF(OR($C175="", $M175&lt;&gt;"APPROVED",$I175="", $U175=0),"",SUMIFS($U$3:$U$502,$H$3:$H$502,$H175,$M$3:$M$502,"APPROVED",$Q$3:$Q$502,"&lt;="&amp;Settings!$B$4,$I$3:$I$502,"&lt;="&amp;$I175))</f>
        <v/>
      </c>
      <c r="X175" s="21" t="str">
        <f>IF(OR($C175="", $M175&lt;&gt;"APPROVED",$I175="", $U175=0),"",SUMIFS($U$3:$U$502,$H$3:$H$502,$H175,$M$3:$M$502,"APPROVED",$Q$3:$Q$502,"&lt;="&amp;Settings!$B$5,$I$3:$I$502,"&lt;="&amp;$I175))</f>
        <v/>
      </c>
      <c r="Y175" s="21" t="str">
        <f>IF($P175="","",IFERROR(MATCH($P175,Lists!$H$2:$H$4,0),""))</f>
        <v/>
      </c>
      <c r="Z175" s="21" t="str">
        <f t="shared" si="3"/>
        <v/>
      </c>
    </row>
    <row r="176" spans="1:26" ht="15.75" customHeight="1" x14ac:dyDescent="0.3">
      <c r="A176" s="16" t="str">
        <f t="shared" si="4"/>
        <v/>
      </c>
      <c r="B176" s="28"/>
      <c r="C176" s="29"/>
      <c r="D176" s="16"/>
      <c r="E176" s="16"/>
      <c r="F176" s="16"/>
      <c r="G176" s="16"/>
      <c r="H176" s="16"/>
      <c r="I176" s="31"/>
      <c r="J176" s="15"/>
      <c r="K176" s="15"/>
      <c r="L176" s="15"/>
      <c r="M176" s="16"/>
      <c r="N176" s="17"/>
      <c r="O176" s="19" t="str">
        <f t="shared" si="0"/>
        <v/>
      </c>
      <c r="P176" s="17"/>
      <c r="Q176" s="17" t="str">
        <f t="shared" ca="1" si="1"/>
        <v/>
      </c>
      <c r="R176" s="21" t="str">
        <f ca="1">IF($Q176="","",IF($Q176&lt;=Settings!$B$8,Settings!$C$8,IF($Q176&lt;=Settings!$B$9,Settings!$C$9,IF($Q176&lt;=Settings!$B$10,Settings!$C$10,IF($Q176&lt;=Settings!$B$11,Settings!$C$11,Settings!$C$12)))))</f>
        <v/>
      </c>
      <c r="S176" s="21" t="str">
        <f>IF($F176="","",IFERROR(VLOOKUP($F176,Settings!$E$8:$F$11,2,FALSE),0))</f>
        <v/>
      </c>
      <c r="T176" s="21">
        <f>IF($G176="",Settings!$B$16,1)</f>
        <v>1</v>
      </c>
      <c r="U176" s="21" t="str">
        <f t="shared" si="2"/>
        <v/>
      </c>
      <c r="V176" s="32" t="str">
        <f>IF($C176="","",IF($Q176&gt;Settings!$B$4,IF($G176="","|","")&amp;"OLD_7D","")&amp;IF($Q176&gt;Settings!$B$5,IF(OR($G176="", $Q176&gt;Settings!$B$4),"|","")&amp;"OLD_30D",""))</f>
        <v/>
      </c>
      <c r="W176" s="21" t="str">
        <f>IF(OR($C176="", $M176&lt;&gt;"APPROVED",$I176="", $U176=0),"",SUMIFS($U$3:$U$502,$H$3:$H$502,$H176,$M$3:$M$502,"APPROVED",$Q$3:$Q$502,"&lt;="&amp;Settings!$B$4,$I$3:$I$502,"&lt;="&amp;$I176))</f>
        <v/>
      </c>
      <c r="X176" s="21" t="str">
        <f>IF(OR($C176="", $M176&lt;&gt;"APPROVED",$I176="", $U176=0),"",SUMIFS($U$3:$U$502,$H$3:$H$502,$H176,$M$3:$M$502,"APPROVED",$Q$3:$Q$502,"&lt;="&amp;Settings!$B$5,$I$3:$I$502,"&lt;="&amp;$I176))</f>
        <v/>
      </c>
      <c r="Y176" s="21" t="str">
        <f>IF($P176="","",IFERROR(MATCH($P176,Lists!$H$2:$H$4,0),""))</f>
        <v/>
      </c>
      <c r="Z176" s="21" t="str">
        <f t="shared" si="3"/>
        <v/>
      </c>
    </row>
    <row r="177" spans="1:26" ht="15.75" customHeight="1" x14ac:dyDescent="0.3">
      <c r="A177" s="16" t="str">
        <f t="shared" si="4"/>
        <v/>
      </c>
      <c r="B177" s="28"/>
      <c r="C177" s="29"/>
      <c r="D177" s="16"/>
      <c r="E177" s="16"/>
      <c r="F177" s="16"/>
      <c r="G177" s="16"/>
      <c r="H177" s="16"/>
      <c r="I177" s="31"/>
      <c r="J177" s="15"/>
      <c r="K177" s="15"/>
      <c r="L177" s="15"/>
      <c r="M177" s="16"/>
      <c r="N177" s="17"/>
      <c r="O177" s="19" t="str">
        <f t="shared" si="0"/>
        <v/>
      </c>
      <c r="P177" s="17"/>
      <c r="Q177" s="17" t="str">
        <f t="shared" ca="1" si="1"/>
        <v/>
      </c>
      <c r="R177" s="21" t="str">
        <f ca="1">IF($Q177="","",IF($Q177&lt;=Settings!$B$8,Settings!$C$8,IF($Q177&lt;=Settings!$B$9,Settings!$C$9,IF($Q177&lt;=Settings!$B$10,Settings!$C$10,IF($Q177&lt;=Settings!$B$11,Settings!$C$11,Settings!$C$12)))))</f>
        <v/>
      </c>
      <c r="S177" s="21" t="str">
        <f>IF($F177="","",IFERROR(VLOOKUP($F177,Settings!$E$8:$F$11,2,FALSE),0))</f>
        <v/>
      </c>
      <c r="T177" s="21">
        <f>IF($G177="",Settings!$B$16,1)</f>
        <v>1</v>
      </c>
      <c r="U177" s="21" t="str">
        <f t="shared" si="2"/>
        <v/>
      </c>
      <c r="V177" s="32" t="str">
        <f>IF($C177="","",IF($Q177&gt;Settings!$B$4,IF($G177="","|","")&amp;"OLD_7D","")&amp;IF($Q177&gt;Settings!$B$5,IF(OR($G177="", $Q177&gt;Settings!$B$4),"|","")&amp;"OLD_30D",""))</f>
        <v/>
      </c>
      <c r="W177" s="21" t="str">
        <f>IF(OR($C177="", $M177&lt;&gt;"APPROVED",$I177="", $U177=0),"",SUMIFS($U$3:$U$502,$H$3:$H$502,$H177,$M$3:$M$502,"APPROVED",$Q$3:$Q$502,"&lt;="&amp;Settings!$B$4,$I$3:$I$502,"&lt;="&amp;$I177))</f>
        <v/>
      </c>
      <c r="X177" s="21" t="str">
        <f>IF(OR($C177="", $M177&lt;&gt;"APPROVED",$I177="", $U177=0),"",SUMIFS($U$3:$U$502,$H$3:$H$502,$H177,$M$3:$M$502,"APPROVED",$Q$3:$Q$502,"&lt;="&amp;Settings!$B$5,$I$3:$I$502,"&lt;="&amp;$I177))</f>
        <v/>
      </c>
      <c r="Y177" s="21" t="str">
        <f>IF($P177="","",IFERROR(MATCH($P177,Lists!$H$2:$H$4,0),""))</f>
        <v/>
      </c>
      <c r="Z177" s="21" t="str">
        <f t="shared" si="3"/>
        <v/>
      </c>
    </row>
    <row r="178" spans="1:26" ht="15.75" customHeight="1" x14ac:dyDescent="0.3">
      <c r="A178" s="16" t="str">
        <f t="shared" si="4"/>
        <v/>
      </c>
      <c r="B178" s="28"/>
      <c r="C178" s="29"/>
      <c r="D178" s="16"/>
      <c r="E178" s="16"/>
      <c r="F178" s="16"/>
      <c r="G178" s="16"/>
      <c r="H178" s="16"/>
      <c r="I178" s="31"/>
      <c r="J178" s="15"/>
      <c r="K178" s="15"/>
      <c r="L178" s="15"/>
      <c r="M178" s="16"/>
      <c r="N178" s="17"/>
      <c r="O178" s="19" t="str">
        <f t="shared" si="0"/>
        <v/>
      </c>
      <c r="P178" s="17"/>
      <c r="Q178" s="17" t="str">
        <f t="shared" ca="1" si="1"/>
        <v/>
      </c>
      <c r="R178" s="21" t="str">
        <f ca="1">IF($Q178="","",IF($Q178&lt;=Settings!$B$8,Settings!$C$8,IF($Q178&lt;=Settings!$B$9,Settings!$C$9,IF($Q178&lt;=Settings!$B$10,Settings!$C$10,IF($Q178&lt;=Settings!$B$11,Settings!$C$11,Settings!$C$12)))))</f>
        <v/>
      </c>
      <c r="S178" s="21" t="str">
        <f>IF($F178="","",IFERROR(VLOOKUP($F178,Settings!$E$8:$F$11,2,FALSE),0))</f>
        <v/>
      </c>
      <c r="T178" s="21">
        <f>IF($G178="",Settings!$B$16,1)</f>
        <v>1</v>
      </c>
      <c r="U178" s="21" t="str">
        <f t="shared" si="2"/>
        <v/>
      </c>
      <c r="V178" s="32" t="str">
        <f>IF($C178="","",IF($Q178&gt;Settings!$B$4,IF($G178="","|","")&amp;"OLD_7D","")&amp;IF($Q178&gt;Settings!$B$5,IF(OR($G178="", $Q178&gt;Settings!$B$4),"|","")&amp;"OLD_30D",""))</f>
        <v/>
      </c>
      <c r="W178" s="21" t="str">
        <f>IF(OR($C178="", $M178&lt;&gt;"APPROVED",$I178="", $U178=0),"",SUMIFS($U$3:$U$502,$H$3:$H$502,$H178,$M$3:$M$502,"APPROVED",$Q$3:$Q$502,"&lt;="&amp;Settings!$B$4,$I$3:$I$502,"&lt;="&amp;$I178))</f>
        <v/>
      </c>
      <c r="X178" s="21" t="str">
        <f>IF(OR($C178="", $M178&lt;&gt;"APPROVED",$I178="", $U178=0),"",SUMIFS($U$3:$U$502,$H$3:$H$502,$H178,$M$3:$M$502,"APPROVED",$Q$3:$Q$502,"&lt;="&amp;Settings!$B$5,$I$3:$I$502,"&lt;="&amp;$I178))</f>
        <v/>
      </c>
      <c r="Y178" s="21" t="str">
        <f>IF($P178="","",IFERROR(MATCH($P178,Lists!$H$2:$H$4,0),""))</f>
        <v/>
      </c>
      <c r="Z178" s="21" t="str">
        <f t="shared" si="3"/>
        <v/>
      </c>
    </row>
    <row r="179" spans="1:26" ht="15.75" customHeight="1" x14ac:dyDescent="0.3">
      <c r="A179" s="16" t="str">
        <f t="shared" si="4"/>
        <v/>
      </c>
      <c r="B179" s="28"/>
      <c r="C179" s="29"/>
      <c r="D179" s="16"/>
      <c r="E179" s="16"/>
      <c r="F179" s="16"/>
      <c r="G179" s="16"/>
      <c r="H179" s="16"/>
      <c r="I179" s="31"/>
      <c r="J179" s="15"/>
      <c r="K179" s="15"/>
      <c r="L179" s="15"/>
      <c r="M179" s="16"/>
      <c r="N179" s="17"/>
      <c r="O179" s="19" t="str">
        <f t="shared" si="0"/>
        <v/>
      </c>
      <c r="P179" s="17"/>
      <c r="Q179" s="17" t="str">
        <f t="shared" ca="1" si="1"/>
        <v/>
      </c>
      <c r="R179" s="21" t="str">
        <f ca="1">IF($Q179="","",IF($Q179&lt;=Settings!$B$8,Settings!$C$8,IF($Q179&lt;=Settings!$B$9,Settings!$C$9,IF($Q179&lt;=Settings!$B$10,Settings!$C$10,IF($Q179&lt;=Settings!$B$11,Settings!$C$11,Settings!$C$12)))))</f>
        <v/>
      </c>
      <c r="S179" s="21" t="str">
        <f>IF($F179="","",IFERROR(VLOOKUP($F179,Settings!$E$8:$F$11,2,FALSE),0))</f>
        <v/>
      </c>
      <c r="T179" s="21">
        <f>IF($G179="",Settings!$B$16,1)</f>
        <v>1</v>
      </c>
      <c r="U179" s="21" t="str">
        <f t="shared" si="2"/>
        <v/>
      </c>
      <c r="V179" s="32" t="str">
        <f>IF($C179="","",IF($Q179&gt;Settings!$B$4,IF($G179="","|","")&amp;"OLD_7D","")&amp;IF($Q179&gt;Settings!$B$5,IF(OR($G179="", $Q179&gt;Settings!$B$4),"|","")&amp;"OLD_30D",""))</f>
        <v/>
      </c>
      <c r="W179" s="21" t="str">
        <f>IF(OR($C179="", $M179&lt;&gt;"APPROVED",$I179="", $U179=0),"",SUMIFS($U$3:$U$502,$H$3:$H$502,$H179,$M$3:$M$502,"APPROVED",$Q$3:$Q$502,"&lt;="&amp;Settings!$B$4,$I$3:$I$502,"&lt;="&amp;$I179))</f>
        <v/>
      </c>
      <c r="X179" s="21" t="str">
        <f>IF(OR($C179="", $M179&lt;&gt;"APPROVED",$I179="", $U179=0),"",SUMIFS($U$3:$U$502,$H$3:$H$502,$H179,$M$3:$M$502,"APPROVED",$Q$3:$Q$502,"&lt;="&amp;Settings!$B$5,$I$3:$I$502,"&lt;="&amp;$I179))</f>
        <v/>
      </c>
      <c r="Y179" s="21" t="str">
        <f>IF($P179="","",IFERROR(MATCH($P179,Lists!$H$2:$H$4,0),""))</f>
        <v/>
      </c>
      <c r="Z179" s="21" t="str">
        <f t="shared" si="3"/>
        <v/>
      </c>
    </row>
    <row r="180" spans="1:26" ht="15.75" customHeight="1" x14ac:dyDescent="0.3">
      <c r="A180" s="16" t="str">
        <f t="shared" si="4"/>
        <v/>
      </c>
      <c r="B180" s="28"/>
      <c r="C180" s="29"/>
      <c r="D180" s="16"/>
      <c r="E180" s="16"/>
      <c r="F180" s="16"/>
      <c r="G180" s="16"/>
      <c r="H180" s="16"/>
      <c r="I180" s="31"/>
      <c r="J180" s="15"/>
      <c r="K180" s="15"/>
      <c r="L180" s="15"/>
      <c r="M180" s="16"/>
      <c r="N180" s="17"/>
      <c r="O180" s="19" t="str">
        <f t="shared" si="0"/>
        <v/>
      </c>
      <c r="P180" s="17"/>
      <c r="Q180" s="17" t="str">
        <f t="shared" ca="1" si="1"/>
        <v/>
      </c>
      <c r="R180" s="21" t="str">
        <f ca="1">IF($Q180="","",IF($Q180&lt;=Settings!$B$8,Settings!$C$8,IF($Q180&lt;=Settings!$B$9,Settings!$C$9,IF($Q180&lt;=Settings!$B$10,Settings!$C$10,IF($Q180&lt;=Settings!$B$11,Settings!$C$11,Settings!$C$12)))))</f>
        <v/>
      </c>
      <c r="S180" s="21" t="str">
        <f>IF($F180="","",IFERROR(VLOOKUP($F180,Settings!$E$8:$F$11,2,FALSE),0))</f>
        <v/>
      </c>
      <c r="T180" s="21">
        <f>IF($G180="",Settings!$B$16,1)</f>
        <v>1</v>
      </c>
      <c r="U180" s="21" t="str">
        <f t="shared" si="2"/>
        <v/>
      </c>
      <c r="V180" s="32" t="str">
        <f>IF($C180="","",IF($Q180&gt;Settings!$B$4,IF($G180="","|","")&amp;"OLD_7D","")&amp;IF($Q180&gt;Settings!$B$5,IF(OR($G180="", $Q180&gt;Settings!$B$4),"|","")&amp;"OLD_30D",""))</f>
        <v/>
      </c>
      <c r="W180" s="21" t="str">
        <f>IF(OR($C180="", $M180&lt;&gt;"APPROVED",$I180="", $U180=0),"",SUMIFS($U$3:$U$502,$H$3:$H$502,$H180,$M$3:$M$502,"APPROVED",$Q$3:$Q$502,"&lt;="&amp;Settings!$B$4,$I$3:$I$502,"&lt;="&amp;$I180))</f>
        <v/>
      </c>
      <c r="X180" s="21" t="str">
        <f>IF(OR($C180="", $M180&lt;&gt;"APPROVED",$I180="", $U180=0),"",SUMIFS($U$3:$U$502,$H$3:$H$502,$H180,$M$3:$M$502,"APPROVED",$Q$3:$Q$502,"&lt;="&amp;Settings!$B$5,$I$3:$I$502,"&lt;="&amp;$I180))</f>
        <v/>
      </c>
      <c r="Y180" s="21" t="str">
        <f>IF($P180="","",IFERROR(MATCH($P180,Lists!$H$2:$H$4,0),""))</f>
        <v/>
      </c>
      <c r="Z180" s="21" t="str">
        <f t="shared" si="3"/>
        <v/>
      </c>
    </row>
    <row r="181" spans="1:26" ht="15.75" customHeight="1" x14ac:dyDescent="0.3">
      <c r="A181" s="16" t="str">
        <f t="shared" si="4"/>
        <v/>
      </c>
      <c r="B181" s="28"/>
      <c r="C181" s="29"/>
      <c r="D181" s="16"/>
      <c r="E181" s="16"/>
      <c r="F181" s="16"/>
      <c r="G181" s="16"/>
      <c r="H181" s="16"/>
      <c r="I181" s="31"/>
      <c r="J181" s="15"/>
      <c r="K181" s="15"/>
      <c r="L181" s="15"/>
      <c r="M181" s="16"/>
      <c r="N181" s="17"/>
      <c r="O181" s="19" t="str">
        <f t="shared" si="0"/>
        <v/>
      </c>
      <c r="P181" s="17"/>
      <c r="Q181" s="17" t="str">
        <f t="shared" ca="1" si="1"/>
        <v/>
      </c>
      <c r="R181" s="21" t="str">
        <f ca="1">IF($Q181="","",IF($Q181&lt;=Settings!$B$8,Settings!$C$8,IF($Q181&lt;=Settings!$B$9,Settings!$C$9,IF($Q181&lt;=Settings!$B$10,Settings!$C$10,IF($Q181&lt;=Settings!$B$11,Settings!$C$11,Settings!$C$12)))))</f>
        <v/>
      </c>
      <c r="S181" s="21" t="str">
        <f>IF($F181="","",IFERROR(VLOOKUP($F181,Settings!$E$8:$F$11,2,FALSE),0))</f>
        <v/>
      </c>
      <c r="T181" s="21">
        <f>IF($G181="",Settings!$B$16,1)</f>
        <v>1</v>
      </c>
      <c r="U181" s="21" t="str">
        <f t="shared" si="2"/>
        <v/>
      </c>
      <c r="V181" s="32" t="str">
        <f>IF($C181="","",IF($Q181&gt;Settings!$B$4,IF($G181="","|","")&amp;"OLD_7D","")&amp;IF($Q181&gt;Settings!$B$5,IF(OR($G181="", $Q181&gt;Settings!$B$4),"|","")&amp;"OLD_30D",""))</f>
        <v/>
      </c>
      <c r="W181" s="21" t="str">
        <f>IF(OR($C181="", $M181&lt;&gt;"APPROVED",$I181="", $U181=0),"",SUMIFS($U$3:$U$502,$H$3:$H$502,$H181,$M$3:$M$502,"APPROVED",$Q$3:$Q$502,"&lt;="&amp;Settings!$B$4,$I$3:$I$502,"&lt;="&amp;$I181))</f>
        <v/>
      </c>
      <c r="X181" s="21" t="str">
        <f>IF(OR($C181="", $M181&lt;&gt;"APPROVED",$I181="", $U181=0),"",SUMIFS($U$3:$U$502,$H$3:$H$502,$H181,$M$3:$M$502,"APPROVED",$Q$3:$Q$502,"&lt;="&amp;Settings!$B$5,$I$3:$I$502,"&lt;="&amp;$I181))</f>
        <v/>
      </c>
      <c r="Y181" s="21" t="str">
        <f>IF($P181="","",IFERROR(MATCH($P181,Lists!$H$2:$H$4,0),""))</f>
        <v/>
      </c>
      <c r="Z181" s="21" t="str">
        <f t="shared" si="3"/>
        <v/>
      </c>
    </row>
    <row r="182" spans="1:26" ht="15.75" customHeight="1" x14ac:dyDescent="0.3">
      <c r="A182" s="16" t="str">
        <f t="shared" si="4"/>
        <v/>
      </c>
      <c r="B182" s="28"/>
      <c r="C182" s="29"/>
      <c r="D182" s="16"/>
      <c r="E182" s="16"/>
      <c r="F182" s="16"/>
      <c r="G182" s="16"/>
      <c r="H182" s="16"/>
      <c r="I182" s="31"/>
      <c r="J182" s="15"/>
      <c r="K182" s="15"/>
      <c r="L182" s="15"/>
      <c r="M182" s="16"/>
      <c r="N182" s="17"/>
      <c r="O182" s="19" t="str">
        <f t="shared" si="0"/>
        <v/>
      </c>
      <c r="P182" s="17"/>
      <c r="Q182" s="17" t="str">
        <f t="shared" ca="1" si="1"/>
        <v/>
      </c>
      <c r="R182" s="21" t="str">
        <f ca="1">IF($Q182="","",IF($Q182&lt;=Settings!$B$8,Settings!$C$8,IF($Q182&lt;=Settings!$B$9,Settings!$C$9,IF($Q182&lt;=Settings!$B$10,Settings!$C$10,IF($Q182&lt;=Settings!$B$11,Settings!$C$11,Settings!$C$12)))))</f>
        <v/>
      </c>
      <c r="S182" s="21" t="str">
        <f>IF($F182="","",IFERROR(VLOOKUP($F182,Settings!$E$8:$F$11,2,FALSE),0))</f>
        <v/>
      </c>
      <c r="T182" s="21">
        <f>IF($G182="",Settings!$B$16,1)</f>
        <v>1</v>
      </c>
      <c r="U182" s="21" t="str">
        <f t="shared" si="2"/>
        <v/>
      </c>
      <c r="V182" s="32" t="str">
        <f>IF($C182="","",IF($Q182&gt;Settings!$B$4,IF($G182="","|","")&amp;"OLD_7D","")&amp;IF($Q182&gt;Settings!$B$5,IF(OR($G182="", $Q182&gt;Settings!$B$4),"|","")&amp;"OLD_30D",""))</f>
        <v/>
      </c>
      <c r="W182" s="21" t="str">
        <f>IF(OR($C182="", $M182&lt;&gt;"APPROVED",$I182="", $U182=0),"",SUMIFS($U$3:$U$502,$H$3:$H$502,$H182,$M$3:$M$502,"APPROVED",$Q$3:$Q$502,"&lt;="&amp;Settings!$B$4,$I$3:$I$502,"&lt;="&amp;$I182))</f>
        <v/>
      </c>
      <c r="X182" s="21" t="str">
        <f>IF(OR($C182="", $M182&lt;&gt;"APPROVED",$I182="", $U182=0),"",SUMIFS($U$3:$U$502,$H$3:$H$502,$H182,$M$3:$M$502,"APPROVED",$Q$3:$Q$502,"&lt;="&amp;Settings!$B$5,$I$3:$I$502,"&lt;="&amp;$I182))</f>
        <v/>
      </c>
      <c r="Y182" s="21" t="str">
        <f>IF($P182="","",IFERROR(MATCH($P182,Lists!$H$2:$H$4,0),""))</f>
        <v/>
      </c>
      <c r="Z182" s="21" t="str">
        <f t="shared" si="3"/>
        <v/>
      </c>
    </row>
    <row r="183" spans="1:26" ht="15.75" customHeight="1" x14ac:dyDescent="0.3">
      <c r="A183" s="16" t="str">
        <f t="shared" si="4"/>
        <v/>
      </c>
      <c r="B183" s="28"/>
      <c r="C183" s="29"/>
      <c r="D183" s="16"/>
      <c r="E183" s="16"/>
      <c r="F183" s="16"/>
      <c r="G183" s="16"/>
      <c r="H183" s="16"/>
      <c r="I183" s="31"/>
      <c r="J183" s="15"/>
      <c r="K183" s="15"/>
      <c r="L183" s="15"/>
      <c r="M183" s="16"/>
      <c r="N183" s="17"/>
      <c r="O183" s="19" t="str">
        <f t="shared" si="0"/>
        <v/>
      </c>
      <c r="P183" s="17"/>
      <c r="Q183" s="17" t="str">
        <f t="shared" ca="1" si="1"/>
        <v/>
      </c>
      <c r="R183" s="21" t="str">
        <f ca="1">IF($Q183="","",IF($Q183&lt;=Settings!$B$8,Settings!$C$8,IF($Q183&lt;=Settings!$B$9,Settings!$C$9,IF($Q183&lt;=Settings!$B$10,Settings!$C$10,IF($Q183&lt;=Settings!$B$11,Settings!$C$11,Settings!$C$12)))))</f>
        <v/>
      </c>
      <c r="S183" s="21" t="str">
        <f>IF($F183="","",IFERROR(VLOOKUP($F183,Settings!$E$8:$F$11,2,FALSE),0))</f>
        <v/>
      </c>
      <c r="T183" s="21">
        <f>IF($G183="",Settings!$B$16,1)</f>
        <v>1</v>
      </c>
      <c r="U183" s="21" t="str">
        <f t="shared" si="2"/>
        <v/>
      </c>
      <c r="V183" s="32" t="str">
        <f>IF($C183="","",IF($Q183&gt;Settings!$B$4,IF($G183="","|","")&amp;"OLD_7D","")&amp;IF($Q183&gt;Settings!$B$5,IF(OR($G183="", $Q183&gt;Settings!$B$4),"|","")&amp;"OLD_30D",""))</f>
        <v/>
      </c>
      <c r="W183" s="21" t="str">
        <f>IF(OR($C183="", $M183&lt;&gt;"APPROVED",$I183="", $U183=0),"",SUMIFS($U$3:$U$502,$H$3:$H$502,$H183,$M$3:$M$502,"APPROVED",$Q$3:$Q$502,"&lt;="&amp;Settings!$B$4,$I$3:$I$502,"&lt;="&amp;$I183))</f>
        <v/>
      </c>
      <c r="X183" s="21" t="str">
        <f>IF(OR($C183="", $M183&lt;&gt;"APPROVED",$I183="", $U183=0),"",SUMIFS($U$3:$U$502,$H$3:$H$502,$H183,$M$3:$M$502,"APPROVED",$Q$3:$Q$502,"&lt;="&amp;Settings!$B$5,$I$3:$I$502,"&lt;="&amp;$I183))</f>
        <v/>
      </c>
      <c r="Y183" s="21" t="str">
        <f>IF($P183="","",IFERROR(MATCH($P183,Lists!$H$2:$H$4,0),""))</f>
        <v/>
      </c>
      <c r="Z183" s="21" t="str">
        <f t="shared" si="3"/>
        <v/>
      </c>
    </row>
    <row r="184" spans="1:26" ht="15.75" customHeight="1" x14ac:dyDescent="0.3">
      <c r="A184" s="16" t="str">
        <f t="shared" si="4"/>
        <v/>
      </c>
      <c r="B184" s="28"/>
      <c r="C184" s="29"/>
      <c r="D184" s="16"/>
      <c r="E184" s="16"/>
      <c r="F184" s="16"/>
      <c r="G184" s="16"/>
      <c r="H184" s="16"/>
      <c r="I184" s="31"/>
      <c r="J184" s="15"/>
      <c r="K184" s="15"/>
      <c r="L184" s="15"/>
      <c r="M184" s="16"/>
      <c r="N184" s="17"/>
      <c r="O184" s="19" t="str">
        <f t="shared" si="0"/>
        <v/>
      </c>
      <c r="P184" s="17"/>
      <c r="Q184" s="17" t="str">
        <f t="shared" ca="1" si="1"/>
        <v/>
      </c>
      <c r="R184" s="21" t="str">
        <f ca="1">IF($Q184="","",IF($Q184&lt;=Settings!$B$8,Settings!$C$8,IF($Q184&lt;=Settings!$B$9,Settings!$C$9,IF($Q184&lt;=Settings!$B$10,Settings!$C$10,IF($Q184&lt;=Settings!$B$11,Settings!$C$11,Settings!$C$12)))))</f>
        <v/>
      </c>
      <c r="S184" s="21" t="str">
        <f>IF($F184="","",IFERROR(VLOOKUP($F184,Settings!$E$8:$F$11,2,FALSE),0))</f>
        <v/>
      </c>
      <c r="T184" s="21">
        <f>IF($G184="",Settings!$B$16,1)</f>
        <v>1</v>
      </c>
      <c r="U184" s="21" t="str">
        <f t="shared" si="2"/>
        <v/>
      </c>
      <c r="V184" s="32" t="str">
        <f>IF($C184="","",IF($Q184&gt;Settings!$B$4,IF($G184="","|","")&amp;"OLD_7D","")&amp;IF($Q184&gt;Settings!$B$5,IF(OR($G184="", $Q184&gt;Settings!$B$4),"|","")&amp;"OLD_30D",""))</f>
        <v/>
      </c>
      <c r="W184" s="21" t="str">
        <f>IF(OR($C184="", $M184&lt;&gt;"APPROVED",$I184="", $U184=0),"",SUMIFS($U$3:$U$502,$H$3:$H$502,$H184,$M$3:$M$502,"APPROVED",$Q$3:$Q$502,"&lt;="&amp;Settings!$B$4,$I$3:$I$502,"&lt;="&amp;$I184))</f>
        <v/>
      </c>
      <c r="X184" s="21" t="str">
        <f>IF(OR($C184="", $M184&lt;&gt;"APPROVED",$I184="", $U184=0),"",SUMIFS($U$3:$U$502,$H$3:$H$502,$H184,$M$3:$M$502,"APPROVED",$Q$3:$Q$502,"&lt;="&amp;Settings!$B$5,$I$3:$I$502,"&lt;="&amp;$I184))</f>
        <v/>
      </c>
      <c r="Y184" s="21" t="str">
        <f>IF($P184="","",IFERROR(MATCH($P184,Lists!$H$2:$H$4,0),""))</f>
        <v/>
      </c>
      <c r="Z184" s="21" t="str">
        <f t="shared" si="3"/>
        <v/>
      </c>
    </row>
    <row r="185" spans="1:26" ht="15.75" customHeight="1" x14ac:dyDescent="0.3">
      <c r="A185" s="16" t="str">
        <f t="shared" si="4"/>
        <v/>
      </c>
      <c r="B185" s="28"/>
      <c r="C185" s="29"/>
      <c r="D185" s="16"/>
      <c r="E185" s="16"/>
      <c r="F185" s="16"/>
      <c r="G185" s="16"/>
      <c r="H185" s="16"/>
      <c r="I185" s="31"/>
      <c r="J185" s="15"/>
      <c r="K185" s="15"/>
      <c r="L185" s="15"/>
      <c r="M185" s="16"/>
      <c r="N185" s="17"/>
      <c r="O185" s="19" t="str">
        <f t="shared" si="0"/>
        <v/>
      </c>
      <c r="P185" s="17"/>
      <c r="Q185" s="17" t="str">
        <f t="shared" ca="1" si="1"/>
        <v/>
      </c>
      <c r="R185" s="21" t="str">
        <f ca="1">IF($Q185="","",IF($Q185&lt;=Settings!$B$8,Settings!$C$8,IF($Q185&lt;=Settings!$B$9,Settings!$C$9,IF($Q185&lt;=Settings!$B$10,Settings!$C$10,IF($Q185&lt;=Settings!$B$11,Settings!$C$11,Settings!$C$12)))))</f>
        <v/>
      </c>
      <c r="S185" s="21" t="str">
        <f>IF($F185="","",IFERROR(VLOOKUP($F185,Settings!$E$8:$F$11,2,FALSE),0))</f>
        <v/>
      </c>
      <c r="T185" s="21">
        <f>IF($G185="",Settings!$B$16,1)</f>
        <v>1</v>
      </c>
      <c r="U185" s="21" t="str">
        <f t="shared" si="2"/>
        <v/>
      </c>
      <c r="V185" s="32" t="str">
        <f>IF($C185="","",IF($Q185&gt;Settings!$B$4,IF($G185="","|","")&amp;"OLD_7D","")&amp;IF($Q185&gt;Settings!$B$5,IF(OR($G185="", $Q185&gt;Settings!$B$4),"|","")&amp;"OLD_30D",""))</f>
        <v/>
      </c>
      <c r="W185" s="21" t="str">
        <f>IF(OR($C185="", $M185&lt;&gt;"APPROVED",$I185="", $U185=0),"",SUMIFS($U$3:$U$502,$H$3:$H$502,$H185,$M$3:$M$502,"APPROVED",$Q$3:$Q$502,"&lt;="&amp;Settings!$B$4,$I$3:$I$502,"&lt;="&amp;$I185))</f>
        <v/>
      </c>
      <c r="X185" s="21" t="str">
        <f>IF(OR($C185="", $M185&lt;&gt;"APPROVED",$I185="", $U185=0),"",SUMIFS($U$3:$U$502,$H$3:$H$502,$H185,$M$3:$M$502,"APPROVED",$Q$3:$Q$502,"&lt;="&amp;Settings!$B$5,$I$3:$I$502,"&lt;="&amp;$I185))</f>
        <v/>
      </c>
      <c r="Y185" s="21" t="str">
        <f>IF($P185="","",IFERROR(MATCH($P185,Lists!$H$2:$H$4,0),""))</f>
        <v/>
      </c>
      <c r="Z185" s="21" t="str">
        <f t="shared" si="3"/>
        <v/>
      </c>
    </row>
    <row r="186" spans="1:26" ht="15.75" customHeight="1" x14ac:dyDescent="0.3">
      <c r="A186" s="16" t="str">
        <f t="shared" si="4"/>
        <v/>
      </c>
      <c r="B186" s="28"/>
      <c r="C186" s="29"/>
      <c r="D186" s="16"/>
      <c r="E186" s="16"/>
      <c r="F186" s="16"/>
      <c r="G186" s="16"/>
      <c r="H186" s="16"/>
      <c r="I186" s="31"/>
      <c r="J186" s="15"/>
      <c r="K186" s="15"/>
      <c r="L186" s="15"/>
      <c r="M186" s="16"/>
      <c r="N186" s="17"/>
      <c r="O186" s="19" t="str">
        <f t="shared" si="0"/>
        <v/>
      </c>
      <c r="P186" s="17"/>
      <c r="Q186" s="17" t="str">
        <f t="shared" ca="1" si="1"/>
        <v/>
      </c>
      <c r="R186" s="21" t="str">
        <f ca="1">IF($Q186="","",IF($Q186&lt;=Settings!$B$8,Settings!$C$8,IF($Q186&lt;=Settings!$B$9,Settings!$C$9,IF($Q186&lt;=Settings!$B$10,Settings!$C$10,IF($Q186&lt;=Settings!$B$11,Settings!$C$11,Settings!$C$12)))))</f>
        <v/>
      </c>
      <c r="S186" s="21" t="str">
        <f>IF($F186="","",IFERROR(VLOOKUP($F186,Settings!$E$8:$F$11,2,FALSE),0))</f>
        <v/>
      </c>
      <c r="T186" s="21">
        <f>IF($G186="",Settings!$B$16,1)</f>
        <v>1</v>
      </c>
      <c r="U186" s="21" t="str">
        <f t="shared" si="2"/>
        <v/>
      </c>
      <c r="V186" s="32" t="str">
        <f>IF($C186="","",IF($Q186&gt;Settings!$B$4,IF($G186="","|","")&amp;"OLD_7D","")&amp;IF($Q186&gt;Settings!$B$5,IF(OR($G186="", $Q186&gt;Settings!$B$4),"|","")&amp;"OLD_30D",""))</f>
        <v/>
      </c>
      <c r="W186" s="21" t="str">
        <f>IF(OR($C186="", $M186&lt;&gt;"APPROVED",$I186="", $U186=0),"",SUMIFS($U$3:$U$502,$H$3:$H$502,$H186,$M$3:$M$502,"APPROVED",$Q$3:$Q$502,"&lt;="&amp;Settings!$B$4,$I$3:$I$502,"&lt;="&amp;$I186))</f>
        <v/>
      </c>
      <c r="X186" s="21" t="str">
        <f>IF(OR($C186="", $M186&lt;&gt;"APPROVED",$I186="", $U186=0),"",SUMIFS($U$3:$U$502,$H$3:$H$502,$H186,$M$3:$M$502,"APPROVED",$Q$3:$Q$502,"&lt;="&amp;Settings!$B$5,$I$3:$I$502,"&lt;="&amp;$I186))</f>
        <v/>
      </c>
      <c r="Y186" s="21" t="str">
        <f>IF($P186="","",IFERROR(MATCH($P186,Lists!$H$2:$H$4,0),""))</f>
        <v/>
      </c>
      <c r="Z186" s="21" t="str">
        <f t="shared" si="3"/>
        <v/>
      </c>
    </row>
    <row r="187" spans="1:26" ht="15.75" customHeight="1" x14ac:dyDescent="0.3">
      <c r="A187" s="16" t="str">
        <f t="shared" si="4"/>
        <v/>
      </c>
      <c r="B187" s="28"/>
      <c r="C187" s="29"/>
      <c r="D187" s="16"/>
      <c r="E187" s="16"/>
      <c r="F187" s="16"/>
      <c r="G187" s="16"/>
      <c r="H187" s="16"/>
      <c r="I187" s="31"/>
      <c r="J187" s="15"/>
      <c r="K187" s="15"/>
      <c r="L187" s="15"/>
      <c r="M187" s="16"/>
      <c r="N187" s="17"/>
      <c r="O187" s="19" t="str">
        <f t="shared" si="0"/>
        <v/>
      </c>
      <c r="P187" s="17"/>
      <c r="Q187" s="17" t="str">
        <f t="shared" ca="1" si="1"/>
        <v/>
      </c>
      <c r="R187" s="21" t="str">
        <f ca="1">IF($Q187="","",IF($Q187&lt;=Settings!$B$8,Settings!$C$8,IF($Q187&lt;=Settings!$B$9,Settings!$C$9,IF($Q187&lt;=Settings!$B$10,Settings!$C$10,IF($Q187&lt;=Settings!$B$11,Settings!$C$11,Settings!$C$12)))))</f>
        <v/>
      </c>
      <c r="S187" s="21" t="str">
        <f>IF($F187="","",IFERROR(VLOOKUP($F187,Settings!$E$8:$F$11,2,FALSE),0))</f>
        <v/>
      </c>
      <c r="T187" s="21">
        <f>IF($G187="",Settings!$B$16,1)</f>
        <v>1</v>
      </c>
      <c r="U187" s="21" t="str">
        <f t="shared" si="2"/>
        <v/>
      </c>
      <c r="V187" s="32" t="str">
        <f>IF($C187="","",IF($Q187&gt;Settings!$B$4,IF($G187="","|","")&amp;"OLD_7D","")&amp;IF($Q187&gt;Settings!$B$5,IF(OR($G187="", $Q187&gt;Settings!$B$4),"|","")&amp;"OLD_30D",""))</f>
        <v/>
      </c>
      <c r="W187" s="21" t="str">
        <f>IF(OR($C187="", $M187&lt;&gt;"APPROVED",$I187="", $U187=0),"",SUMIFS($U$3:$U$502,$H$3:$H$502,$H187,$M$3:$M$502,"APPROVED",$Q$3:$Q$502,"&lt;="&amp;Settings!$B$4,$I$3:$I$502,"&lt;="&amp;$I187))</f>
        <v/>
      </c>
      <c r="X187" s="21" t="str">
        <f>IF(OR($C187="", $M187&lt;&gt;"APPROVED",$I187="", $U187=0),"",SUMIFS($U$3:$U$502,$H$3:$H$502,$H187,$M$3:$M$502,"APPROVED",$Q$3:$Q$502,"&lt;="&amp;Settings!$B$5,$I$3:$I$502,"&lt;="&amp;$I187))</f>
        <v/>
      </c>
      <c r="Y187" s="21" t="str">
        <f>IF($P187="","",IFERROR(MATCH($P187,Lists!$H$2:$H$4,0),""))</f>
        <v/>
      </c>
      <c r="Z187" s="21" t="str">
        <f t="shared" si="3"/>
        <v/>
      </c>
    </row>
    <row r="188" spans="1:26" ht="15.75" customHeight="1" x14ac:dyDescent="0.3">
      <c r="A188" s="16" t="str">
        <f t="shared" si="4"/>
        <v/>
      </c>
      <c r="B188" s="28"/>
      <c r="C188" s="29"/>
      <c r="D188" s="16"/>
      <c r="E188" s="16"/>
      <c r="F188" s="16"/>
      <c r="G188" s="16"/>
      <c r="H188" s="16"/>
      <c r="I188" s="31"/>
      <c r="J188" s="15"/>
      <c r="K188" s="15"/>
      <c r="L188" s="15"/>
      <c r="M188" s="16"/>
      <c r="N188" s="17"/>
      <c r="O188" s="19" t="str">
        <f t="shared" si="0"/>
        <v/>
      </c>
      <c r="P188" s="17"/>
      <c r="Q188" s="17" t="str">
        <f t="shared" ca="1" si="1"/>
        <v/>
      </c>
      <c r="R188" s="21" t="str">
        <f ca="1">IF($Q188="","",IF($Q188&lt;=Settings!$B$8,Settings!$C$8,IF($Q188&lt;=Settings!$B$9,Settings!$C$9,IF($Q188&lt;=Settings!$B$10,Settings!$C$10,IF($Q188&lt;=Settings!$B$11,Settings!$C$11,Settings!$C$12)))))</f>
        <v/>
      </c>
      <c r="S188" s="21" t="str">
        <f>IF($F188="","",IFERROR(VLOOKUP($F188,Settings!$E$8:$F$11,2,FALSE),0))</f>
        <v/>
      </c>
      <c r="T188" s="21">
        <f>IF($G188="",Settings!$B$16,1)</f>
        <v>1</v>
      </c>
      <c r="U188" s="21" t="str">
        <f t="shared" si="2"/>
        <v/>
      </c>
      <c r="V188" s="32" t="str">
        <f>IF($C188="","",IF($Q188&gt;Settings!$B$4,IF($G188="","|","")&amp;"OLD_7D","")&amp;IF($Q188&gt;Settings!$B$5,IF(OR($G188="", $Q188&gt;Settings!$B$4),"|","")&amp;"OLD_30D",""))</f>
        <v/>
      </c>
      <c r="W188" s="21" t="str">
        <f>IF(OR($C188="", $M188&lt;&gt;"APPROVED",$I188="", $U188=0),"",SUMIFS($U$3:$U$502,$H$3:$H$502,$H188,$M$3:$M$502,"APPROVED",$Q$3:$Q$502,"&lt;="&amp;Settings!$B$4,$I$3:$I$502,"&lt;="&amp;$I188))</f>
        <v/>
      </c>
      <c r="X188" s="21" t="str">
        <f>IF(OR($C188="", $M188&lt;&gt;"APPROVED",$I188="", $U188=0),"",SUMIFS($U$3:$U$502,$H$3:$H$502,$H188,$M$3:$M$502,"APPROVED",$Q$3:$Q$502,"&lt;="&amp;Settings!$B$5,$I$3:$I$502,"&lt;="&amp;$I188))</f>
        <v/>
      </c>
      <c r="Y188" s="21" t="str">
        <f>IF($P188="","",IFERROR(MATCH($P188,Lists!$H$2:$H$4,0),""))</f>
        <v/>
      </c>
      <c r="Z188" s="21" t="str">
        <f t="shared" si="3"/>
        <v/>
      </c>
    </row>
    <row r="189" spans="1:26" ht="15.75" customHeight="1" x14ac:dyDescent="0.3">
      <c r="A189" s="16" t="str">
        <f t="shared" si="4"/>
        <v/>
      </c>
      <c r="B189" s="28"/>
      <c r="C189" s="29"/>
      <c r="D189" s="16"/>
      <c r="E189" s="16"/>
      <c r="F189" s="16"/>
      <c r="G189" s="16"/>
      <c r="H189" s="16"/>
      <c r="I189" s="31"/>
      <c r="J189" s="15"/>
      <c r="K189" s="15"/>
      <c r="L189" s="15"/>
      <c r="M189" s="16"/>
      <c r="N189" s="17"/>
      <c r="O189" s="19" t="str">
        <f t="shared" si="0"/>
        <v/>
      </c>
      <c r="P189" s="17"/>
      <c r="Q189" s="17" t="str">
        <f t="shared" ca="1" si="1"/>
        <v/>
      </c>
      <c r="R189" s="21" t="str">
        <f ca="1">IF($Q189="","",IF($Q189&lt;=Settings!$B$8,Settings!$C$8,IF($Q189&lt;=Settings!$B$9,Settings!$C$9,IF($Q189&lt;=Settings!$B$10,Settings!$C$10,IF($Q189&lt;=Settings!$B$11,Settings!$C$11,Settings!$C$12)))))</f>
        <v/>
      </c>
      <c r="S189" s="21" t="str">
        <f>IF($F189="","",IFERROR(VLOOKUP($F189,Settings!$E$8:$F$11,2,FALSE),0))</f>
        <v/>
      </c>
      <c r="T189" s="21">
        <f>IF($G189="",Settings!$B$16,1)</f>
        <v>1</v>
      </c>
      <c r="U189" s="21" t="str">
        <f t="shared" si="2"/>
        <v/>
      </c>
      <c r="V189" s="32" t="str">
        <f>IF($C189="","",IF($Q189&gt;Settings!$B$4,IF($G189="","|","")&amp;"OLD_7D","")&amp;IF($Q189&gt;Settings!$B$5,IF(OR($G189="", $Q189&gt;Settings!$B$4),"|","")&amp;"OLD_30D",""))</f>
        <v/>
      </c>
      <c r="W189" s="21" t="str">
        <f>IF(OR($C189="", $M189&lt;&gt;"APPROVED",$I189="", $U189=0),"",SUMIFS($U$3:$U$502,$H$3:$H$502,$H189,$M$3:$M$502,"APPROVED",$Q$3:$Q$502,"&lt;="&amp;Settings!$B$4,$I$3:$I$502,"&lt;="&amp;$I189))</f>
        <v/>
      </c>
      <c r="X189" s="21" t="str">
        <f>IF(OR($C189="", $M189&lt;&gt;"APPROVED",$I189="", $U189=0),"",SUMIFS($U$3:$U$502,$H$3:$H$502,$H189,$M$3:$M$502,"APPROVED",$Q$3:$Q$502,"&lt;="&amp;Settings!$B$5,$I$3:$I$502,"&lt;="&amp;$I189))</f>
        <v/>
      </c>
      <c r="Y189" s="21" t="str">
        <f>IF($P189="","",IFERROR(MATCH($P189,Lists!$H$2:$H$4,0),""))</f>
        <v/>
      </c>
      <c r="Z189" s="21" t="str">
        <f t="shared" si="3"/>
        <v/>
      </c>
    </row>
    <row r="190" spans="1:26" ht="15.75" customHeight="1" x14ac:dyDescent="0.3">
      <c r="A190" s="16" t="str">
        <f t="shared" si="4"/>
        <v/>
      </c>
      <c r="B190" s="28"/>
      <c r="C190" s="29"/>
      <c r="D190" s="16"/>
      <c r="E190" s="16"/>
      <c r="F190" s="16"/>
      <c r="G190" s="16"/>
      <c r="H190" s="16"/>
      <c r="I190" s="31"/>
      <c r="J190" s="15"/>
      <c r="K190" s="15"/>
      <c r="L190" s="15"/>
      <c r="M190" s="16"/>
      <c r="N190" s="17"/>
      <c r="O190" s="19" t="str">
        <f t="shared" si="0"/>
        <v/>
      </c>
      <c r="P190" s="17"/>
      <c r="Q190" s="17" t="str">
        <f t="shared" ca="1" si="1"/>
        <v/>
      </c>
      <c r="R190" s="21" t="str">
        <f ca="1">IF($Q190="","",IF($Q190&lt;=Settings!$B$8,Settings!$C$8,IF($Q190&lt;=Settings!$B$9,Settings!$C$9,IF($Q190&lt;=Settings!$B$10,Settings!$C$10,IF($Q190&lt;=Settings!$B$11,Settings!$C$11,Settings!$C$12)))))</f>
        <v/>
      </c>
      <c r="S190" s="21" t="str">
        <f>IF($F190="","",IFERROR(VLOOKUP($F190,Settings!$E$8:$F$11,2,FALSE),0))</f>
        <v/>
      </c>
      <c r="T190" s="21">
        <f>IF($G190="",Settings!$B$16,1)</f>
        <v>1</v>
      </c>
      <c r="U190" s="21" t="str">
        <f t="shared" si="2"/>
        <v/>
      </c>
      <c r="V190" s="32" t="str">
        <f>IF($C190="","",IF($Q190&gt;Settings!$B$4,IF($G190="","|","")&amp;"OLD_7D","")&amp;IF($Q190&gt;Settings!$B$5,IF(OR($G190="", $Q190&gt;Settings!$B$4),"|","")&amp;"OLD_30D",""))</f>
        <v/>
      </c>
      <c r="W190" s="21" t="str">
        <f>IF(OR($C190="", $M190&lt;&gt;"APPROVED",$I190="", $U190=0),"",SUMIFS($U$3:$U$502,$H$3:$H$502,$H190,$M$3:$M$502,"APPROVED",$Q$3:$Q$502,"&lt;="&amp;Settings!$B$4,$I$3:$I$502,"&lt;="&amp;$I190))</f>
        <v/>
      </c>
      <c r="X190" s="21" t="str">
        <f>IF(OR($C190="", $M190&lt;&gt;"APPROVED",$I190="", $U190=0),"",SUMIFS($U$3:$U$502,$H$3:$H$502,$H190,$M$3:$M$502,"APPROVED",$Q$3:$Q$502,"&lt;="&amp;Settings!$B$5,$I$3:$I$502,"&lt;="&amp;$I190))</f>
        <v/>
      </c>
      <c r="Y190" s="21" t="str">
        <f>IF($P190="","",IFERROR(MATCH($P190,Lists!$H$2:$H$4,0),""))</f>
        <v/>
      </c>
      <c r="Z190" s="21" t="str">
        <f t="shared" si="3"/>
        <v/>
      </c>
    </row>
    <row r="191" spans="1:26" ht="15.75" customHeight="1" x14ac:dyDescent="0.3">
      <c r="A191" s="16" t="str">
        <f t="shared" si="4"/>
        <v/>
      </c>
      <c r="B191" s="28"/>
      <c r="C191" s="29"/>
      <c r="D191" s="16"/>
      <c r="E191" s="16"/>
      <c r="F191" s="16"/>
      <c r="G191" s="16"/>
      <c r="H191" s="16"/>
      <c r="I191" s="31"/>
      <c r="J191" s="15"/>
      <c r="K191" s="15"/>
      <c r="L191" s="15"/>
      <c r="M191" s="16"/>
      <c r="N191" s="17"/>
      <c r="O191" s="19" t="str">
        <f t="shared" si="0"/>
        <v/>
      </c>
      <c r="P191" s="17"/>
      <c r="Q191" s="17" t="str">
        <f t="shared" ca="1" si="1"/>
        <v/>
      </c>
      <c r="R191" s="21" t="str">
        <f ca="1">IF($Q191="","",IF($Q191&lt;=Settings!$B$8,Settings!$C$8,IF($Q191&lt;=Settings!$B$9,Settings!$C$9,IF($Q191&lt;=Settings!$B$10,Settings!$C$10,IF($Q191&lt;=Settings!$B$11,Settings!$C$11,Settings!$C$12)))))</f>
        <v/>
      </c>
      <c r="S191" s="21" t="str">
        <f>IF($F191="","",IFERROR(VLOOKUP($F191,Settings!$E$8:$F$11,2,FALSE),0))</f>
        <v/>
      </c>
      <c r="T191" s="21">
        <f>IF($G191="",Settings!$B$16,1)</f>
        <v>1</v>
      </c>
      <c r="U191" s="21" t="str">
        <f t="shared" si="2"/>
        <v/>
      </c>
      <c r="V191" s="32" t="str">
        <f>IF($C191="","",IF($Q191&gt;Settings!$B$4,IF($G191="","|","")&amp;"OLD_7D","")&amp;IF($Q191&gt;Settings!$B$5,IF(OR($G191="", $Q191&gt;Settings!$B$4),"|","")&amp;"OLD_30D",""))</f>
        <v/>
      </c>
      <c r="W191" s="21" t="str">
        <f>IF(OR($C191="", $M191&lt;&gt;"APPROVED",$I191="", $U191=0),"",SUMIFS($U$3:$U$502,$H$3:$H$502,$H191,$M$3:$M$502,"APPROVED",$Q$3:$Q$502,"&lt;="&amp;Settings!$B$4,$I$3:$I$502,"&lt;="&amp;$I191))</f>
        <v/>
      </c>
      <c r="X191" s="21" t="str">
        <f>IF(OR($C191="", $M191&lt;&gt;"APPROVED",$I191="", $U191=0),"",SUMIFS($U$3:$U$502,$H$3:$H$502,$H191,$M$3:$M$502,"APPROVED",$Q$3:$Q$502,"&lt;="&amp;Settings!$B$5,$I$3:$I$502,"&lt;="&amp;$I191))</f>
        <v/>
      </c>
      <c r="Y191" s="21" t="str">
        <f>IF($P191="","",IFERROR(MATCH($P191,Lists!$H$2:$H$4,0),""))</f>
        <v/>
      </c>
      <c r="Z191" s="21" t="str">
        <f t="shared" si="3"/>
        <v/>
      </c>
    </row>
    <row r="192" spans="1:26" ht="15.75" customHeight="1" x14ac:dyDescent="0.3">
      <c r="A192" s="16" t="str">
        <f t="shared" si="4"/>
        <v/>
      </c>
      <c r="B192" s="28"/>
      <c r="C192" s="29"/>
      <c r="D192" s="16"/>
      <c r="E192" s="16"/>
      <c r="F192" s="16"/>
      <c r="G192" s="16"/>
      <c r="H192" s="16"/>
      <c r="I192" s="31"/>
      <c r="J192" s="15"/>
      <c r="K192" s="15"/>
      <c r="L192" s="15"/>
      <c r="M192" s="16"/>
      <c r="N192" s="17"/>
      <c r="O192" s="19" t="str">
        <f t="shared" si="0"/>
        <v/>
      </c>
      <c r="P192" s="17"/>
      <c r="Q192" s="17" t="str">
        <f t="shared" ca="1" si="1"/>
        <v/>
      </c>
      <c r="R192" s="21" t="str">
        <f ca="1">IF($Q192="","",IF($Q192&lt;=Settings!$B$8,Settings!$C$8,IF($Q192&lt;=Settings!$B$9,Settings!$C$9,IF($Q192&lt;=Settings!$B$10,Settings!$C$10,IF($Q192&lt;=Settings!$B$11,Settings!$C$11,Settings!$C$12)))))</f>
        <v/>
      </c>
      <c r="S192" s="21" t="str">
        <f>IF($F192="","",IFERROR(VLOOKUP($F192,Settings!$E$8:$F$11,2,FALSE),0))</f>
        <v/>
      </c>
      <c r="T192" s="21">
        <f>IF($G192="",Settings!$B$16,1)</f>
        <v>1</v>
      </c>
      <c r="U192" s="21" t="str">
        <f t="shared" si="2"/>
        <v/>
      </c>
      <c r="V192" s="32" t="str">
        <f>IF($C192="","",IF($Q192&gt;Settings!$B$4,IF($G192="","|","")&amp;"OLD_7D","")&amp;IF($Q192&gt;Settings!$B$5,IF(OR($G192="", $Q192&gt;Settings!$B$4),"|","")&amp;"OLD_30D",""))</f>
        <v/>
      </c>
      <c r="W192" s="21" t="str">
        <f>IF(OR($C192="", $M192&lt;&gt;"APPROVED",$I192="", $U192=0),"",SUMIFS($U$3:$U$502,$H$3:$H$502,$H192,$M$3:$M$502,"APPROVED",$Q$3:$Q$502,"&lt;="&amp;Settings!$B$4,$I$3:$I$502,"&lt;="&amp;$I192))</f>
        <v/>
      </c>
      <c r="X192" s="21" t="str">
        <f>IF(OR($C192="", $M192&lt;&gt;"APPROVED",$I192="", $U192=0),"",SUMIFS($U$3:$U$502,$H$3:$H$502,$H192,$M$3:$M$502,"APPROVED",$Q$3:$Q$502,"&lt;="&amp;Settings!$B$5,$I$3:$I$502,"&lt;="&amp;$I192))</f>
        <v/>
      </c>
      <c r="Y192" s="21" t="str">
        <f>IF($P192="","",IFERROR(MATCH($P192,Lists!$H$2:$H$4,0),""))</f>
        <v/>
      </c>
      <c r="Z192" s="21" t="str">
        <f t="shared" si="3"/>
        <v/>
      </c>
    </row>
    <row r="193" spans="1:26" ht="15.75" customHeight="1" x14ac:dyDescent="0.3">
      <c r="A193" s="16" t="str">
        <f t="shared" si="4"/>
        <v/>
      </c>
      <c r="B193" s="28"/>
      <c r="C193" s="29"/>
      <c r="D193" s="16"/>
      <c r="E193" s="16"/>
      <c r="F193" s="16"/>
      <c r="G193" s="16"/>
      <c r="H193" s="16"/>
      <c r="I193" s="31"/>
      <c r="J193" s="15"/>
      <c r="K193" s="15"/>
      <c r="L193" s="15"/>
      <c r="M193" s="16"/>
      <c r="N193" s="17"/>
      <c r="O193" s="19" t="str">
        <f t="shared" si="0"/>
        <v/>
      </c>
      <c r="P193" s="17"/>
      <c r="Q193" s="17" t="str">
        <f t="shared" ca="1" si="1"/>
        <v/>
      </c>
      <c r="R193" s="21" t="str">
        <f ca="1">IF($Q193="","",IF($Q193&lt;=Settings!$B$8,Settings!$C$8,IF($Q193&lt;=Settings!$B$9,Settings!$C$9,IF($Q193&lt;=Settings!$B$10,Settings!$C$10,IF($Q193&lt;=Settings!$B$11,Settings!$C$11,Settings!$C$12)))))</f>
        <v/>
      </c>
      <c r="S193" s="21" t="str">
        <f>IF($F193="","",IFERROR(VLOOKUP($F193,Settings!$E$8:$F$11,2,FALSE),0))</f>
        <v/>
      </c>
      <c r="T193" s="21">
        <f>IF($G193="",Settings!$B$16,1)</f>
        <v>1</v>
      </c>
      <c r="U193" s="21" t="str">
        <f t="shared" si="2"/>
        <v/>
      </c>
      <c r="V193" s="32" t="str">
        <f>IF($C193="","",IF($Q193&gt;Settings!$B$4,IF($G193="","|","")&amp;"OLD_7D","")&amp;IF($Q193&gt;Settings!$B$5,IF(OR($G193="", $Q193&gt;Settings!$B$4),"|","")&amp;"OLD_30D",""))</f>
        <v/>
      </c>
      <c r="W193" s="21" t="str">
        <f>IF(OR($C193="", $M193&lt;&gt;"APPROVED",$I193="", $U193=0),"",SUMIFS($U$3:$U$502,$H$3:$H$502,$H193,$M$3:$M$502,"APPROVED",$Q$3:$Q$502,"&lt;="&amp;Settings!$B$4,$I$3:$I$502,"&lt;="&amp;$I193))</f>
        <v/>
      </c>
      <c r="X193" s="21" t="str">
        <f>IF(OR($C193="", $M193&lt;&gt;"APPROVED",$I193="", $U193=0),"",SUMIFS($U$3:$U$502,$H$3:$H$502,$H193,$M$3:$M$502,"APPROVED",$Q$3:$Q$502,"&lt;="&amp;Settings!$B$5,$I$3:$I$502,"&lt;="&amp;$I193))</f>
        <v/>
      </c>
      <c r="Y193" s="21" t="str">
        <f>IF($P193="","",IFERROR(MATCH($P193,Lists!$H$2:$H$4,0),""))</f>
        <v/>
      </c>
      <c r="Z193" s="21" t="str">
        <f t="shared" si="3"/>
        <v/>
      </c>
    </row>
    <row r="194" spans="1:26" ht="15.75" customHeight="1" x14ac:dyDescent="0.3">
      <c r="A194" s="16" t="str">
        <f t="shared" si="4"/>
        <v/>
      </c>
      <c r="B194" s="28"/>
      <c r="C194" s="29"/>
      <c r="D194" s="16"/>
      <c r="E194" s="16"/>
      <c r="F194" s="16"/>
      <c r="G194" s="16"/>
      <c r="H194" s="16"/>
      <c r="I194" s="31"/>
      <c r="J194" s="15"/>
      <c r="K194" s="15"/>
      <c r="L194" s="15"/>
      <c r="M194" s="16"/>
      <c r="N194" s="17"/>
      <c r="O194" s="19" t="str">
        <f t="shared" si="0"/>
        <v/>
      </c>
      <c r="P194" s="17"/>
      <c r="Q194" s="17" t="str">
        <f t="shared" ca="1" si="1"/>
        <v/>
      </c>
      <c r="R194" s="21" t="str">
        <f ca="1">IF($Q194="","",IF($Q194&lt;=Settings!$B$8,Settings!$C$8,IF($Q194&lt;=Settings!$B$9,Settings!$C$9,IF($Q194&lt;=Settings!$B$10,Settings!$C$10,IF($Q194&lt;=Settings!$B$11,Settings!$C$11,Settings!$C$12)))))</f>
        <v/>
      </c>
      <c r="S194" s="21" t="str">
        <f>IF($F194="","",IFERROR(VLOOKUP($F194,Settings!$E$8:$F$11,2,FALSE),0))</f>
        <v/>
      </c>
      <c r="T194" s="21">
        <f>IF($G194="",Settings!$B$16,1)</f>
        <v>1</v>
      </c>
      <c r="U194" s="21" t="str">
        <f t="shared" si="2"/>
        <v/>
      </c>
      <c r="V194" s="32" t="str">
        <f>IF($C194="","",IF($Q194&gt;Settings!$B$4,IF($G194="","|","")&amp;"OLD_7D","")&amp;IF($Q194&gt;Settings!$B$5,IF(OR($G194="", $Q194&gt;Settings!$B$4),"|","")&amp;"OLD_30D",""))</f>
        <v/>
      </c>
      <c r="W194" s="21" t="str">
        <f>IF(OR($C194="", $M194&lt;&gt;"APPROVED",$I194="", $U194=0),"",SUMIFS($U$3:$U$502,$H$3:$H$502,$H194,$M$3:$M$502,"APPROVED",$Q$3:$Q$502,"&lt;="&amp;Settings!$B$4,$I$3:$I$502,"&lt;="&amp;$I194))</f>
        <v/>
      </c>
      <c r="X194" s="21" t="str">
        <f>IF(OR($C194="", $M194&lt;&gt;"APPROVED",$I194="", $U194=0),"",SUMIFS($U$3:$U$502,$H$3:$H$502,$H194,$M$3:$M$502,"APPROVED",$Q$3:$Q$502,"&lt;="&amp;Settings!$B$5,$I$3:$I$502,"&lt;="&amp;$I194))</f>
        <v/>
      </c>
      <c r="Y194" s="21" t="str">
        <f>IF($P194="","",IFERROR(MATCH($P194,Lists!$H$2:$H$4,0),""))</f>
        <v/>
      </c>
      <c r="Z194" s="21" t="str">
        <f t="shared" si="3"/>
        <v/>
      </c>
    </row>
    <row r="195" spans="1:26" ht="15.75" customHeight="1" x14ac:dyDescent="0.3">
      <c r="A195" s="16" t="str">
        <f t="shared" si="4"/>
        <v/>
      </c>
      <c r="B195" s="28"/>
      <c r="C195" s="29"/>
      <c r="D195" s="16"/>
      <c r="E195" s="16"/>
      <c r="F195" s="16"/>
      <c r="G195" s="16"/>
      <c r="H195" s="16"/>
      <c r="I195" s="31"/>
      <c r="J195" s="15"/>
      <c r="K195" s="15"/>
      <c r="L195" s="15"/>
      <c r="M195" s="16"/>
      <c r="N195" s="17"/>
      <c r="O195" s="19" t="str">
        <f t="shared" si="0"/>
        <v/>
      </c>
      <c r="P195" s="17"/>
      <c r="Q195" s="17" t="str">
        <f t="shared" ca="1" si="1"/>
        <v/>
      </c>
      <c r="R195" s="21" t="str">
        <f ca="1">IF($Q195="","",IF($Q195&lt;=Settings!$B$8,Settings!$C$8,IF($Q195&lt;=Settings!$B$9,Settings!$C$9,IF($Q195&lt;=Settings!$B$10,Settings!$C$10,IF($Q195&lt;=Settings!$B$11,Settings!$C$11,Settings!$C$12)))))</f>
        <v/>
      </c>
      <c r="S195" s="21" t="str">
        <f>IF($F195="","",IFERROR(VLOOKUP($F195,Settings!$E$8:$F$11,2,FALSE),0))</f>
        <v/>
      </c>
      <c r="T195" s="21">
        <f>IF($G195="",Settings!$B$16,1)</f>
        <v>1</v>
      </c>
      <c r="U195" s="21" t="str">
        <f t="shared" si="2"/>
        <v/>
      </c>
      <c r="V195" s="32" t="str">
        <f>IF($C195="","",IF($Q195&gt;Settings!$B$4,IF($G195="","|","")&amp;"OLD_7D","")&amp;IF($Q195&gt;Settings!$B$5,IF(OR($G195="", $Q195&gt;Settings!$B$4),"|","")&amp;"OLD_30D",""))</f>
        <v/>
      </c>
      <c r="W195" s="21" t="str">
        <f>IF(OR($C195="", $M195&lt;&gt;"APPROVED",$I195="", $U195=0),"",SUMIFS($U$3:$U$502,$H$3:$H$502,$H195,$M$3:$M$502,"APPROVED",$Q$3:$Q$502,"&lt;="&amp;Settings!$B$4,$I$3:$I$502,"&lt;="&amp;$I195))</f>
        <v/>
      </c>
      <c r="X195" s="21" t="str">
        <f>IF(OR($C195="", $M195&lt;&gt;"APPROVED",$I195="", $U195=0),"",SUMIFS($U$3:$U$502,$H$3:$H$502,$H195,$M$3:$M$502,"APPROVED",$Q$3:$Q$502,"&lt;="&amp;Settings!$B$5,$I$3:$I$502,"&lt;="&amp;$I195))</f>
        <v/>
      </c>
      <c r="Y195" s="21" t="str">
        <f>IF($P195="","",IFERROR(MATCH($P195,Lists!$H$2:$H$4,0),""))</f>
        <v/>
      </c>
      <c r="Z195" s="21" t="str">
        <f t="shared" si="3"/>
        <v/>
      </c>
    </row>
    <row r="196" spans="1:26" ht="15.75" customHeight="1" x14ac:dyDescent="0.3">
      <c r="A196" s="16" t="str">
        <f t="shared" si="4"/>
        <v/>
      </c>
      <c r="B196" s="28"/>
      <c r="C196" s="29"/>
      <c r="D196" s="16"/>
      <c r="E196" s="16"/>
      <c r="F196" s="16"/>
      <c r="G196" s="16"/>
      <c r="H196" s="16"/>
      <c r="I196" s="31"/>
      <c r="J196" s="15"/>
      <c r="K196" s="15"/>
      <c r="L196" s="15"/>
      <c r="M196" s="16"/>
      <c r="N196" s="17"/>
      <c r="O196" s="19" t="str">
        <f t="shared" si="0"/>
        <v/>
      </c>
      <c r="P196" s="17"/>
      <c r="Q196" s="17" t="str">
        <f t="shared" ca="1" si="1"/>
        <v/>
      </c>
      <c r="R196" s="21" t="str">
        <f ca="1">IF($Q196="","",IF($Q196&lt;=Settings!$B$8,Settings!$C$8,IF($Q196&lt;=Settings!$B$9,Settings!$C$9,IF($Q196&lt;=Settings!$B$10,Settings!$C$10,IF($Q196&lt;=Settings!$B$11,Settings!$C$11,Settings!$C$12)))))</f>
        <v/>
      </c>
      <c r="S196" s="21" t="str">
        <f>IF($F196="","",IFERROR(VLOOKUP($F196,Settings!$E$8:$F$11,2,FALSE),0))</f>
        <v/>
      </c>
      <c r="T196" s="21">
        <f>IF($G196="",Settings!$B$16,1)</f>
        <v>1</v>
      </c>
      <c r="U196" s="21" t="str">
        <f t="shared" si="2"/>
        <v/>
      </c>
      <c r="V196" s="32" t="str">
        <f>IF($C196="","",IF($Q196&gt;Settings!$B$4,IF($G196="","|","")&amp;"OLD_7D","")&amp;IF($Q196&gt;Settings!$B$5,IF(OR($G196="", $Q196&gt;Settings!$B$4),"|","")&amp;"OLD_30D",""))</f>
        <v/>
      </c>
      <c r="W196" s="21" t="str">
        <f>IF(OR($C196="", $M196&lt;&gt;"APPROVED",$I196="", $U196=0),"",SUMIFS($U$3:$U$502,$H$3:$H$502,$H196,$M$3:$M$502,"APPROVED",$Q$3:$Q$502,"&lt;="&amp;Settings!$B$4,$I$3:$I$502,"&lt;="&amp;$I196))</f>
        <v/>
      </c>
      <c r="X196" s="21" t="str">
        <f>IF(OR($C196="", $M196&lt;&gt;"APPROVED",$I196="", $U196=0),"",SUMIFS($U$3:$U$502,$H$3:$H$502,$H196,$M$3:$M$502,"APPROVED",$Q$3:$Q$502,"&lt;="&amp;Settings!$B$5,$I$3:$I$502,"&lt;="&amp;$I196))</f>
        <v/>
      </c>
      <c r="Y196" s="21" t="str">
        <f>IF($P196="","",IFERROR(MATCH($P196,Lists!$H$2:$H$4,0),""))</f>
        <v/>
      </c>
      <c r="Z196" s="21" t="str">
        <f t="shared" si="3"/>
        <v/>
      </c>
    </row>
    <row r="197" spans="1:26" ht="15.75" customHeight="1" x14ac:dyDescent="0.3">
      <c r="A197" s="16" t="str">
        <f t="shared" si="4"/>
        <v/>
      </c>
      <c r="B197" s="28"/>
      <c r="C197" s="29"/>
      <c r="D197" s="16"/>
      <c r="E197" s="16"/>
      <c r="F197" s="16"/>
      <c r="G197" s="16"/>
      <c r="H197" s="16"/>
      <c r="I197" s="31"/>
      <c r="J197" s="15"/>
      <c r="K197" s="15"/>
      <c r="L197" s="15"/>
      <c r="M197" s="16"/>
      <c r="N197" s="17"/>
      <c r="O197" s="19" t="str">
        <f t="shared" si="0"/>
        <v/>
      </c>
      <c r="P197" s="17"/>
      <c r="Q197" s="17" t="str">
        <f t="shared" ca="1" si="1"/>
        <v/>
      </c>
      <c r="R197" s="21" t="str">
        <f ca="1">IF($Q197="","",IF($Q197&lt;=Settings!$B$8,Settings!$C$8,IF($Q197&lt;=Settings!$B$9,Settings!$C$9,IF($Q197&lt;=Settings!$B$10,Settings!$C$10,IF($Q197&lt;=Settings!$B$11,Settings!$C$11,Settings!$C$12)))))</f>
        <v/>
      </c>
      <c r="S197" s="21" t="str">
        <f>IF($F197="","",IFERROR(VLOOKUP($F197,Settings!$E$8:$F$11,2,FALSE),0))</f>
        <v/>
      </c>
      <c r="T197" s="21">
        <f>IF($G197="",Settings!$B$16,1)</f>
        <v>1</v>
      </c>
      <c r="U197" s="21" t="str">
        <f t="shared" si="2"/>
        <v/>
      </c>
      <c r="V197" s="32" t="str">
        <f>IF($C197="","",IF($Q197&gt;Settings!$B$4,IF($G197="","|","")&amp;"OLD_7D","")&amp;IF($Q197&gt;Settings!$B$5,IF(OR($G197="", $Q197&gt;Settings!$B$4),"|","")&amp;"OLD_30D",""))</f>
        <v/>
      </c>
      <c r="W197" s="21" t="str">
        <f>IF(OR($C197="", $M197&lt;&gt;"APPROVED",$I197="", $U197=0),"",SUMIFS($U$3:$U$502,$H$3:$H$502,$H197,$M$3:$M$502,"APPROVED",$Q$3:$Q$502,"&lt;="&amp;Settings!$B$4,$I$3:$I$502,"&lt;="&amp;$I197))</f>
        <v/>
      </c>
      <c r="X197" s="21" t="str">
        <f>IF(OR($C197="", $M197&lt;&gt;"APPROVED",$I197="", $U197=0),"",SUMIFS($U$3:$U$502,$H$3:$H$502,$H197,$M$3:$M$502,"APPROVED",$Q$3:$Q$502,"&lt;="&amp;Settings!$B$5,$I$3:$I$502,"&lt;="&amp;$I197))</f>
        <v/>
      </c>
      <c r="Y197" s="21" t="str">
        <f>IF($P197="","",IFERROR(MATCH($P197,Lists!$H$2:$H$4,0),""))</f>
        <v/>
      </c>
      <c r="Z197" s="21" t="str">
        <f t="shared" si="3"/>
        <v/>
      </c>
    </row>
    <row r="198" spans="1:26" ht="15.75" customHeight="1" x14ac:dyDescent="0.3">
      <c r="A198" s="16" t="str">
        <f t="shared" si="4"/>
        <v/>
      </c>
      <c r="B198" s="28"/>
      <c r="C198" s="29"/>
      <c r="D198" s="16"/>
      <c r="E198" s="16"/>
      <c r="F198" s="16"/>
      <c r="G198" s="16"/>
      <c r="H198" s="16"/>
      <c r="I198" s="31"/>
      <c r="J198" s="15"/>
      <c r="K198" s="15"/>
      <c r="L198" s="15"/>
      <c r="M198" s="16"/>
      <c r="N198" s="17"/>
      <c r="O198" s="19" t="str">
        <f t="shared" si="0"/>
        <v/>
      </c>
      <c r="P198" s="17"/>
      <c r="Q198" s="17" t="str">
        <f t="shared" ca="1" si="1"/>
        <v/>
      </c>
      <c r="R198" s="21" t="str">
        <f ca="1">IF($Q198="","",IF($Q198&lt;=Settings!$B$8,Settings!$C$8,IF($Q198&lt;=Settings!$B$9,Settings!$C$9,IF($Q198&lt;=Settings!$B$10,Settings!$C$10,IF($Q198&lt;=Settings!$B$11,Settings!$C$11,Settings!$C$12)))))</f>
        <v/>
      </c>
      <c r="S198" s="21" t="str">
        <f>IF($F198="","",IFERROR(VLOOKUP($F198,Settings!$E$8:$F$11,2,FALSE),0))</f>
        <v/>
      </c>
      <c r="T198" s="21">
        <f>IF($G198="",Settings!$B$16,1)</f>
        <v>1</v>
      </c>
      <c r="U198" s="21" t="str">
        <f t="shared" si="2"/>
        <v/>
      </c>
      <c r="V198" s="32" t="str">
        <f>IF($C198="","",IF($Q198&gt;Settings!$B$4,IF($G198="","|","")&amp;"OLD_7D","")&amp;IF($Q198&gt;Settings!$B$5,IF(OR($G198="", $Q198&gt;Settings!$B$4),"|","")&amp;"OLD_30D",""))</f>
        <v/>
      </c>
      <c r="W198" s="21" t="str">
        <f>IF(OR($C198="", $M198&lt;&gt;"APPROVED",$I198="", $U198=0),"",SUMIFS($U$3:$U$502,$H$3:$H$502,$H198,$M$3:$M$502,"APPROVED",$Q$3:$Q$502,"&lt;="&amp;Settings!$B$4,$I$3:$I$502,"&lt;="&amp;$I198))</f>
        <v/>
      </c>
      <c r="X198" s="21" t="str">
        <f>IF(OR($C198="", $M198&lt;&gt;"APPROVED",$I198="", $U198=0),"",SUMIFS($U$3:$U$502,$H$3:$H$502,$H198,$M$3:$M$502,"APPROVED",$Q$3:$Q$502,"&lt;="&amp;Settings!$B$5,$I$3:$I$502,"&lt;="&amp;$I198))</f>
        <v/>
      </c>
      <c r="Y198" s="21" t="str">
        <f>IF($P198="","",IFERROR(MATCH($P198,Lists!$H$2:$H$4,0),""))</f>
        <v/>
      </c>
      <c r="Z198" s="21" t="str">
        <f t="shared" si="3"/>
        <v/>
      </c>
    </row>
    <row r="199" spans="1:26" ht="15.75" customHeight="1" x14ac:dyDescent="0.3">
      <c r="A199" s="16" t="str">
        <f t="shared" si="4"/>
        <v/>
      </c>
      <c r="B199" s="28"/>
      <c r="C199" s="29"/>
      <c r="D199" s="16"/>
      <c r="E199" s="16"/>
      <c r="F199" s="16"/>
      <c r="G199" s="16"/>
      <c r="H199" s="16"/>
      <c r="I199" s="31"/>
      <c r="J199" s="15"/>
      <c r="K199" s="15"/>
      <c r="L199" s="15"/>
      <c r="M199" s="16"/>
      <c r="N199" s="17"/>
      <c r="O199" s="19" t="str">
        <f t="shared" si="0"/>
        <v/>
      </c>
      <c r="P199" s="17"/>
      <c r="Q199" s="17" t="str">
        <f t="shared" ca="1" si="1"/>
        <v/>
      </c>
      <c r="R199" s="21" t="str">
        <f ca="1">IF($Q199="","",IF($Q199&lt;=Settings!$B$8,Settings!$C$8,IF($Q199&lt;=Settings!$B$9,Settings!$C$9,IF($Q199&lt;=Settings!$B$10,Settings!$C$10,IF($Q199&lt;=Settings!$B$11,Settings!$C$11,Settings!$C$12)))))</f>
        <v/>
      </c>
      <c r="S199" s="21" t="str">
        <f>IF($F199="","",IFERROR(VLOOKUP($F199,Settings!$E$8:$F$11,2,FALSE),0))</f>
        <v/>
      </c>
      <c r="T199" s="21">
        <f>IF($G199="",Settings!$B$16,1)</f>
        <v>1</v>
      </c>
      <c r="U199" s="21" t="str">
        <f t="shared" si="2"/>
        <v/>
      </c>
      <c r="V199" s="32" t="str">
        <f>IF($C199="","",IF($Q199&gt;Settings!$B$4,IF($G199="","|","")&amp;"OLD_7D","")&amp;IF($Q199&gt;Settings!$B$5,IF(OR($G199="", $Q199&gt;Settings!$B$4),"|","")&amp;"OLD_30D",""))</f>
        <v/>
      </c>
      <c r="W199" s="21" t="str">
        <f>IF(OR($C199="", $M199&lt;&gt;"APPROVED",$I199="", $U199=0),"",SUMIFS($U$3:$U$502,$H$3:$H$502,$H199,$M$3:$M$502,"APPROVED",$Q$3:$Q$502,"&lt;="&amp;Settings!$B$4,$I$3:$I$502,"&lt;="&amp;$I199))</f>
        <v/>
      </c>
      <c r="X199" s="21" t="str">
        <f>IF(OR($C199="", $M199&lt;&gt;"APPROVED",$I199="", $U199=0),"",SUMIFS($U$3:$U$502,$H$3:$H$502,$H199,$M$3:$M$502,"APPROVED",$Q$3:$Q$502,"&lt;="&amp;Settings!$B$5,$I$3:$I$502,"&lt;="&amp;$I199))</f>
        <v/>
      </c>
      <c r="Y199" s="21" t="str">
        <f>IF($P199="","",IFERROR(MATCH($P199,Lists!$H$2:$H$4,0),""))</f>
        <v/>
      </c>
      <c r="Z199" s="21" t="str">
        <f t="shared" si="3"/>
        <v/>
      </c>
    </row>
    <row r="200" spans="1:26" ht="15.75" customHeight="1" x14ac:dyDescent="0.3">
      <c r="A200" s="16" t="str">
        <f t="shared" si="4"/>
        <v/>
      </c>
      <c r="B200" s="28"/>
      <c r="C200" s="29"/>
      <c r="D200" s="16"/>
      <c r="E200" s="16"/>
      <c r="F200" s="16"/>
      <c r="G200" s="16"/>
      <c r="H200" s="16"/>
      <c r="I200" s="31"/>
      <c r="J200" s="15"/>
      <c r="K200" s="15"/>
      <c r="L200" s="15"/>
      <c r="M200" s="16"/>
      <c r="N200" s="17"/>
      <c r="O200" s="19" t="str">
        <f t="shared" si="0"/>
        <v/>
      </c>
      <c r="P200" s="17"/>
      <c r="Q200" s="17" t="str">
        <f t="shared" ca="1" si="1"/>
        <v/>
      </c>
      <c r="R200" s="21" t="str">
        <f ca="1">IF($Q200="","",IF($Q200&lt;=Settings!$B$8,Settings!$C$8,IF($Q200&lt;=Settings!$B$9,Settings!$C$9,IF($Q200&lt;=Settings!$B$10,Settings!$C$10,IF($Q200&lt;=Settings!$B$11,Settings!$C$11,Settings!$C$12)))))</f>
        <v/>
      </c>
      <c r="S200" s="21" t="str">
        <f>IF($F200="","",IFERROR(VLOOKUP($F200,Settings!$E$8:$F$11,2,FALSE),0))</f>
        <v/>
      </c>
      <c r="T200" s="21">
        <f>IF($G200="",Settings!$B$16,1)</f>
        <v>1</v>
      </c>
      <c r="U200" s="21" t="str">
        <f t="shared" si="2"/>
        <v/>
      </c>
      <c r="V200" s="32" t="str">
        <f>IF($C200="","",IF($Q200&gt;Settings!$B$4,IF($G200="","|","")&amp;"OLD_7D","")&amp;IF($Q200&gt;Settings!$B$5,IF(OR($G200="", $Q200&gt;Settings!$B$4),"|","")&amp;"OLD_30D",""))</f>
        <v/>
      </c>
      <c r="W200" s="21" t="str">
        <f>IF(OR($C200="", $M200&lt;&gt;"APPROVED",$I200="", $U200=0),"",SUMIFS($U$3:$U$502,$H$3:$H$502,$H200,$M$3:$M$502,"APPROVED",$Q$3:$Q$502,"&lt;="&amp;Settings!$B$4,$I$3:$I$502,"&lt;="&amp;$I200))</f>
        <v/>
      </c>
      <c r="X200" s="21" t="str">
        <f>IF(OR($C200="", $M200&lt;&gt;"APPROVED",$I200="", $U200=0),"",SUMIFS($U$3:$U$502,$H$3:$H$502,$H200,$M$3:$M$502,"APPROVED",$Q$3:$Q$502,"&lt;="&amp;Settings!$B$5,$I$3:$I$502,"&lt;="&amp;$I200))</f>
        <v/>
      </c>
      <c r="Y200" s="21" t="str">
        <f>IF($P200="","",IFERROR(MATCH($P200,Lists!$H$2:$H$4,0),""))</f>
        <v/>
      </c>
      <c r="Z200" s="21" t="str">
        <f t="shared" si="3"/>
        <v/>
      </c>
    </row>
    <row r="201" spans="1:26" ht="15.75" customHeight="1" x14ac:dyDescent="0.3">
      <c r="A201" s="16" t="str">
        <f t="shared" si="4"/>
        <v/>
      </c>
      <c r="B201" s="28"/>
      <c r="C201" s="29"/>
      <c r="D201" s="16"/>
      <c r="E201" s="16"/>
      <c r="F201" s="16"/>
      <c r="G201" s="16"/>
      <c r="H201" s="16"/>
      <c r="I201" s="31"/>
      <c r="J201" s="15"/>
      <c r="K201" s="15"/>
      <c r="L201" s="15"/>
      <c r="M201" s="16"/>
      <c r="N201" s="17"/>
      <c r="O201" s="19" t="str">
        <f t="shared" si="0"/>
        <v/>
      </c>
      <c r="P201" s="17"/>
      <c r="Q201" s="17" t="str">
        <f t="shared" ca="1" si="1"/>
        <v/>
      </c>
      <c r="R201" s="21" t="str">
        <f ca="1">IF($Q201="","",IF($Q201&lt;=Settings!$B$8,Settings!$C$8,IF($Q201&lt;=Settings!$B$9,Settings!$C$9,IF($Q201&lt;=Settings!$B$10,Settings!$C$10,IF($Q201&lt;=Settings!$B$11,Settings!$C$11,Settings!$C$12)))))</f>
        <v/>
      </c>
      <c r="S201" s="21" t="str">
        <f>IF($F201="","",IFERROR(VLOOKUP($F201,Settings!$E$8:$F$11,2,FALSE),0))</f>
        <v/>
      </c>
      <c r="T201" s="21">
        <f>IF($G201="",Settings!$B$16,1)</f>
        <v>1</v>
      </c>
      <c r="U201" s="21" t="str">
        <f t="shared" si="2"/>
        <v/>
      </c>
      <c r="V201" s="32" t="str">
        <f>IF($C201="","",IF($Q201&gt;Settings!$B$4,IF($G201="","|","")&amp;"OLD_7D","")&amp;IF($Q201&gt;Settings!$B$5,IF(OR($G201="", $Q201&gt;Settings!$B$4),"|","")&amp;"OLD_30D",""))</f>
        <v/>
      </c>
      <c r="W201" s="21" t="str">
        <f>IF(OR($C201="", $M201&lt;&gt;"APPROVED",$I201="", $U201=0),"",SUMIFS($U$3:$U$502,$H$3:$H$502,$H201,$M$3:$M$502,"APPROVED",$Q$3:$Q$502,"&lt;="&amp;Settings!$B$4,$I$3:$I$502,"&lt;="&amp;$I201))</f>
        <v/>
      </c>
      <c r="X201" s="21" t="str">
        <f>IF(OR($C201="", $M201&lt;&gt;"APPROVED",$I201="", $U201=0),"",SUMIFS($U$3:$U$502,$H$3:$H$502,$H201,$M$3:$M$502,"APPROVED",$Q$3:$Q$502,"&lt;="&amp;Settings!$B$5,$I$3:$I$502,"&lt;="&amp;$I201))</f>
        <v/>
      </c>
      <c r="Y201" s="21" t="str">
        <f>IF($P201="","",IFERROR(MATCH($P201,Lists!$H$2:$H$4,0),""))</f>
        <v/>
      </c>
      <c r="Z201" s="21" t="str">
        <f t="shared" si="3"/>
        <v/>
      </c>
    </row>
    <row r="202" spans="1:26" ht="15.75" customHeight="1" x14ac:dyDescent="0.3">
      <c r="A202" s="16" t="str">
        <f t="shared" si="4"/>
        <v/>
      </c>
      <c r="B202" s="28"/>
      <c r="C202" s="29"/>
      <c r="D202" s="16"/>
      <c r="E202" s="16"/>
      <c r="F202" s="16"/>
      <c r="G202" s="16"/>
      <c r="H202" s="16"/>
      <c r="I202" s="31"/>
      <c r="J202" s="15"/>
      <c r="K202" s="15"/>
      <c r="L202" s="15"/>
      <c r="M202" s="16"/>
      <c r="N202" s="17"/>
      <c r="O202" s="19" t="str">
        <f t="shared" si="0"/>
        <v/>
      </c>
      <c r="P202" s="17"/>
      <c r="Q202" s="17" t="str">
        <f t="shared" ca="1" si="1"/>
        <v/>
      </c>
      <c r="R202" s="21" t="str">
        <f ca="1">IF($Q202="","",IF($Q202&lt;=Settings!$B$8,Settings!$C$8,IF($Q202&lt;=Settings!$B$9,Settings!$C$9,IF($Q202&lt;=Settings!$B$10,Settings!$C$10,IF($Q202&lt;=Settings!$B$11,Settings!$C$11,Settings!$C$12)))))</f>
        <v/>
      </c>
      <c r="S202" s="21" t="str">
        <f>IF($F202="","",IFERROR(VLOOKUP($F202,Settings!$E$8:$F$11,2,FALSE),0))</f>
        <v/>
      </c>
      <c r="T202" s="21">
        <f>IF($G202="",Settings!$B$16,1)</f>
        <v>1</v>
      </c>
      <c r="U202" s="21" t="str">
        <f t="shared" si="2"/>
        <v/>
      </c>
      <c r="V202" s="32" t="str">
        <f>IF($C202="","",IF($Q202&gt;Settings!$B$4,IF($G202="","|","")&amp;"OLD_7D","")&amp;IF($Q202&gt;Settings!$B$5,IF(OR($G202="", $Q202&gt;Settings!$B$4),"|","")&amp;"OLD_30D",""))</f>
        <v/>
      </c>
      <c r="W202" s="21" t="str">
        <f>IF(OR($C202="", $M202&lt;&gt;"APPROVED",$I202="", $U202=0),"",SUMIFS($U$3:$U$502,$H$3:$H$502,$H202,$M$3:$M$502,"APPROVED",$Q$3:$Q$502,"&lt;="&amp;Settings!$B$4,$I$3:$I$502,"&lt;="&amp;$I202))</f>
        <v/>
      </c>
      <c r="X202" s="21" t="str">
        <f>IF(OR($C202="", $M202&lt;&gt;"APPROVED",$I202="", $U202=0),"",SUMIFS($U$3:$U$502,$H$3:$H$502,$H202,$M$3:$M$502,"APPROVED",$Q$3:$Q$502,"&lt;="&amp;Settings!$B$5,$I$3:$I$502,"&lt;="&amp;$I202))</f>
        <v/>
      </c>
      <c r="Y202" s="21" t="str">
        <f>IF($P202="","",IFERROR(MATCH($P202,Lists!$H$2:$H$4,0),""))</f>
        <v/>
      </c>
      <c r="Z202" s="21" t="str">
        <f t="shared" si="3"/>
        <v/>
      </c>
    </row>
    <row r="203" spans="1:26" ht="15.75" customHeight="1" x14ac:dyDescent="0.3">
      <c r="A203" s="16" t="str">
        <f t="shared" si="4"/>
        <v/>
      </c>
      <c r="B203" s="28"/>
      <c r="C203" s="29"/>
      <c r="D203" s="16"/>
      <c r="E203" s="16"/>
      <c r="F203" s="16"/>
      <c r="G203" s="16"/>
      <c r="H203" s="16"/>
      <c r="I203" s="31"/>
      <c r="J203" s="15"/>
      <c r="K203" s="15"/>
      <c r="L203" s="15"/>
      <c r="M203" s="16"/>
      <c r="N203" s="17"/>
      <c r="O203" s="19" t="str">
        <f t="shared" si="0"/>
        <v/>
      </c>
      <c r="P203" s="17"/>
      <c r="Q203" s="17" t="str">
        <f t="shared" ca="1" si="1"/>
        <v/>
      </c>
      <c r="R203" s="21" t="str">
        <f ca="1">IF($Q203="","",IF($Q203&lt;=Settings!$B$8,Settings!$C$8,IF($Q203&lt;=Settings!$B$9,Settings!$C$9,IF($Q203&lt;=Settings!$B$10,Settings!$C$10,IF($Q203&lt;=Settings!$B$11,Settings!$C$11,Settings!$C$12)))))</f>
        <v/>
      </c>
      <c r="S203" s="21" t="str">
        <f>IF($F203="","",IFERROR(VLOOKUP($F203,Settings!$E$8:$F$11,2,FALSE),0))</f>
        <v/>
      </c>
      <c r="T203" s="21">
        <f>IF($G203="",Settings!$B$16,1)</f>
        <v>1</v>
      </c>
      <c r="U203" s="21" t="str">
        <f t="shared" si="2"/>
        <v/>
      </c>
      <c r="V203" s="32" t="str">
        <f>IF($C203="","",IF($Q203&gt;Settings!$B$4,IF($G203="","|","")&amp;"OLD_7D","")&amp;IF($Q203&gt;Settings!$B$5,IF(OR($G203="", $Q203&gt;Settings!$B$4),"|","")&amp;"OLD_30D",""))</f>
        <v/>
      </c>
      <c r="W203" s="21" t="str">
        <f>IF(OR($C203="", $M203&lt;&gt;"APPROVED",$I203="", $U203=0),"",SUMIFS($U$3:$U$502,$H$3:$H$502,$H203,$M$3:$M$502,"APPROVED",$Q$3:$Q$502,"&lt;="&amp;Settings!$B$4,$I$3:$I$502,"&lt;="&amp;$I203))</f>
        <v/>
      </c>
      <c r="X203" s="21" t="str">
        <f>IF(OR($C203="", $M203&lt;&gt;"APPROVED",$I203="", $U203=0),"",SUMIFS($U$3:$U$502,$H$3:$H$502,$H203,$M$3:$M$502,"APPROVED",$Q$3:$Q$502,"&lt;="&amp;Settings!$B$5,$I$3:$I$502,"&lt;="&amp;$I203))</f>
        <v/>
      </c>
      <c r="Y203" s="21" t="str">
        <f>IF($P203="","",IFERROR(MATCH($P203,Lists!$H$2:$H$4,0),""))</f>
        <v/>
      </c>
      <c r="Z203" s="21" t="str">
        <f t="shared" si="3"/>
        <v/>
      </c>
    </row>
    <row r="204" spans="1:26" ht="15.75" customHeight="1" x14ac:dyDescent="0.3">
      <c r="A204" s="16" t="str">
        <f t="shared" si="4"/>
        <v/>
      </c>
      <c r="B204" s="28"/>
      <c r="C204" s="29"/>
      <c r="D204" s="16"/>
      <c r="E204" s="16"/>
      <c r="F204" s="16"/>
      <c r="G204" s="16"/>
      <c r="H204" s="16"/>
      <c r="I204" s="31"/>
      <c r="J204" s="15"/>
      <c r="K204" s="15"/>
      <c r="L204" s="15"/>
      <c r="M204" s="16"/>
      <c r="N204" s="17"/>
      <c r="O204" s="19" t="str">
        <f t="shared" si="0"/>
        <v/>
      </c>
      <c r="P204" s="17"/>
      <c r="Q204" s="17" t="str">
        <f t="shared" ca="1" si="1"/>
        <v/>
      </c>
      <c r="R204" s="21" t="str">
        <f ca="1">IF($Q204="","",IF($Q204&lt;=Settings!$B$8,Settings!$C$8,IF($Q204&lt;=Settings!$B$9,Settings!$C$9,IF($Q204&lt;=Settings!$B$10,Settings!$C$10,IF($Q204&lt;=Settings!$B$11,Settings!$C$11,Settings!$C$12)))))</f>
        <v/>
      </c>
      <c r="S204" s="21" t="str">
        <f>IF($F204="","",IFERROR(VLOOKUP($F204,Settings!$E$8:$F$11,2,FALSE),0))</f>
        <v/>
      </c>
      <c r="T204" s="21">
        <f>IF($G204="",Settings!$B$16,1)</f>
        <v>1</v>
      </c>
      <c r="U204" s="21" t="str">
        <f t="shared" si="2"/>
        <v/>
      </c>
      <c r="V204" s="32" t="str">
        <f>IF($C204="","",IF($Q204&gt;Settings!$B$4,IF($G204="","|","")&amp;"OLD_7D","")&amp;IF($Q204&gt;Settings!$B$5,IF(OR($G204="", $Q204&gt;Settings!$B$4),"|","")&amp;"OLD_30D",""))</f>
        <v/>
      </c>
      <c r="W204" s="21" t="str">
        <f>IF(OR($C204="", $M204&lt;&gt;"APPROVED",$I204="", $U204=0),"",SUMIFS($U$3:$U$502,$H$3:$H$502,$H204,$M$3:$M$502,"APPROVED",$Q$3:$Q$502,"&lt;="&amp;Settings!$B$4,$I$3:$I$502,"&lt;="&amp;$I204))</f>
        <v/>
      </c>
      <c r="X204" s="21" t="str">
        <f>IF(OR($C204="", $M204&lt;&gt;"APPROVED",$I204="", $U204=0),"",SUMIFS($U$3:$U$502,$H$3:$H$502,$H204,$M$3:$M$502,"APPROVED",$Q$3:$Q$502,"&lt;="&amp;Settings!$B$5,$I$3:$I$502,"&lt;="&amp;$I204))</f>
        <v/>
      </c>
      <c r="Y204" s="21" t="str">
        <f>IF($P204="","",IFERROR(MATCH($P204,Lists!$H$2:$H$4,0),""))</f>
        <v/>
      </c>
      <c r="Z204" s="21" t="str">
        <f t="shared" si="3"/>
        <v/>
      </c>
    </row>
    <row r="205" spans="1:26" ht="15.75" customHeight="1" x14ac:dyDescent="0.3">
      <c r="A205" s="16" t="str">
        <f t="shared" si="4"/>
        <v/>
      </c>
      <c r="B205" s="28"/>
      <c r="C205" s="29"/>
      <c r="D205" s="16"/>
      <c r="E205" s="16"/>
      <c r="F205" s="16"/>
      <c r="G205" s="16"/>
      <c r="H205" s="16"/>
      <c r="I205" s="31"/>
      <c r="J205" s="15"/>
      <c r="K205" s="15"/>
      <c r="L205" s="15"/>
      <c r="M205" s="16"/>
      <c r="N205" s="17"/>
      <c r="O205" s="19" t="str">
        <f t="shared" si="0"/>
        <v/>
      </c>
      <c r="P205" s="17"/>
      <c r="Q205" s="17" t="str">
        <f t="shared" ca="1" si="1"/>
        <v/>
      </c>
      <c r="R205" s="21" t="str">
        <f ca="1">IF($Q205="","",IF($Q205&lt;=Settings!$B$8,Settings!$C$8,IF($Q205&lt;=Settings!$B$9,Settings!$C$9,IF($Q205&lt;=Settings!$B$10,Settings!$C$10,IF($Q205&lt;=Settings!$B$11,Settings!$C$11,Settings!$C$12)))))</f>
        <v/>
      </c>
      <c r="S205" s="21" t="str">
        <f>IF($F205="","",IFERROR(VLOOKUP($F205,Settings!$E$8:$F$11,2,FALSE),0))</f>
        <v/>
      </c>
      <c r="T205" s="21">
        <f>IF($G205="",Settings!$B$16,1)</f>
        <v>1</v>
      </c>
      <c r="U205" s="21" t="str">
        <f t="shared" si="2"/>
        <v/>
      </c>
      <c r="V205" s="32" t="str">
        <f>IF($C205="","",IF($Q205&gt;Settings!$B$4,IF($G205="","|","")&amp;"OLD_7D","")&amp;IF($Q205&gt;Settings!$B$5,IF(OR($G205="", $Q205&gt;Settings!$B$4),"|","")&amp;"OLD_30D",""))</f>
        <v/>
      </c>
      <c r="W205" s="21" t="str">
        <f>IF(OR($C205="", $M205&lt;&gt;"APPROVED",$I205="", $U205=0),"",SUMIFS($U$3:$U$502,$H$3:$H$502,$H205,$M$3:$M$502,"APPROVED",$Q$3:$Q$502,"&lt;="&amp;Settings!$B$4,$I$3:$I$502,"&lt;="&amp;$I205))</f>
        <v/>
      </c>
      <c r="X205" s="21" t="str">
        <f>IF(OR($C205="", $M205&lt;&gt;"APPROVED",$I205="", $U205=0),"",SUMIFS($U$3:$U$502,$H$3:$H$502,$H205,$M$3:$M$502,"APPROVED",$Q$3:$Q$502,"&lt;="&amp;Settings!$B$5,$I$3:$I$502,"&lt;="&amp;$I205))</f>
        <v/>
      </c>
      <c r="Y205" s="21" t="str">
        <f>IF($P205="","",IFERROR(MATCH($P205,Lists!$H$2:$H$4,0),""))</f>
        <v/>
      </c>
      <c r="Z205" s="21" t="str">
        <f t="shared" si="3"/>
        <v/>
      </c>
    </row>
    <row r="206" spans="1:26" ht="15.75" customHeight="1" x14ac:dyDescent="0.3">
      <c r="A206" s="16" t="str">
        <f t="shared" si="4"/>
        <v/>
      </c>
      <c r="B206" s="28"/>
      <c r="C206" s="29"/>
      <c r="D206" s="16"/>
      <c r="E206" s="16"/>
      <c r="F206" s="16"/>
      <c r="G206" s="16"/>
      <c r="H206" s="16"/>
      <c r="I206" s="31"/>
      <c r="J206" s="15"/>
      <c r="K206" s="15"/>
      <c r="L206" s="15"/>
      <c r="M206" s="16"/>
      <c r="N206" s="17"/>
      <c r="O206" s="19" t="str">
        <f t="shared" si="0"/>
        <v/>
      </c>
      <c r="P206" s="17"/>
      <c r="Q206" s="17" t="str">
        <f t="shared" ca="1" si="1"/>
        <v/>
      </c>
      <c r="R206" s="21" t="str">
        <f ca="1">IF($Q206="","",IF($Q206&lt;=Settings!$B$8,Settings!$C$8,IF($Q206&lt;=Settings!$B$9,Settings!$C$9,IF($Q206&lt;=Settings!$B$10,Settings!$C$10,IF($Q206&lt;=Settings!$B$11,Settings!$C$11,Settings!$C$12)))))</f>
        <v/>
      </c>
      <c r="S206" s="21" t="str">
        <f>IF($F206="","",IFERROR(VLOOKUP($F206,Settings!$E$8:$F$11,2,FALSE),0))</f>
        <v/>
      </c>
      <c r="T206" s="21">
        <f>IF($G206="",Settings!$B$16,1)</f>
        <v>1</v>
      </c>
      <c r="U206" s="21" t="str">
        <f t="shared" si="2"/>
        <v/>
      </c>
      <c r="V206" s="32" t="str">
        <f>IF($C206="","",IF($Q206&gt;Settings!$B$4,IF($G206="","|","")&amp;"OLD_7D","")&amp;IF($Q206&gt;Settings!$B$5,IF(OR($G206="", $Q206&gt;Settings!$B$4),"|","")&amp;"OLD_30D",""))</f>
        <v/>
      </c>
      <c r="W206" s="21" t="str">
        <f>IF(OR($C206="", $M206&lt;&gt;"APPROVED",$I206="", $U206=0),"",SUMIFS($U$3:$U$502,$H$3:$H$502,$H206,$M$3:$M$502,"APPROVED",$Q$3:$Q$502,"&lt;="&amp;Settings!$B$4,$I$3:$I$502,"&lt;="&amp;$I206))</f>
        <v/>
      </c>
      <c r="X206" s="21" t="str">
        <f>IF(OR($C206="", $M206&lt;&gt;"APPROVED",$I206="", $U206=0),"",SUMIFS($U$3:$U$502,$H$3:$H$502,$H206,$M$3:$M$502,"APPROVED",$Q$3:$Q$502,"&lt;="&amp;Settings!$B$5,$I$3:$I$502,"&lt;="&amp;$I206))</f>
        <v/>
      </c>
      <c r="Y206" s="21" t="str">
        <f>IF($P206="","",IFERROR(MATCH($P206,Lists!$H$2:$H$4,0),""))</f>
        <v/>
      </c>
      <c r="Z206" s="21" t="str">
        <f t="shared" si="3"/>
        <v/>
      </c>
    </row>
    <row r="207" spans="1:26" ht="15.75" customHeight="1" x14ac:dyDescent="0.3">
      <c r="A207" s="16" t="str">
        <f t="shared" si="4"/>
        <v/>
      </c>
      <c r="B207" s="28"/>
      <c r="C207" s="29"/>
      <c r="D207" s="16"/>
      <c r="E207" s="16"/>
      <c r="F207" s="16"/>
      <c r="G207" s="16"/>
      <c r="H207" s="16"/>
      <c r="I207" s="31"/>
      <c r="J207" s="15"/>
      <c r="K207" s="15"/>
      <c r="L207" s="15"/>
      <c r="M207" s="16"/>
      <c r="N207" s="17"/>
      <c r="O207" s="19" t="str">
        <f t="shared" si="0"/>
        <v/>
      </c>
      <c r="P207" s="17"/>
      <c r="Q207" s="17" t="str">
        <f t="shared" ca="1" si="1"/>
        <v/>
      </c>
      <c r="R207" s="21" t="str">
        <f ca="1">IF($Q207="","",IF($Q207&lt;=Settings!$B$8,Settings!$C$8,IF($Q207&lt;=Settings!$B$9,Settings!$C$9,IF($Q207&lt;=Settings!$B$10,Settings!$C$10,IF($Q207&lt;=Settings!$B$11,Settings!$C$11,Settings!$C$12)))))</f>
        <v/>
      </c>
      <c r="S207" s="21" t="str">
        <f>IF($F207="","",IFERROR(VLOOKUP($F207,Settings!$E$8:$F$11,2,FALSE),0))</f>
        <v/>
      </c>
      <c r="T207" s="21">
        <f>IF($G207="",Settings!$B$16,1)</f>
        <v>1</v>
      </c>
      <c r="U207" s="21" t="str">
        <f t="shared" si="2"/>
        <v/>
      </c>
      <c r="V207" s="32" t="str">
        <f>IF($C207="","",IF($Q207&gt;Settings!$B$4,IF($G207="","|","")&amp;"OLD_7D","")&amp;IF($Q207&gt;Settings!$B$5,IF(OR($G207="", $Q207&gt;Settings!$B$4),"|","")&amp;"OLD_30D",""))</f>
        <v/>
      </c>
      <c r="W207" s="21" t="str">
        <f>IF(OR($C207="", $M207&lt;&gt;"APPROVED",$I207="", $U207=0),"",SUMIFS($U$3:$U$502,$H$3:$H$502,$H207,$M$3:$M$502,"APPROVED",$Q$3:$Q$502,"&lt;="&amp;Settings!$B$4,$I$3:$I$502,"&lt;="&amp;$I207))</f>
        <v/>
      </c>
      <c r="X207" s="21" t="str">
        <f>IF(OR($C207="", $M207&lt;&gt;"APPROVED",$I207="", $U207=0),"",SUMIFS($U$3:$U$502,$H$3:$H$502,$H207,$M$3:$M$502,"APPROVED",$Q$3:$Q$502,"&lt;="&amp;Settings!$B$5,$I$3:$I$502,"&lt;="&amp;$I207))</f>
        <v/>
      </c>
      <c r="Y207" s="21" t="str">
        <f>IF($P207="","",IFERROR(MATCH($P207,Lists!$H$2:$H$4,0),""))</f>
        <v/>
      </c>
      <c r="Z207" s="21" t="str">
        <f t="shared" si="3"/>
        <v/>
      </c>
    </row>
    <row r="208" spans="1:26" ht="15.75" customHeight="1" x14ac:dyDescent="0.3">
      <c r="A208" s="16" t="str">
        <f t="shared" si="4"/>
        <v/>
      </c>
      <c r="B208" s="28"/>
      <c r="C208" s="29"/>
      <c r="D208" s="16"/>
      <c r="E208" s="16"/>
      <c r="F208" s="16"/>
      <c r="G208" s="16"/>
      <c r="H208" s="16"/>
      <c r="I208" s="31"/>
      <c r="J208" s="15"/>
      <c r="K208" s="15"/>
      <c r="L208" s="15"/>
      <c r="M208" s="16"/>
      <c r="N208" s="17"/>
      <c r="O208" s="19" t="str">
        <f t="shared" si="0"/>
        <v/>
      </c>
      <c r="P208" s="17"/>
      <c r="Q208" s="17" t="str">
        <f t="shared" ca="1" si="1"/>
        <v/>
      </c>
      <c r="R208" s="21" t="str">
        <f ca="1">IF($Q208="","",IF($Q208&lt;=Settings!$B$8,Settings!$C$8,IF($Q208&lt;=Settings!$B$9,Settings!$C$9,IF($Q208&lt;=Settings!$B$10,Settings!$C$10,IF($Q208&lt;=Settings!$B$11,Settings!$C$11,Settings!$C$12)))))</f>
        <v/>
      </c>
      <c r="S208" s="21" t="str">
        <f>IF($F208="","",IFERROR(VLOOKUP($F208,Settings!$E$8:$F$11,2,FALSE),0))</f>
        <v/>
      </c>
      <c r="T208" s="21">
        <f>IF($G208="",Settings!$B$16,1)</f>
        <v>1</v>
      </c>
      <c r="U208" s="21" t="str">
        <f t="shared" si="2"/>
        <v/>
      </c>
      <c r="V208" s="32" t="str">
        <f>IF($C208="","",IF($Q208&gt;Settings!$B$4,IF($G208="","|","")&amp;"OLD_7D","")&amp;IF($Q208&gt;Settings!$B$5,IF(OR($G208="", $Q208&gt;Settings!$B$4),"|","")&amp;"OLD_30D",""))</f>
        <v/>
      </c>
      <c r="W208" s="21" t="str">
        <f>IF(OR($C208="", $M208&lt;&gt;"APPROVED",$I208="", $U208=0),"",SUMIFS($U$3:$U$502,$H$3:$H$502,$H208,$M$3:$M$502,"APPROVED",$Q$3:$Q$502,"&lt;="&amp;Settings!$B$4,$I$3:$I$502,"&lt;="&amp;$I208))</f>
        <v/>
      </c>
      <c r="X208" s="21" t="str">
        <f>IF(OR($C208="", $M208&lt;&gt;"APPROVED",$I208="", $U208=0),"",SUMIFS($U$3:$U$502,$H$3:$H$502,$H208,$M$3:$M$502,"APPROVED",$Q$3:$Q$502,"&lt;="&amp;Settings!$B$5,$I$3:$I$502,"&lt;="&amp;$I208))</f>
        <v/>
      </c>
      <c r="Y208" s="21" t="str">
        <f>IF($P208="","",IFERROR(MATCH($P208,Lists!$H$2:$H$4,0),""))</f>
        <v/>
      </c>
      <c r="Z208" s="21" t="str">
        <f t="shared" si="3"/>
        <v/>
      </c>
    </row>
    <row r="209" spans="1:26" ht="15.75" customHeight="1" x14ac:dyDescent="0.3">
      <c r="A209" s="16" t="str">
        <f t="shared" si="4"/>
        <v/>
      </c>
      <c r="B209" s="28"/>
      <c r="C209" s="29"/>
      <c r="D209" s="16"/>
      <c r="E209" s="16"/>
      <c r="F209" s="16"/>
      <c r="G209" s="16"/>
      <c r="H209" s="16"/>
      <c r="I209" s="31"/>
      <c r="J209" s="15"/>
      <c r="K209" s="15"/>
      <c r="L209" s="15"/>
      <c r="M209" s="16"/>
      <c r="N209" s="17"/>
      <c r="O209" s="19" t="str">
        <f t="shared" si="0"/>
        <v/>
      </c>
      <c r="P209" s="17"/>
      <c r="Q209" s="17" t="str">
        <f t="shared" ca="1" si="1"/>
        <v/>
      </c>
      <c r="R209" s="21" t="str">
        <f ca="1">IF($Q209="","",IF($Q209&lt;=Settings!$B$8,Settings!$C$8,IF($Q209&lt;=Settings!$B$9,Settings!$C$9,IF($Q209&lt;=Settings!$B$10,Settings!$C$10,IF($Q209&lt;=Settings!$B$11,Settings!$C$11,Settings!$C$12)))))</f>
        <v/>
      </c>
      <c r="S209" s="21" t="str">
        <f>IF($F209="","",IFERROR(VLOOKUP($F209,Settings!$E$8:$F$11,2,FALSE),0))</f>
        <v/>
      </c>
      <c r="T209" s="21">
        <f>IF($G209="",Settings!$B$16,1)</f>
        <v>1</v>
      </c>
      <c r="U209" s="21" t="str">
        <f t="shared" si="2"/>
        <v/>
      </c>
      <c r="V209" s="32" t="str">
        <f>IF($C209="","",IF($Q209&gt;Settings!$B$4,IF($G209="","|","")&amp;"OLD_7D","")&amp;IF($Q209&gt;Settings!$B$5,IF(OR($G209="", $Q209&gt;Settings!$B$4),"|","")&amp;"OLD_30D",""))</f>
        <v/>
      </c>
      <c r="W209" s="21" t="str">
        <f>IF(OR($C209="", $M209&lt;&gt;"APPROVED",$I209="", $U209=0),"",SUMIFS($U$3:$U$502,$H$3:$H$502,$H209,$M$3:$M$502,"APPROVED",$Q$3:$Q$502,"&lt;="&amp;Settings!$B$4,$I$3:$I$502,"&lt;="&amp;$I209))</f>
        <v/>
      </c>
      <c r="X209" s="21" t="str">
        <f>IF(OR($C209="", $M209&lt;&gt;"APPROVED",$I209="", $U209=0),"",SUMIFS($U$3:$U$502,$H$3:$H$502,$H209,$M$3:$M$502,"APPROVED",$Q$3:$Q$502,"&lt;="&amp;Settings!$B$5,$I$3:$I$502,"&lt;="&amp;$I209))</f>
        <v/>
      </c>
      <c r="Y209" s="21" t="str">
        <f>IF($P209="","",IFERROR(MATCH($P209,Lists!$H$2:$H$4,0),""))</f>
        <v/>
      </c>
      <c r="Z209" s="21" t="str">
        <f t="shared" si="3"/>
        <v/>
      </c>
    </row>
    <row r="210" spans="1:26" ht="15.75" customHeight="1" x14ac:dyDescent="0.3">
      <c r="A210" s="16" t="str">
        <f t="shared" si="4"/>
        <v/>
      </c>
      <c r="B210" s="28"/>
      <c r="C210" s="29"/>
      <c r="D210" s="16"/>
      <c r="E210" s="16"/>
      <c r="F210" s="16"/>
      <c r="G210" s="16"/>
      <c r="H210" s="16"/>
      <c r="I210" s="31"/>
      <c r="J210" s="15"/>
      <c r="K210" s="15"/>
      <c r="L210" s="15"/>
      <c r="M210" s="16"/>
      <c r="N210" s="17"/>
      <c r="O210" s="19" t="str">
        <f t="shared" si="0"/>
        <v/>
      </c>
      <c r="P210" s="17"/>
      <c r="Q210" s="17" t="str">
        <f t="shared" ca="1" si="1"/>
        <v/>
      </c>
      <c r="R210" s="21" t="str">
        <f ca="1">IF($Q210="","",IF($Q210&lt;=Settings!$B$8,Settings!$C$8,IF($Q210&lt;=Settings!$B$9,Settings!$C$9,IF($Q210&lt;=Settings!$B$10,Settings!$C$10,IF($Q210&lt;=Settings!$B$11,Settings!$C$11,Settings!$C$12)))))</f>
        <v/>
      </c>
      <c r="S210" s="21" t="str">
        <f>IF($F210="","",IFERROR(VLOOKUP($F210,Settings!$E$8:$F$11,2,FALSE),0))</f>
        <v/>
      </c>
      <c r="T210" s="21">
        <f>IF($G210="",Settings!$B$16,1)</f>
        <v>1</v>
      </c>
      <c r="U210" s="21" t="str">
        <f t="shared" si="2"/>
        <v/>
      </c>
      <c r="V210" s="32" t="str">
        <f>IF($C210="","",IF($Q210&gt;Settings!$B$4,IF($G210="","|","")&amp;"OLD_7D","")&amp;IF($Q210&gt;Settings!$B$5,IF(OR($G210="", $Q210&gt;Settings!$B$4),"|","")&amp;"OLD_30D",""))</f>
        <v/>
      </c>
      <c r="W210" s="21" t="str">
        <f>IF(OR($C210="", $M210&lt;&gt;"APPROVED",$I210="", $U210=0),"",SUMIFS($U$3:$U$502,$H$3:$H$502,$H210,$M$3:$M$502,"APPROVED",$Q$3:$Q$502,"&lt;="&amp;Settings!$B$4,$I$3:$I$502,"&lt;="&amp;$I210))</f>
        <v/>
      </c>
      <c r="X210" s="21" t="str">
        <f>IF(OR($C210="", $M210&lt;&gt;"APPROVED",$I210="", $U210=0),"",SUMIFS($U$3:$U$502,$H$3:$H$502,$H210,$M$3:$M$502,"APPROVED",$Q$3:$Q$502,"&lt;="&amp;Settings!$B$5,$I$3:$I$502,"&lt;="&amp;$I210))</f>
        <v/>
      </c>
      <c r="Y210" s="21" t="str">
        <f>IF($P210="","",IFERROR(MATCH($P210,Lists!$H$2:$H$4,0),""))</f>
        <v/>
      </c>
      <c r="Z210" s="21" t="str">
        <f t="shared" si="3"/>
        <v/>
      </c>
    </row>
    <row r="211" spans="1:26" ht="15.75" customHeight="1" x14ac:dyDescent="0.3">
      <c r="A211" s="16" t="str">
        <f t="shared" si="4"/>
        <v/>
      </c>
      <c r="B211" s="28"/>
      <c r="C211" s="29"/>
      <c r="D211" s="16"/>
      <c r="E211" s="16"/>
      <c r="F211" s="16"/>
      <c r="G211" s="16"/>
      <c r="H211" s="16"/>
      <c r="I211" s="31"/>
      <c r="J211" s="15"/>
      <c r="K211" s="15"/>
      <c r="L211" s="15"/>
      <c r="M211" s="16"/>
      <c r="N211" s="17"/>
      <c r="O211" s="19" t="str">
        <f t="shared" si="0"/>
        <v/>
      </c>
      <c r="P211" s="17"/>
      <c r="Q211" s="17" t="str">
        <f t="shared" ca="1" si="1"/>
        <v/>
      </c>
      <c r="R211" s="21" t="str">
        <f ca="1">IF($Q211="","",IF($Q211&lt;=Settings!$B$8,Settings!$C$8,IF($Q211&lt;=Settings!$B$9,Settings!$C$9,IF($Q211&lt;=Settings!$B$10,Settings!$C$10,IF($Q211&lt;=Settings!$B$11,Settings!$C$11,Settings!$C$12)))))</f>
        <v/>
      </c>
      <c r="S211" s="21" t="str">
        <f>IF($F211="","",IFERROR(VLOOKUP($F211,Settings!$E$8:$F$11,2,FALSE),0))</f>
        <v/>
      </c>
      <c r="T211" s="21">
        <f>IF($G211="",Settings!$B$16,1)</f>
        <v>1</v>
      </c>
      <c r="U211" s="21" t="str">
        <f t="shared" si="2"/>
        <v/>
      </c>
      <c r="V211" s="32" t="str">
        <f>IF($C211="","",IF($Q211&gt;Settings!$B$4,IF($G211="","|","")&amp;"OLD_7D","")&amp;IF($Q211&gt;Settings!$B$5,IF(OR($G211="", $Q211&gt;Settings!$B$4),"|","")&amp;"OLD_30D",""))</f>
        <v/>
      </c>
      <c r="W211" s="21" t="str">
        <f>IF(OR($C211="", $M211&lt;&gt;"APPROVED",$I211="", $U211=0),"",SUMIFS($U$3:$U$502,$H$3:$H$502,$H211,$M$3:$M$502,"APPROVED",$Q$3:$Q$502,"&lt;="&amp;Settings!$B$4,$I$3:$I$502,"&lt;="&amp;$I211))</f>
        <v/>
      </c>
      <c r="X211" s="21" t="str">
        <f>IF(OR($C211="", $M211&lt;&gt;"APPROVED",$I211="", $U211=0),"",SUMIFS($U$3:$U$502,$H$3:$H$502,$H211,$M$3:$M$502,"APPROVED",$Q$3:$Q$502,"&lt;="&amp;Settings!$B$5,$I$3:$I$502,"&lt;="&amp;$I211))</f>
        <v/>
      </c>
      <c r="Y211" s="21" t="str">
        <f>IF($P211="","",IFERROR(MATCH($P211,Lists!$H$2:$H$4,0),""))</f>
        <v/>
      </c>
      <c r="Z211" s="21" t="str">
        <f t="shared" si="3"/>
        <v/>
      </c>
    </row>
    <row r="212" spans="1:26" ht="15.75" customHeight="1" x14ac:dyDescent="0.3">
      <c r="A212" s="16" t="str">
        <f t="shared" si="4"/>
        <v/>
      </c>
      <c r="B212" s="28"/>
      <c r="C212" s="29"/>
      <c r="D212" s="16"/>
      <c r="E212" s="16"/>
      <c r="F212" s="16"/>
      <c r="G212" s="16"/>
      <c r="H212" s="16"/>
      <c r="I212" s="31"/>
      <c r="J212" s="15"/>
      <c r="K212" s="15"/>
      <c r="L212" s="15"/>
      <c r="M212" s="16"/>
      <c r="N212" s="17"/>
      <c r="O212" s="19" t="str">
        <f t="shared" si="0"/>
        <v/>
      </c>
      <c r="P212" s="17"/>
      <c r="Q212" s="17" t="str">
        <f t="shared" ca="1" si="1"/>
        <v/>
      </c>
      <c r="R212" s="21" t="str">
        <f ca="1">IF($Q212="","",IF($Q212&lt;=Settings!$B$8,Settings!$C$8,IF($Q212&lt;=Settings!$B$9,Settings!$C$9,IF($Q212&lt;=Settings!$B$10,Settings!$C$10,IF($Q212&lt;=Settings!$B$11,Settings!$C$11,Settings!$C$12)))))</f>
        <v/>
      </c>
      <c r="S212" s="21" t="str">
        <f>IF($F212="","",IFERROR(VLOOKUP($F212,Settings!$E$8:$F$11,2,FALSE),0))</f>
        <v/>
      </c>
      <c r="T212" s="21">
        <f>IF($G212="",Settings!$B$16,1)</f>
        <v>1</v>
      </c>
      <c r="U212" s="21" t="str">
        <f t="shared" si="2"/>
        <v/>
      </c>
      <c r="V212" s="32" t="str">
        <f>IF($C212="","",IF($Q212&gt;Settings!$B$4,IF($G212="","|","")&amp;"OLD_7D","")&amp;IF($Q212&gt;Settings!$B$5,IF(OR($G212="", $Q212&gt;Settings!$B$4),"|","")&amp;"OLD_30D",""))</f>
        <v/>
      </c>
      <c r="W212" s="21" t="str">
        <f>IF(OR($C212="", $M212&lt;&gt;"APPROVED",$I212="", $U212=0),"",SUMIFS($U$3:$U$502,$H$3:$H$502,$H212,$M$3:$M$502,"APPROVED",$Q$3:$Q$502,"&lt;="&amp;Settings!$B$4,$I$3:$I$502,"&lt;="&amp;$I212))</f>
        <v/>
      </c>
      <c r="X212" s="21" t="str">
        <f>IF(OR($C212="", $M212&lt;&gt;"APPROVED",$I212="", $U212=0),"",SUMIFS($U$3:$U$502,$H$3:$H$502,$H212,$M$3:$M$502,"APPROVED",$Q$3:$Q$502,"&lt;="&amp;Settings!$B$5,$I$3:$I$502,"&lt;="&amp;$I212))</f>
        <v/>
      </c>
      <c r="Y212" s="21" t="str">
        <f>IF($P212="","",IFERROR(MATCH($P212,Lists!$H$2:$H$4,0),""))</f>
        <v/>
      </c>
      <c r="Z212" s="21" t="str">
        <f t="shared" si="3"/>
        <v/>
      </c>
    </row>
    <row r="213" spans="1:26" ht="15.75" customHeight="1" x14ac:dyDescent="0.3">
      <c r="A213" s="16" t="str">
        <f t="shared" si="4"/>
        <v/>
      </c>
      <c r="B213" s="28"/>
      <c r="C213" s="29"/>
      <c r="D213" s="16"/>
      <c r="E213" s="16"/>
      <c r="F213" s="16"/>
      <c r="G213" s="16"/>
      <c r="H213" s="16"/>
      <c r="I213" s="31"/>
      <c r="J213" s="15"/>
      <c r="K213" s="15"/>
      <c r="L213" s="15"/>
      <c r="M213" s="16"/>
      <c r="N213" s="17"/>
      <c r="O213" s="19" t="str">
        <f t="shared" si="0"/>
        <v/>
      </c>
      <c r="P213" s="17"/>
      <c r="Q213" s="17" t="str">
        <f t="shared" ca="1" si="1"/>
        <v/>
      </c>
      <c r="R213" s="21" t="str">
        <f ca="1">IF($Q213="","",IF($Q213&lt;=Settings!$B$8,Settings!$C$8,IF($Q213&lt;=Settings!$B$9,Settings!$C$9,IF($Q213&lt;=Settings!$B$10,Settings!$C$10,IF($Q213&lt;=Settings!$B$11,Settings!$C$11,Settings!$C$12)))))</f>
        <v/>
      </c>
      <c r="S213" s="21" t="str">
        <f>IF($F213="","",IFERROR(VLOOKUP($F213,Settings!$E$8:$F$11,2,FALSE),0))</f>
        <v/>
      </c>
      <c r="T213" s="21">
        <f>IF($G213="",Settings!$B$16,1)</f>
        <v>1</v>
      </c>
      <c r="U213" s="21" t="str">
        <f t="shared" si="2"/>
        <v/>
      </c>
      <c r="V213" s="32" t="str">
        <f>IF($C213="","",IF($Q213&gt;Settings!$B$4,IF($G213="","|","")&amp;"OLD_7D","")&amp;IF($Q213&gt;Settings!$B$5,IF(OR($G213="", $Q213&gt;Settings!$B$4),"|","")&amp;"OLD_30D",""))</f>
        <v/>
      </c>
      <c r="W213" s="21" t="str">
        <f>IF(OR($C213="", $M213&lt;&gt;"APPROVED",$I213="", $U213=0),"",SUMIFS($U$3:$U$502,$H$3:$H$502,$H213,$M$3:$M$502,"APPROVED",$Q$3:$Q$502,"&lt;="&amp;Settings!$B$4,$I$3:$I$502,"&lt;="&amp;$I213))</f>
        <v/>
      </c>
      <c r="X213" s="21" t="str">
        <f>IF(OR($C213="", $M213&lt;&gt;"APPROVED",$I213="", $U213=0),"",SUMIFS($U$3:$U$502,$H$3:$H$502,$H213,$M$3:$M$502,"APPROVED",$Q$3:$Q$502,"&lt;="&amp;Settings!$B$5,$I$3:$I$502,"&lt;="&amp;$I213))</f>
        <v/>
      </c>
      <c r="Y213" s="21" t="str">
        <f>IF($P213="","",IFERROR(MATCH($P213,Lists!$H$2:$H$4,0),""))</f>
        <v/>
      </c>
      <c r="Z213" s="21" t="str">
        <f t="shared" si="3"/>
        <v/>
      </c>
    </row>
    <row r="214" spans="1:26" ht="15.75" customHeight="1" x14ac:dyDescent="0.3">
      <c r="A214" s="16" t="str">
        <f t="shared" si="4"/>
        <v/>
      </c>
      <c r="B214" s="28"/>
      <c r="C214" s="29"/>
      <c r="D214" s="16"/>
      <c r="E214" s="16"/>
      <c r="F214" s="16"/>
      <c r="G214" s="16"/>
      <c r="H214" s="16"/>
      <c r="I214" s="31"/>
      <c r="J214" s="15"/>
      <c r="K214" s="15"/>
      <c r="L214" s="15"/>
      <c r="M214" s="16"/>
      <c r="N214" s="17"/>
      <c r="O214" s="19" t="str">
        <f t="shared" si="0"/>
        <v/>
      </c>
      <c r="P214" s="17"/>
      <c r="Q214" s="17" t="str">
        <f t="shared" ca="1" si="1"/>
        <v/>
      </c>
      <c r="R214" s="21" t="str">
        <f ca="1">IF($Q214="","",IF($Q214&lt;=Settings!$B$8,Settings!$C$8,IF($Q214&lt;=Settings!$B$9,Settings!$C$9,IF($Q214&lt;=Settings!$B$10,Settings!$C$10,IF($Q214&lt;=Settings!$B$11,Settings!$C$11,Settings!$C$12)))))</f>
        <v/>
      </c>
      <c r="S214" s="21" t="str">
        <f>IF($F214="","",IFERROR(VLOOKUP($F214,Settings!$E$8:$F$11,2,FALSE),0))</f>
        <v/>
      </c>
      <c r="T214" s="21">
        <f>IF($G214="",Settings!$B$16,1)</f>
        <v>1</v>
      </c>
      <c r="U214" s="21" t="str">
        <f t="shared" si="2"/>
        <v/>
      </c>
      <c r="V214" s="32" t="str">
        <f>IF($C214="","",IF($Q214&gt;Settings!$B$4,IF($G214="","|","")&amp;"OLD_7D","")&amp;IF($Q214&gt;Settings!$B$5,IF(OR($G214="", $Q214&gt;Settings!$B$4),"|","")&amp;"OLD_30D",""))</f>
        <v/>
      </c>
      <c r="W214" s="21" t="str">
        <f>IF(OR($C214="", $M214&lt;&gt;"APPROVED",$I214="", $U214=0),"",SUMIFS($U$3:$U$502,$H$3:$H$502,$H214,$M$3:$M$502,"APPROVED",$Q$3:$Q$502,"&lt;="&amp;Settings!$B$4,$I$3:$I$502,"&lt;="&amp;$I214))</f>
        <v/>
      </c>
      <c r="X214" s="21" t="str">
        <f>IF(OR($C214="", $M214&lt;&gt;"APPROVED",$I214="", $U214=0),"",SUMIFS($U$3:$U$502,$H$3:$H$502,$H214,$M$3:$M$502,"APPROVED",$Q$3:$Q$502,"&lt;="&amp;Settings!$B$5,$I$3:$I$502,"&lt;="&amp;$I214))</f>
        <v/>
      </c>
      <c r="Y214" s="21" t="str">
        <f>IF($P214="","",IFERROR(MATCH($P214,Lists!$H$2:$H$4,0),""))</f>
        <v/>
      </c>
      <c r="Z214" s="21" t="str">
        <f t="shared" si="3"/>
        <v/>
      </c>
    </row>
    <row r="215" spans="1:26" ht="15.75" customHeight="1" x14ac:dyDescent="0.3">
      <c r="A215" s="16" t="str">
        <f t="shared" si="4"/>
        <v/>
      </c>
      <c r="B215" s="28"/>
      <c r="C215" s="29"/>
      <c r="D215" s="16"/>
      <c r="E215" s="16"/>
      <c r="F215" s="16"/>
      <c r="G215" s="16"/>
      <c r="H215" s="16"/>
      <c r="I215" s="31"/>
      <c r="J215" s="15"/>
      <c r="K215" s="15"/>
      <c r="L215" s="15"/>
      <c r="M215" s="16"/>
      <c r="N215" s="17"/>
      <c r="O215" s="19" t="str">
        <f t="shared" si="0"/>
        <v/>
      </c>
      <c r="P215" s="17"/>
      <c r="Q215" s="17" t="str">
        <f t="shared" ca="1" si="1"/>
        <v/>
      </c>
      <c r="R215" s="21" t="str">
        <f ca="1">IF($Q215="","",IF($Q215&lt;=Settings!$B$8,Settings!$C$8,IF($Q215&lt;=Settings!$B$9,Settings!$C$9,IF($Q215&lt;=Settings!$B$10,Settings!$C$10,IF($Q215&lt;=Settings!$B$11,Settings!$C$11,Settings!$C$12)))))</f>
        <v/>
      </c>
      <c r="S215" s="21" t="str">
        <f>IF($F215="","",IFERROR(VLOOKUP($F215,Settings!$E$8:$F$11,2,FALSE),0))</f>
        <v/>
      </c>
      <c r="T215" s="21">
        <f>IF($G215="",Settings!$B$16,1)</f>
        <v>1</v>
      </c>
      <c r="U215" s="21" t="str">
        <f t="shared" si="2"/>
        <v/>
      </c>
      <c r="V215" s="32" t="str">
        <f>IF($C215="","",IF($Q215&gt;Settings!$B$4,IF($G215="","|","")&amp;"OLD_7D","")&amp;IF($Q215&gt;Settings!$B$5,IF(OR($G215="", $Q215&gt;Settings!$B$4),"|","")&amp;"OLD_30D",""))</f>
        <v/>
      </c>
      <c r="W215" s="21" t="str">
        <f>IF(OR($C215="", $M215&lt;&gt;"APPROVED",$I215="", $U215=0),"",SUMIFS($U$3:$U$502,$H$3:$H$502,$H215,$M$3:$M$502,"APPROVED",$Q$3:$Q$502,"&lt;="&amp;Settings!$B$4,$I$3:$I$502,"&lt;="&amp;$I215))</f>
        <v/>
      </c>
      <c r="X215" s="21" t="str">
        <f>IF(OR($C215="", $M215&lt;&gt;"APPROVED",$I215="", $U215=0),"",SUMIFS($U$3:$U$502,$H$3:$H$502,$H215,$M$3:$M$502,"APPROVED",$Q$3:$Q$502,"&lt;="&amp;Settings!$B$5,$I$3:$I$502,"&lt;="&amp;$I215))</f>
        <v/>
      </c>
      <c r="Y215" s="21" t="str">
        <f>IF($P215="","",IFERROR(MATCH($P215,Lists!$H$2:$H$4,0),""))</f>
        <v/>
      </c>
      <c r="Z215" s="21" t="str">
        <f t="shared" si="3"/>
        <v/>
      </c>
    </row>
    <row r="216" spans="1:26" ht="15.75" customHeight="1" x14ac:dyDescent="0.3">
      <c r="A216" s="16" t="str">
        <f t="shared" si="4"/>
        <v/>
      </c>
      <c r="B216" s="28"/>
      <c r="C216" s="29"/>
      <c r="D216" s="16"/>
      <c r="E216" s="16"/>
      <c r="F216" s="16"/>
      <c r="G216" s="16"/>
      <c r="H216" s="16"/>
      <c r="I216" s="31"/>
      <c r="J216" s="15"/>
      <c r="K216" s="15"/>
      <c r="L216" s="15"/>
      <c r="M216" s="16"/>
      <c r="N216" s="17"/>
      <c r="O216" s="19" t="str">
        <f t="shared" si="0"/>
        <v/>
      </c>
      <c r="P216" s="17"/>
      <c r="Q216" s="17" t="str">
        <f t="shared" ca="1" si="1"/>
        <v/>
      </c>
      <c r="R216" s="21" t="str">
        <f ca="1">IF($Q216="","",IF($Q216&lt;=Settings!$B$8,Settings!$C$8,IF($Q216&lt;=Settings!$B$9,Settings!$C$9,IF($Q216&lt;=Settings!$B$10,Settings!$C$10,IF($Q216&lt;=Settings!$B$11,Settings!$C$11,Settings!$C$12)))))</f>
        <v/>
      </c>
      <c r="S216" s="21" t="str">
        <f>IF($F216="","",IFERROR(VLOOKUP($F216,Settings!$E$8:$F$11,2,FALSE),0))</f>
        <v/>
      </c>
      <c r="T216" s="21">
        <f>IF($G216="",Settings!$B$16,1)</f>
        <v>1</v>
      </c>
      <c r="U216" s="21" t="str">
        <f t="shared" si="2"/>
        <v/>
      </c>
      <c r="V216" s="32" t="str">
        <f>IF($C216="","",IF($Q216&gt;Settings!$B$4,IF($G216="","|","")&amp;"OLD_7D","")&amp;IF($Q216&gt;Settings!$B$5,IF(OR($G216="", $Q216&gt;Settings!$B$4),"|","")&amp;"OLD_30D",""))</f>
        <v/>
      </c>
      <c r="W216" s="21" t="str">
        <f>IF(OR($C216="", $M216&lt;&gt;"APPROVED",$I216="", $U216=0),"",SUMIFS($U$3:$U$502,$H$3:$H$502,$H216,$M$3:$M$502,"APPROVED",$Q$3:$Q$502,"&lt;="&amp;Settings!$B$4,$I$3:$I$502,"&lt;="&amp;$I216))</f>
        <v/>
      </c>
      <c r="X216" s="21" t="str">
        <f>IF(OR($C216="", $M216&lt;&gt;"APPROVED",$I216="", $U216=0),"",SUMIFS($U$3:$U$502,$H$3:$H$502,$H216,$M$3:$M$502,"APPROVED",$Q$3:$Q$502,"&lt;="&amp;Settings!$B$5,$I$3:$I$502,"&lt;="&amp;$I216))</f>
        <v/>
      </c>
      <c r="Y216" s="21" t="str">
        <f>IF($P216="","",IFERROR(MATCH($P216,Lists!$H$2:$H$4,0),""))</f>
        <v/>
      </c>
      <c r="Z216" s="21" t="str">
        <f t="shared" si="3"/>
        <v/>
      </c>
    </row>
    <row r="217" spans="1:26" ht="15.75" customHeight="1" x14ac:dyDescent="0.3">
      <c r="A217" s="16" t="str">
        <f t="shared" si="4"/>
        <v/>
      </c>
      <c r="B217" s="28"/>
      <c r="C217" s="29"/>
      <c r="D217" s="16"/>
      <c r="E217" s="16"/>
      <c r="F217" s="16"/>
      <c r="G217" s="16"/>
      <c r="H217" s="16"/>
      <c r="I217" s="31"/>
      <c r="J217" s="15"/>
      <c r="K217" s="15"/>
      <c r="L217" s="15"/>
      <c r="M217" s="16"/>
      <c r="N217" s="17"/>
      <c r="O217" s="19" t="str">
        <f t="shared" si="0"/>
        <v/>
      </c>
      <c r="P217" s="17"/>
      <c r="Q217" s="17" t="str">
        <f t="shared" ca="1" si="1"/>
        <v/>
      </c>
      <c r="R217" s="21" t="str">
        <f ca="1">IF($Q217="","",IF($Q217&lt;=Settings!$B$8,Settings!$C$8,IF($Q217&lt;=Settings!$B$9,Settings!$C$9,IF($Q217&lt;=Settings!$B$10,Settings!$C$10,IF($Q217&lt;=Settings!$B$11,Settings!$C$11,Settings!$C$12)))))</f>
        <v/>
      </c>
      <c r="S217" s="21" t="str">
        <f>IF($F217="","",IFERROR(VLOOKUP($F217,Settings!$E$8:$F$11,2,FALSE),0))</f>
        <v/>
      </c>
      <c r="T217" s="21">
        <f>IF($G217="",Settings!$B$16,1)</f>
        <v>1</v>
      </c>
      <c r="U217" s="21" t="str">
        <f t="shared" si="2"/>
        <v/>
      </c>
      <c r="V217" s="32" t="str">
        <f>IF($C217="","",IF($Q217&gt;Settings!$B$4,IF($G217="","|","")&amp;"OLD_7D","")&amp;IF($Q217&gt;Settings!$B$5,IF(OR($G217="", $Q217&gt;Settings!$B$4),"|","")&amp;"OLD_30D",""))</f>
        <v/>
      </c>
      <c r="W217" s="21" t="str">
        <f>IF(OR($C217="", $M217&lt;&gt;"APPROVED",$I217="", $U217=0),"",SUMIFS($U$3:$U$502,$H$3:$H$502,$H217,$M$3:$M$502,"APPROVED",$Q$3:$Q$502,"&lt;="&amp;Settings!$B$4,$I$3:$I$502,"&lt;="&amp;$I217))</f>
        <v/>
      </c>
      <c r="X217" s="21" t="str">
        <f>IF(OR($C217="", $M217&lt;&gt;"APPROVED",$I217="", $U217=0),"",SUMIFS($U$3:$U$502,$H$3:$H$502,$H217,$M$3:$M$502,"APPROVED",$Q$3:$Q$502,"&lt;="&amp;Settings!$B$5,$I$3:$I$502,"&lt;="&amp;$I217))</f>
        <v/>
      </c>
      <c r="Y217" s="21" t="str">
        <f>IF($P217="","",IFERROR(MATCH($P217,Lists!$H$2:$H$4,0),""))</f>
        <v/>
      </c>
      <c r="Z217" s="21" t="str">
        <f t="shared" si="3"/>
        <v/>
      </c>
    </row>
    <row r="218" spans="1:26" ht="15.75" customHeight="1" x14ac:dyDescent="0.3">
      <c r="A218" s="16" t="str">
        <f t="shared" si="4"/>
        <v/>
      </c>
      <c r="B218" s="28"/>
      <c r="C218" s="29"/>
      <c r="D218" s="16"/>
      <c r="E218" s="16"/>
      <c r="F218" s="16"/>
      <c r="G218" s="16"/>
      <c r="H218" s="16"/>
      <c r="I218" s="31"/>
      <c r="J218" s="15"/>
      <c r="K218" s="15"/>
      <c r="L218" s="15"/>
      <c r="M218" s="16"/>
      <c r="N218" s="17"/>
      <c r="O218" s="19" t="str">
        <f t="shared" si="0"/>
        <v/>
      </c>
      <c r="P218" s="17"/>
      <c r="Q218" s="17" t="str">
        <f t="shared" ca="1" si="1"/>
        <v/>
      </c>
      <c r="R218" s="21" t="str">
        <f ca="1">IF($Q218="","",IF($Q218&lt;=Settings!$B$8,Settings!$C$8,IF($Q218&lt;=Settings!$B$9,Settings!$C$9,IF($Q218&lt;=Settings!$B$10,Settings!$C$10,IF($Q218&lt;=Settings!$B$11,Settings!$C$11,Settings!$C$12)))))</f>
        <v/>
      </c>
      <c r="S218" s="21" t="str">
        <f>IF($F218="","",IFERROR(VLOOKUP($F218,Settings!$E$8:$F$11,2,FALSE),0))</f>
        <v/>
      </c>
      <c r="T218" s="21">
        <f>IF($G218="",Settings!$B$16,1)</f>
        <v>1</v>
      </c>
      <c r="U218" s="21" t="str">
        <f t="shared" si="2"/>
        <v/>
      </c>
      <c r="V218" s="32" t="str">
        <f>IF($C218="","",IF($Q218&gt;Settings!$B$4,IF($G218="","|","")&amp;"OLD_7D","")&amp;IF($Q218&gt;Settings!$B$5,IF(OR($G218="", $Q218&gt;Settings!$B$4),"|","")&amp;"OLD_30D",""))</f>
        <v/>
      </c>
      <c r="W218" s="21" t="str">
        <f>IF(OR($C218="", $M218&lt;&gt;"APPROVED",$I218="", $U218=0),"",SUMIFS($U$3:$U$502,$H$3:$H$502,$H218,$M$3:$M$502,"APPROVED",$Q$3:$Q$502,"&lt;="&amp;Settings!$B$4,$I$3:$I$502,"&lt;="&amp;$I218))</f>
        <v/>
      </c>
      <c r="X218" s="21" t="str">
        <f>IF(OR($C218="", $M218&lt;&gt;"APPROVED",$I218="", $U218=0),"",SUMIFS($U$3:$U$502,$H$3:$H$502,$H218,$M$3:$M$502,"APPROVED",$Q$3:$Q$502,"&lt;="&amp;Settings!$B$5,$I$3:$I$502,"&lt;="&amp;$I218))</f>
        <v/>
      </c>
      <c r="Y218" s="21" t="str">
        <f>IF($P218="","",IFERROR(MATCH($P218,Lists!$H$2:$H$4,0),""))</f>
        <v/>
      </c>
      <c r="Z218" s="21" t="str">
        <f t="shared" si="3"/>
        <v/>
      </c>
    </row>
    <row r="219" spans="1:26" ht="15.75" customHeight="1" x14ac:dyDescent="0.3">
      <c r="A219" s="16" t="str">
        <f t="shared" si="4"/>
        <v/>
      </c>
      <c r="B219" s="28"/>
      <c r="C219" s="29"/>
      <c r="D219" s="16"/>
      <c r="E219" s="16"/>
      <c r="F219" s="16"/>
      <c r="G219" s="16"/>
      <c r="H219" s="16"/>
      <c r="I219" s="31"/>
      <c r="J219" s="15"/>
      <c r="K219" s="15"/>
      <c r="L219" s="15"/>
      <c r="M219" s="16"/>
      <c r="N219" s="17"/>
      <c r="O219" s="19" t="str">
        <f t="shared" si="0"/>
        <v/>
      </c>
      <c r="P219" s="17"/>
      <c r="Q219" s="17" t="str">
        <f t="shared" ca="1" si="1"/>
        <v/>
      </c>
      <c r="R219" s="21" t="str">
        <f ca="1">IF($Q219="","",IF($Q219&lt;=Settings!$B$8,Settings!$C$8,IF($Q219&lt;=Settings!$B$9,Settings!$C$9,IF($Q219&lt;=Settings!$B$10,Settings!$C$10,IF($Q219&lt;=Settings!$B$11,Settings!$C$11,Settings!$C$12)))))</f>
        <v/>
      </c>
      <c r="S219" s="21" t="str">
        <f>IF($F219="","",IFERROR(VLOOKUP($F219,Settings!$E$8:$F$11,2,FALSE),0))</f>
        <v/>
      </c>
      <c r="T219" s="21">
        <f>IF($G219="",Settings!$B$16,1)</f>
        <v>1</v>
      </c>
      <c r="U219" s="21" t="str">
        <f t="shared" si="2"/>
        <v/>
      </c>
      <c r="V219" s="32" t="str">
        <f>IF($C219="","",IF($Q219&gt;Settings!$B$4,IF($G219="","|","")&amp;"OLD_7D","")&amp;IF($Q219&gt;Settings!$B$5,IF(OR($G219="", $Q219&gt;Settings!$B$4),"|","")&amp;"OLD_30D",""))</f>
        <v/>
      </c>
      <c r="W219" s="21" t="str">
        <f>IF(OR($C219="", $M219&lt;&gt;"APPROVED",$I219="", $U219=0),"",SUMIFS($U$3:$U$502,$H$3:$H$502,$H219,$M$3:$M$502,"APPROVED",$Q$3:$Q$502,"&lt;="&amp;Settings!$B$4,$I$3:$I$502,"&lt;="&amp;$I219))</f>
        <v/>
      </c>
      <c r="X219" s="21" t="str">
        <f>IF(OR($C219="", $M219&lt;&gt;"APPROVED",$I219="", $U219=0),"",SUMIFS($U$3:$U$502,$H$3:$H$502,$H219,$M$3:$M$502,"APPROVED",$Q$3:$Q$502,"&lt;="&amp;Settings!$B$5,$I$3:$I$502,"&lt;="&amp;$I219))</f>
        <v/>
      </c>
      <c r="Y219" s="21" t="str">
        <f>IF($P219="","",IFERROR(MATCH($P219,Lists!$H$2:$H$4,0),""))</f>
        <v/>
      </c>
      <c r="Z219" s="21" t="str">
        <f t="shared" si="3"/>
        <v/>
      </c>
    </row>
    <row r="220" spans="1:26" ht="15.75" customHeight="1" x14ac:dyDescent="0.3">
      <c r="A220" s="16" t="str">
        <f t="shared" si="4"/>
        <v/>
      </c>
      <c r="B220" s="28"/>
      <c r="C220" s="29"/>
      <c r="D220" s="16"/>
      <c r="E220" s="16"/>
      <c r="F220" s="16"/>
      <c r="G220" s="16"/>
      <c r="H220" s="16"/>
      <c r="I220" s="31"/>
      <c r="J220" s="15"/>
      <c r="K220" s="15"/>
      <c r="L220" s="15"/>
      <c r="M220" s="16"/>
      <c r="N220" s="17"/>
      <c r="O220" s="19" t="str">
        <f t="shared" si="0"/>
        <v/>
      </c>
      <c r="P220" s="17"/>
      <c r="Q220" s="17" t="str">
        <f t="shared" ca="1" si="1"/>
        <v/>
      </c>
      <c r="R220" s="21" t="str">
        <f ca="1">IF($Q220="","",IF($Q220&lt;=Settings!$B$8,Settings!$C$8,IF($Q220&lt;=Settings!$B$9,Settings!$C$9,IF($Q220&lt;=Settings!$B$10,Settings!$C$10,IF($Q220&lt;=Settings!$B$11,Settings!$C$11,Settings!$C$12)))))</f>
        <v/>
      </c>
      <c r="S220" s="21" t="str">
        <f>IF($F220="","",IFERROR(VLOOKUP($F220,Settings!$E$8:$F$11,2,FALSE),0))</f>
        <v/>
      </c>
      <c r="T220" s="21">
        <f>IF($G220="",Settings!$B$16,1)</f>
        <v>1</v>
      </c>
      <c r="U220" s="21" t="str">
        <f t="shared" si="2"/>
        <v/>
      </c>
      <c r="V220" s="32" t="str">
        <f>IF($C220="","",IF($Q220&gt;Settings!$B$4,IF($G220="","|","")&amp;"OLD_7D","")&amp;IF($Q220&gt;Settings!$B$5,IF(OR($G220="", $Q220&gt;Settings!$B$4),"|","")&amp;"OLD_30D",""))</f>
        <v/>
      </c>
      <c r="W220" s="21" t="str">
        <f>IF(OR($C220="", $M220&lt;&gt;"APPROVED",$I220="", $U220=0),"",SUMIFS($U$3:$U$502,$H$3:$H$502,$H220,$M$3:$M$502,"APPROVED",$Q$3:$Q$502,"&lt;="&amp;Settings!$B$4,$I$3:$I$502,"&lt;="&amp;$I220))</f>
        <v/>
      </c>
      <c r="X220" s="21" t="str">
        <f>IF(OR($C220="", $M220&lt;&gt;"APPROVED",$I220="", $U220=0),"",SUMIFS($U$3:$U$502,$H$3:$H$502,$H220,$M$3:$M$502,"APPROVED",$Q$3:$Q$502,"&lt;="&amp;Settings!$B$5,$I$3:$I$502,"&lt;="&amp;$I220))</f>
        <v/>
      </c>
      <c r="Y220" s="21" t="str">
        <f>IF($P220="","",IFERROR(MATCH($P220,Lists!$H$2:$H$4,0),""))</f>
        <v/>
      </c>
      <c r="Z220" s="21" t="str">
        <f t="shared" si="3"/>
        <v/>
      </c>
    </row>
    <row r="221" spans="1:26" ht="15.75" customHeight="1" x14ac:dyDescent="0.3">
      <c r="A221" s="16" t="str">
        <f t="shared" si="4"/>
        <v/>
      </c>
      <c r="B221" s="28"/>
      <c r="C221" s="29"/>
      <c r="D221" s="16"/>
      <c r="E221" s="16"/>
      <c r="F221" s="16"/>
      <c r="G221" s="16"/>
      <c r="H221" s="16"/>
      <c r="I221" s="31"/>
      <c r="J221" s="15"/>
      <c r="K221" s="15"/>
      <c r="L221" s="15"/>
      <c r="M221" s="16"/>
      <c r="N221" s="17"/>
      <c r="O221" s="19" t="str">
        <f t="shared" si="0"/>
        <v/>
      </c>
      <c r="P221" s="17"/>
      <c r="Q221" s="17" t="str">
        <f t="shared" ca="1" si="1"/>
        <v/>
      </c>
      <c r="R221" s="21" t="str">
        <f ca="1">IF($Q221="","",IF($Q221&lt;=Settings!$B$8,Settings!$C$8,IF($Q221&lt;=Settings!$B$9,Settings!$C$9,IF($Q221&lt;=Settings!$B$10,Settings!$C$10,IF($Q221&lt;=Settings!$B$11,Settings!$C$11,Settings!$C$12)))))</f>
        <v/>
      </c>
      <c r="S221" s="21" t="str">
        <f>IF($F221="","",IFERROR(VLOOKUP($F221,Settings!$E$8:$F$11,2,FALSE),0))</f>
        <v/>
      </c>
      <c r="T221" s="21">
        <f>IF($G221="",Settings!$B$16,1)</f>
        <v>1</v>
      </c>
      <c r="U221" s="21" t="str">
        <f t="shared" si="2"/>
        <v/>
      </c>
      <c r="V221" s="32" t="str">
        <f>IF($C221="","",IF($Q221&gt;Settings!$B$4,IF($G221="","|","")&amp;"OLD_7D","")&amp;IF($Q221&gt;Settings!$B$5,IF(OR($G221="", $Q221&gt;Settings!$B$4),"|","")&amp;"OLD_30D",""))</f>
        <v/>
      </c>
      <c r="W221" s="21" t="str">
        <f>IF(OR($C221="", $M221&lt;&gt;"APPROVED",$I221="", $U221=0),"",SUMIFS($U$3:$U$502,$H$3:$H$502,$H221,$M$3:$M$502,"APPROVED",$Q$3:$Q$502,"&lt;="&amp;Settings!$B$4,$I$3:$I$502,"&lt;="&amp;$I221))</f>
        <v/>
      </c>
      <c r="X221" s="21" t="str">
        <f>IF(OR($C221="", $M221&lt;&gt;"APPROVED",$I221="", $U221=0),"",SUMIFS($U$3:$U$502,$H$3:$H$502,$H221,$M$3:$M$502,"APPROVED",$Q$3:$Q$502,"&lt;="&amp;Settings!$B$5,$I$3:$I$502,"&lt;="&amp;$I221))</f>
        <v/>
      </c>
      <c r="Y221" s="21" t="str">
        <f>IF($P221="","",IFERROR(MATCH($P221,Lists!$H$2:$H$4,0),""))</f>
        <v/>
      </c>
      <c r="Z221" s="21" t="str">
        <f t="shared" si="3"/>
        <v/>
      </c>
    </row>
    <row r="222" spans="1:26" ht="15.75" customHeight="1" x14ac:dyDescent="0.3">
      <c r="A222" s="16" t="str">
        <f t="shared" si="4"/>
        <v/>
      </c>
      <c r="B222" s="28"/>
      <c r="C222" s="29"/>
      <c r="D222" s="16"/>
      <c r="E222" s="16"/>
      <c r="F222" s="16"/>
      <c r="G222" s="16"/>
      <c r="H222" s="16"/>
      <c r="I222" s="31"/>
      <c r="J222" s="15"/>
      <c r="K222" s="15"/>
      <c r="L222" s="15"/>
      <c r="M222" s="16"/>
      <c r="N222" s="17"/>
      <c r="O222" s="19" t="str">
        <f t="shared" si="0"/>
        <v/>
      </c>
      <c r="P222" s="17"/>
      <c r="Q222" s="17" t="str">
        <f t="shared" ca="1" si="1"/>
        <v/>
      </c>
      <c r="R222" s="21" t="str">
        <f ca="1">IF($Q222="","",IF($Q222&lt;=Settings!$B$8,Settings!$C$8,IF($Q222&lt;=Settings!$B$9,Settings!$C$9,IF($Q222&lt;=Settings!$B$10,Settings!$C$10,IF($Q222&lt;=Settings!$B$11,Settings!$C$11,Settings!$C$12)))))</f>
        <v/>
      </c>
      <c r="S222" s="21" t="str">
        <f>IF($F222="","",IFERROR(VLOOKUP($F222,Settings!$E$8:$F$11,2,FALSE),0))</f>
        <v/>
      </c>
      <c r="T222" s="21">
        <f>IF($G222="",Settings!$B$16,1)</f>
        <v>1</v>
      </c>
      <c r="U222" s="21" t="str">
        <f t="shared" si="2"/>
        <v/>
      </c>
      <c r="V222" s="32" t="str">
        <f>IF($C222="","",IF($Q222&gt;Settings!$B$4,IF($G222="","|","")&amp;"OLD_7D","")&amp;IF($Q222&gt;Settings!$B$5,IF(OR($G222="", $Q222&gt;Settings!$B$4),"|","")&amp;"OLD_30D",""))</f>
        <v/>
      </c>
      <c r="W222" s="21" t="str">
        <f>IF(OR($C222="", $M222&lt;&gt;"APPROVED",$I222="", $U222=0),"",SUMIFS($U$3:$U$502,$H$3:$H$502,$H222,$M$3:$M$502,"APPROVED",$Q$3:$Q$502,"&lt;="&amp;Settings!$B$4,$I$3:$I$502,"&lt;="&amp;$I222))</f>
        <v/>
      </c>
      <c r="X222" s="21" t="str">
        <f>IF(OR($C222="", $M222&lt;&gt;"APPROVED",$I222="", $U222=0),"",SUMIFS($U$3:$U$502,$H$3:$H$502,$H222,$M$3:$M$502,"APPROVED",$Q$3:$Q$502,"&lt;="&amp;Settings!$B$5,$I$3:$I$502,"&lt;="&amp;$I222))</f>
        <v/>
      </c>
      <c r="Y222" s="21" t="str">
        <f>IF($P222="","",IFERROR(MATCH($P222,Lists!$H$2:$H$4,0),""))</f>
        <v/>
      </c>
      <c r="Z222" s="21" t="str">
        <f t="shared" si="3"/>
        <v/>
      </c>
    </row>
    <row r="223" spans="1:26" ht="15.75" customHeight="1" x14ac:dyDescent="0.3">
      <c r="A223" s="16" t="str">
        <f t="shared" si="4"/>
        <v/>
      </c>
      <c r="B223" s="28"/>
      <c r="C223" s="29"/>
      <c r="D223" s="16"/>
      <c r="E223" s="16"/>
      <c r="F223" s="16"/>
      <c r="G223" s="16"/>
      <c r="H223" s="16"/>
      <c r="I223" s="31"/>
      <c r="J223" s="15"/>
      <c r="K223" s="15"/>
      <c r="L223" s="15"/>
      <c r="M223" s="16"/>
      <c r="N223" s="17"/>
      <c r="O223" s="19" t="str">
        <f t="shared" si="0"/>
        <v/>
      </c>
      <c r="P223" s="17"/>
      <c r="Q223" s="17" t="str">
        <f t="shared" ca="1" si="1"/>
        <v/>
      </c>
      <c r="R223" s="21" t="str">
        <f ca="1">IF($Q223="","",IF($Q223&lt;=Settings!$B$8,Settings!$C$8,IF($Q223&lt;=Settings!$B$9,Settings!$C$9,IF($Q223&lt;=Settings!$B$10,Settings!$C$10,IF($Q223&lt;=Settings!$B$11,Settings!$C$11,Settings!$C$12)))))</f>
        <v/>
      </c>
      <c r="S223" s="21" t="str">
        <f>IF($F223="","",IFERROR(VLOOKUP($F223,Settings!$E$8:$F$11,2,FALSE),0))</f>
        <v/>
      </c>
      <c r="T223" s="21">
        <f>IF($G223="",Settings!$B$16,1)</f>
        <v>1</v>
      </c>
      <c r="U223" s="21" t="str">
        <f t="shared" si="2"/>
        <v/>
      </c>
      <c r="V223" s="32" t="str">
        <f>IF($C223="","",IF($Q223&gt;Settings!$B$4,IF($G223="","|","")&amp;"OLD_7D","")&amp;IF($Q223&gt;Settings!$B$5,IF(OR($G223="", $Q223&gt;Settings!$B$4),"|","")&amp;"OLD_30D",""))</f>
        <v/>
      </c>
      <c r="W223" s="21" t="str">
        <f>IF(OR($C223="", $M223&lt;&gt;"APPROVED",$I223="", $U223=0),"",SUMIFS($U$3:$U$502,$H$3:$H$502,$H223,$M$3:$M$502,"APPROVED",$Q$3:$Q$502,"&lt;="&amp;Settings!$B$4,$I$3:$I$502,"&lt;="&amp;$I223))</f>
        <v/>
      </c>
      <c r="X223" s="21" t="str">
        <f>IF(OR($C223="", $M223&lt;&gt;"APPROVED",$I223="", $U223=0),"",SUMIFS($U$3:$U$502,$H$3:$H$502,$H223,$M$3:$M$502,"APPROVED",$Q$3:$Q$502,"&lt;="&amp;Settings!$B$5,$I$3:$I$502,"&lt;="&amp;$I223))</f>
        <v/>
      </c>
      <c r="Y223" s="21" t="str">
        <f>IF($P223="","",IFERROR(MATCH($P223,Lists!$H$2:$H$4,0),""))</f>
        <v/>
      </c>
      <c r="Z223" s="21" t="str">
        <f t="shared" si="3"/>
        <v/>
      </c>
    </row>
    <row r="224" spans="1:26" ht="15.75" customHeight="1" x14ac:dyDescent="0.3">
      <c r="A224" s="16" t="str">
        <f t="shared" si="4"/>
        <v/>
      </c>
      <c r="B224" s="28"/>
      <c r="C224" s="29"/>
      <c r="D224" s="16"/>
      <c r="E224" s="16"/>
      <c r="F224" s="16"/>
      <c r="G224" s="16"/>
      <c r="H224" s="16"/>
      <c r="I224" s="31"/>
      <c r="J224" s="15"/>
      <c r="K224" s="15"/>
      <c r="L224" s="15"/>
      <c r="M224" s="16"/>
      <c r="N224" s="17"/>
      <c r="O224" s="19" t="str">
        <f t="shared" si="0"/>
        <v/>
      </c>
      <c r="P224" s="17"/>
      <c r="Q224" s="17" t="str">
        <f t="shared" ca="1" si="1"/>
        <v/>
      </c>
      <c r="R224" s="21" t="str">
        <f ca="1">IF($Q224="","",IF($Q224&lt;=Settings!$B$8,Settings!$C$8,IF($Q224&lt;=Settings!$B$9,Settings!$C$9,IF($Q224&lt;=Settings!$B$10,Settings!$C$10,IF($Q224&lt;=Settings!$B$11,Settings!$C$11,Settings!$C$12)))))</f>
        <v/>
      </c>
      <c r="S224" s="21" t="str">
        <f>IF($F224="","",IFERROR(VLOOKUP($F224,Settings!$E$8:$F$11,2,FALSE),0))</f>
        <v/>
      </c>
      <c r="T224" s="21">
        <f>IF($G224="",Settings!$B$16,1)</f>
        <v>1</v>
      </c>
      <c r="U224" s="21" t="str">
        <f t="shared" si="2"/>
        <v/>
      </c>
      <c r="V224" s="32" t="str">
        <f>IF($C224="","",IF($Q224&gt;Settings!$B$4,IF($G224="","|","")&amp;"OLD_7D","")&amp;IF($Q224&gt;Settings!$B$5,IF(OR($G224="", $Q224&gt;Settings!$B$4),"|","")&amp;"OLD_30D",""))</f>
        <v/>
      </c>
      <c r="W224" s="21" t="str">
        <f>IF(OR($C224="", $M224&lt;&gt;"APPROVED",$I224="", $U224=0),"",SUMIFS($U$3:$U$502,$H$3:$H$502,$H224,$M$3:$M$502,"APPROVED",$Q$3:$Q$502,"&lt;="&amp;Settings!$B$4,$I$3:$I$502,"&lt;="&amp;$I224))</f>
        <v/>
      </c>
      <c r="X224" s="21" t="str">
        <f>IF(OR($C224="", $M224&lt;&gt;"APPROVED",$I224="", $U224=0),"",SUMIFS($U$3:$U$502,$H$3:$H$502,$H224,$M$3:$M$502,"APPROVED",$Q$3:$Q$502,"&lt;="&amp;Settings!$B$5,$I$3:$I$502,"&lt;="&amp;$I224))</f>
        <v/>
      </c>
      <c r="Y224" s="21" t="str">
        <f>IF($P224="","",IFERROR(MATCH($P224,Lists!$H$2:$H$4,0),""))</f>
        <v/>
      </c>
      <c r="Z224" s="21" t="str">
        <f t="shared" si="3"/>
        <v/>
      </c>
    </row>
    <row r="225" spans="1:26" ht="15.75" customHeight="1" x14ac:dyDescent="0.3">
      <c r="A225" s="16" t="str">
        <f t="shared" si="4"/>
        <v/>
      </c>
      <c r="B225" s="28"/>
      <c r="C225" s="29"/>
      <c r="D225" s="16"/>
      <c r="E225" s="16"/>
      <c r="F225" s="16"/>
      <c r="G225" s="16"/>
      <c r="H225" s="16"/>
      <c r="I225" s="31"/>
      <c r="J225" s="15"/>
      <c r="K225" s="15"/>
      <c r="L225" s="15"/>
      <c r="M225" s="16"/>
      <c r="N225" s="17"/>
      <c r="O225" s="19" t="str">
        <f t="shared" si="0"/>
        <v/>
      </c>
      <c r="P225" s="17"/>
      <c r="Q225" s="17" t="str">
        <f t="shared" ca="1" si="1"/>
        <v/>
      </c>
      <c r="R225" s="21" t="str">
        <f ca="1">IF($Q225="","",IF($Q225&lt;=Settings!$B$8,Settings!$C$8,IF($Q225&lt;=Settings!$B$9,Settings!$C$9,IF($Q225&lt;=Settings!$B$10,Settings!$C$10,IF($Q225&lt;=Settings!$B$11,Settings!$C$11,Settings!$C$12)))))</f>
        <v/>
      </c>
      <c r="S225" s="21" t="str">
        <f>IF($F225="","",IFERROR(VLOOKUP($F225,Settings!$E$8:$F$11,2,FALSE),0))</f>
        <v/>
      </c>
      <c r="T225" s="21">
        <f>IF($G225="",Settings!$B$16,1)</f>
        <v>1</v>
      </c>
      <c r="U225" s="21" t="str">
        <f t="shared" si="2"/>
        <v/>
      </c>
      <c r="V225" s="32" t="str">
        <f>IF($C225="","",IF($Q225&gt;Settings!$B$4,IF($G225="","|","")&amp;"OLD_7D","")&amp;IF($Q225&gt;Settings!$B$5,IF(OR($G225="", $Q225&gt;Settings!$B$4),"|","")&amp;"OLD_30D",""))</f>
        <v/>
      </c>
      <c r="W225" s="21" t="str">
        <f>IF(OR($C225="", $M225&lt;&gt;"APPROVED",$I225="", $U225=0),"",SUMIFS($U$3:$U$502,$H$3:$H$502,$H225,$M$3:$M$502,"APPROVED",$Q$3:$Q$502,"&lt;="&amp;Settings!$B$4,$I$3:$I$502,"&lt;="&amp;$I225))</f>
        <v/>
      </c>
      <c r="X225" s="21" t="str">
        <f>IF(OR($C225="", $M225&lt;&gt;"APPROVED",$I225="", $U225=0),"",SUMIFS($U$3:$U$502,$H$3:$H$502,$H225,$M$3:$M$502,"APPROVED",$Q$3:$Q$502,"&lt;="&amp;Settings!$B$5,$I$3:$I$502,"&lt;="&amp;$I225))</f>
        <v/>
      </c>
      <c r="Y225" s="21" t="str">
        <f>IF($P225="","",IFERROR(MATCH($P225,Lists!$H$2:$H$4,0),""))</f>
        <v/>
      </c>
      <c r="Z225" s="21" t="str">
        <f t="shared" si="3"/>
        <v/>
      </c>
    </row>
    <row r="226" spans="1:26" ht="15.75" customHeight="1" x14ac:dyDescent="0.3">
      <c r="A226" s="16" t="str">
        <f t="shared" si="4"/>
        <v/>
      </c>
      <c r="B226" s="28"/>
      <c r="C226" s="29"/>
      <c r="D226" s="16"/>
      <c r="E226" s="16"/>
      <c r="F226" s="16"/>
      <c r="G226" s="16"/>
      <c r="H226" s="16"/>
      <c r="I226" s="31"/>
      <c r="J226" s="15"/>
      <c r="K226" s="15"/>
      <c r="L226" s="15"/>
      <c r="M226" s="16"/>
      <c r="N226" s="17"/>
      <c r="O226" s="19" t="str">
        <f t="shared" si="0"/>
        <v/>
      </c>
      <c r="P226" s="17"/>
      <c r="Q226" s="17" t="str">
        <f t="shared" ca="1" si="1"/>
        <v/>
      </c>
      <c r="R226" s="21" t="str">
        <f ca="1">IF($Q226="","",IF($Q226&lt;=Settings!$B$8,Settings!$C$8,IF($Q226&lt;=Settings!$B$9,Settings!$C$9,IF($Q226&lt;=Settings!$B$10,Settings!$C$10,IF($Q226&lt;=Settings!$B$11,Settings!$C$11,Settings!$C$12)))))</f>
        <v/>
      </c>
      <c r="S226" s="21" t="str">
        <f>IF($F226="","",IFERROR(VLOOKUP($F226,Settings!$E$8:$F$11,2,FALSE),0))</f>
        <v/>
      </c>
      <c r="T226" s="21">
        <f>IF($G226="",Settings!$B$16,1)</f>
        <v>1</v>
      </c>
      <c r="U226" s="21" t="str">
        <f t="shared" si="2"/>
        <v/>
      </c>
      <c r="V226" s="32" t="str">
        <f>IF($C226="","",IF($Q226&gt;Settings!$B$4,IF($G226="","|","")&amp;"OLD_7D","")&amp;IF($Q226&gt;Settings!$B$5,IF(OR($G226="", $Q226&gt;Settings!$B$4),"|","")&amp;"OLD_30D",""))</f>
        <v/>
      </c>
      <c r="W226" s="21" t="str">
        <f>IF(OR($C226="", $M226&lt;&gt;"APPROVED",$I226="", $U226=0),"",SUMIFS($U$3:$U$502,$H$3:$H$502,$H226,$M$3:$M$502,"APPROVED",$Q$3:$Q$502,"&lt;="&amp;Settings!$B$4,$I$3:$I$502,"&lt;="&amp;$I226))</f>
        <v/>
      </c>
      <c r="X226" s="21" t="str">
        <f>IF(OR($C226="", $M226&lt;&gt;"APPROVED",$I226="", $U226=0),"",SUMIFS($U$3:$U$502,$H$3:$H$502,$H226,$M$3:$M$502,"APPROVED",$Q$3:$Q$502,"&lt;="&amp;Settings!$B$5,$I$3:$I$502,"&lt;="&amp;$I226))</f>
        <v/>
      </c>
      <c r="Y226" s="21" t="str">
        <f>IF($P226="","",IFERROR(MATCH($P226,Lists!$H$2:$H$4,0),""))</f>
        <v/>
      </c>
      <c r="Z226" s="21" t="str">
        <f t="shared" si="3"/>
        <v/>
      </c>
    </row>
    <row r="227" spans="1:26" ht="15.75" customHeight="1" x14ac:dyDescent="0.3">
      <c r="A227" s="16" t="str">
        <f t="shared" si="4"/>
        <v/>
      </c>
      <c r="B227" s="28"/>
      <c r="C227" s="29"/>
      <c r="D227" s="16"/>
      <c r="E227" s="16"/>
      <c r="F227" s="16"/>
      <c r="G227" s="16"/>
      <c r="H227" s="16"/>
      <c r="I227" s="31"/>
      <c r="J227" s="15"/>
      <c r="K227" s="15"/>
      <c r="L227" s="15"/>
      <c r="M227" s="16"/>
      <c r="N227" s="17"/>
      <c r="O227" s="19" t="str">
        <f t="shared" si="0"/>
        <v/>
      </c>
      <c r="P227" s="17"/>
      <c r="Q227" s="17" t="str">
        <f t="shared" ca="1" si="1"/>
        <v/>
      </c>
      <c r="R227" s="21" t="str">
        <f ca="1">IF($Q227="","",IF($Q227&lt;=Settings!$B$8,Settings!$C$8,IF($Q227&lt;=Settings!$B$9,Settings!$C$9,IF($Q227&lt;=Settings!$B$10,Settings!$C$10,IF($Q227&lt;=Settings!$B$11,Settings!$C$11,Settings!$C$12)))))</f>
        <v/>
      </c>
      <c r="S227" s="21" t="str">
        <f>IF($F227="","",IFERROR(VLOOKUP($F227,Settings!$E$8:$F$11,2,FALSE),0))</f>
        <v/>
      </c>
      <c r="T227" s="21">
        <f>IF($G227="",Settings!$B$16,1)</f>
        <v>1</v>
      </c>
      <c r="U227" s="21" t="str">
        <f t="shared" si="2"/>
        <v/>
      </c>
      <c r="V227" s="32" t="str">
        <f>IF($C227="","",IF($Q227&gt;Settings!$B$4,IF($G227="","|","")&amp;"OLD_7D","")&amp;IF($Q227&gt;Settings!$B$5,IF(OR($G227="", $Q227&gt;Settings!$B$4),"|","")&amp;"OLD_30D",""))</f>
        <v/>
      </c>
      <c r="W227" s="21" t="str">
        <f>IF(OR($C227="", $M227&lt;&gt;"APPROVED",$I227="", $U227=0),"",SUMIFS($U$3:$U$502,$H$3:$H$502,$H227,$M$3:$M$502,"APPROVED",$Q$3:$Q$502,"&lt;="&amp;Settings!$B$4,$I$3:$I$502,"&lt;="&amp;$I227))</f>
        <v/>
      </c>
      <c r="X227" s="21" t="str">
        <f>IF(OR($C227="", $M227&lt;&gt;"APPROVED",$I227="", $U227=0),"",SUMIFS($U$3:$U$502,$H$3:$H$502,$H227,$M$3:$M$502,"APPROVED",$Q$3:$Q$502,"&lt;="&amp;Settings!$B$5,$I$3:$I$502,"&lt;="&amp;$I227))</f>
        <v/>
      </c>
      <c r="Y227" s="21" t="str">
        <f>IF($P227="","",IFERROR(MATCH($P227,Lists!$H$2:$H$4,0),""))</f>
        <v/>
      </c>
      <c r="Z227" s="21" t="str">
        <f t="shared" si="3"/>
        <v/>
      </c>
    </row>
    <row r="228" spans="1:26" ht="15.75" customHeight="1" x14ac:dyDescent="0.3">
      <c r="A228" s="16" t="str">
        <f t="shared" si="4"/>
        <v/>
      </c>
      <c r="B228" s="28"/>
      <c r="C228" s="29"/>
      <c r="D228" s="16"/>
      <c r="E228" s="16"/>
      <c r="F228" s="16"/>
      <c r="G228" s="16"/>
      <c r="H228" s="16"/>
      <c r="I228" s="31"/>
      <c r="J228" s="15"/>
      <c r="K228" s="15"/>
      <c r="L228" s="15"/>
      <c r="M228" s="16"/>
      <c r="N228" s="17"/>
      <c r="O228" s="19" t="str">
        <f t="shared" si="0"/>
        <v/>
      </c>
      <c r="P228" s="17"/>
      <c r="Q228" s="17" t="str">
        <f t="shared" ca="1" si="1"/>
        <v/>
      </c>
      <c r="R228" s="21" t="str">
        <f ca="1">IF($Q228="","",IF($Q228&lt;=Settings!$B$8,Settings!$C$8,IF($Q228&lt;=Settings!$B$9,Settings!$C$9,IF($Q228&lt;=Settings!$B$10,Settings!$C$10,IF($Q228&lt;=Settings!$B$11,Settings!$C$11,Settings!$C$12)))))</f>
        <v/>
      </c>
      <c r="S228" s="21" t="str">
        <f>IF($F228="","",IFERROR(VLOOKUP($F228,Settings!$E$8:$F$11,2,FALSE),0))</f>
        <v/>
      </c>
      <c r="T228" s="21">
        <f>IF($G228="",Settings!$B$16,1)</f>
        <v>1</v>
      </c>
      <c r="U228" s="21" t="str">
        <f t="shared" si="2"/>
        <v/>
      </c>
      <c r="V228" s="32" t="str">
        <f>IF($C228="","",IF($Q228&gt;Settings!$B$4,IF($G228="","|","")&amp;"OLD_7D","")&amp;IF($Q228&gt;Settings!$B$5,IF(OR($G228="", $Q228&gt;Settings!$B$4),"|","")&amp;"OLD_30D",""))</f>
        <v/>
      </c>
      <c r="W228" s="21" t="str">
        <f>IF(OR($C228="", $M228&lt;&gt;"APPROVED",$I228="", $U228=0),"",SUMIFS($U$3:$U$502,$H$3:$H$502,$H228,$M$3:$M$502,"APPROVED",$Q$3:$Q$502,"&lt;="&amp;Settings!$B$4,$I$3:$I$502,"&lt;="&amp;$I228))</f>
        <v/>
      </c>
      <c r="X228" s="21" t="str">
        <f>IF(OR($C228="", $M228&lt;&gt;"APPROVED",$I228="", $U228=0),"",SUMIFS($U$3:$U$502,$H$3:$H$502,$H228,$M$3:$M$502,"APPROVED",$Q$3:$Q$502,"&lt;="&amp;Settings!$B$5,$I$3:$I$502,"&lt;="&amp;$I228))</f>
        <v/>
      </c>
      <c r="Y228" s="21" t="str">
        <f>IF($P228="","",IFERROR(MATCH($P228,Lists!$H$2:$H$4,0),""))</f>
        <v/>
      </c>
      <c r="Z228" s="21" t="str">
        <f t="shared" si="3"/>
        <v/>
      </c>
    </row>
    <row r="229" spans="1:26" ht="15.75" customHeight="1" x14ac:dyDescent="0.3">
      <c r="A229" s="16" t="str">
        <f t="shared" si="4"/>
        <v/>
      </c>
      <c r="B229" s="28"/>
      <c r="C229" s="29"/>
      <c r="D229" s="16"/>
      <c r="E229" s="16"/>
      <c r="F229" s="16"/>
      <c r="G229" s="16"/>
      <c r="H229" s="16"/>
      <c r="I229" s="31"/>
      <c r="J229" s="15"/>
      <c r="K229" s="15"/>
      <c r="L229" s="15"/>
      <c r="M229" s="16"/>
      <c r="N229" s="17"/>
      <c r="O229" s="19" t="str">
        <f t="shared" si="0"/>
        <v/>
      </c>
      <c r="P229" s="17"/>
      <c r="Q229" s="17" t="str">
        <f t="shared" ca="1" si="1"/>
        <v/>
      </c>
      <c r="R229" s="21" t="str">
        <f ca="1">IF($Q229="","",IF($Q229&lt;=Settings!$B$8,Settings!$C$8,IF($Q229&lt;=Settings!$B$9,Settings!$C$9,IF($Q229&lt;=Settings!$B$10,Settings!$C$10,IF($Q229&lt;=Settings!$B$11,Settings!$C$11,Settings!$C$12)))))</f>
        <v/>
      </c>
      <c r="S229" s="21" t="str">
        <f>IF($F229="","",IFERROR(VLOOKUP($F229,Settings!$E$8:$F$11,2,FALSE),0))</f>
        <v/>
      </c>
      <c r="T229" s="21">
        <f>IF($G229="",Settings!$B$16,1)</f>
        <v>1</v>
      </c>
      <c r="U229" s="21" t="str">
        <f t="shared" si="2"/>
        <v/>
      </c>
      <c r="V229" s="32" t="str">
        <f>IF($C229="","",IF($Q229&gt;Settings!$B$4,IF($G229="","|","")&amp;"OLD_7D","")&amp;IF($Q229&gt;Settings!$B$5,IF(OR($G229="", $Q229&gt;Settings!$B$4),"|","")&amp;"OLD_30D",""))</f>
        <v/>
      </c>
      <c r="W229" s="21" t="str">
        <f>IF(OR($C229="", $M229&lt;&gt;"APPROVED",$I229="", $U229=0),"",SUMIFS($U$3:$U$502,$H$3:$H$502,$H229,$M$3:$M$502,"APPROVED",$Q$3:$Q$502,"&lt;="&amp;Settings!$B$4,$I$3:$I$502,"&lt;="&amp;$I229))</f>
        <v/>
      </c>
      <c r="X229" s="21" t="str">
        <f>IF(OR($C229="", $M229&lt;&gt;"APPROVED",$I229="", $U229=0),"",SUMIFS($U$3:$U$502,$H$3:$H$502,$H229,$M$3:$M$502,"APPROVED",$Q$3:$Q$502,"&lt;="&amp;Settings!$B$5,$I$3:$I$502,"&lt;="&amp;$I229))</f>
        <v/>
      </c>
      <c r="Y229" s="21" t="str">
        <f>IF($P229="","",IFERROR(MATCH($P229,Lists!$H$2:$H$4,0),""))</f>
        <v/>
      </c>
      <c r="Z229" s="21" t="str">
        <f t="shared" si="3"/>
        <v/>
      </c>
    </row>
    <row r="230" spans="1:26" ht="15.75" customHeight="1" x14ac:dyDescent="0.3">
      <c r="A230" s="16" t="str">
        <f t="shared" si="4"/>
        <v/>
      </c>
      <c r="B230" s="28"/>
      <c r="C230" s="29"/>
      <c r="D230" s="16"/>
      <c r="E230" s="16"/>
      <c r="F230" s="16"/>
      <c r="G230" s="16"/>
      <c r="H230" s="16"/>
      <c r="I230" s="31"/>
      <c r="J230" s="15"/>
      <c r="K230" s="15"/>
      <c r="L230" s="15"/>
      <c r="M230" s="16"/>
      <c r="N230" s="17"/>
      <c r="O230" s="19" t="str">
        <f t="shared" si="0"/>
        <v/>
      </c>
      <c r="P230" s="17"/>
      <c r="Q230" s="17" t="str">
        <f t="shared" ca="1" si="1"/>
        <v/>
      </c>
      <c r="R230" s="21" t="str">
        <f ca="1">IF($Q230="","",IF($Q230&lt;=Settings!$B$8,Settings!$C$8,IF($Q230&lt;=Settings!$B$9,Settings!$C$9,IF($Q230&lt;=Settings!$B$10,Settings!$C$10,IF($Q230&lt;=Settings!$B$11,Settings!$C$11,Settings!$C$12)))))</f>
        <v/>
      </c>
      <c r="S230" s="21" t="str">
        <f>IF($F230="","",IFERROR(VLOOKUP($F230,Settings!$E$8:$F$11,2,FALSE),0))</f>
        <v/>
      </c>
      <c r="T230" s="21">
        <f>IF($G230="",Settings!$B$16,1)</f>
        <v>1</v>
      </c>
      <c r="U230" s="21" t="str">
        <f t="shared" si="2"/>
        <v/>
      </c>
      <c r="V230" s="32" t="str">
        <f>IF($C230="","",IF($Q230&gt;Settings!$B$4,IF($G230="","|","")&amp;"OLD_7D","")&amp;IF($Q230&gt;Settings!$B$5,IF(OR($G230="", $Q230&gt;Settings!$B$4),"|","")&amp;"OLD_30D",""))</f>
        <v/>
      </c>
      <c r="W230" s="21" t="str">
        <f>IF(OR($C230="", $M230&lt;&gt;"APPROVED",$I230="", $U230=0),"",SUMIFS($U$3:$U$502,$H$3:$H$502,$H230,$M$3:$M$502,"APPROVED",$Q$3:$Q$502,"&lt;="&amp;Settings!$B$4,$I$3:$I$502,"&lt;="&amp;$I230))</f>
        <v/>
      </c>
      <c r="X230" s="21" t="str">
        <f>IF(OR($C230="", $M230&lt;&gt;"APPROVED",$I230="", $U230=0),"",SUMIFS($U$3:$U$502,$H$3:$H$502,$H230,$M$3:$M$502,"APPROVED",$Q$3:$Q$502,"&lt;="&amp;Settings!$B$5,$I$3:$I$502,"&lt;="&amp;$I230))</f>
        <v/>
      </c>
      <c r="Y230" s="21" t="str">
        <f>IF($P230="","",IFERROR(MATCH($P230,Lists!$H$2:$H$4,0),""))</f>
        <v/>
      </c>
      <c r="Z230" s="21" t="str">
        <f t="shared" si="3"/>
        <v/>
      </c>
    </row>
    <row r="231" spans="1:26" ht="15.75" customHeight="1" x14ac:dyDescent="0.3">
      <c r="A231" s="16" t="str">
        <f t="shared" si="4"/>
        <v/>
      </c>
      <c r="B231" s="28"/>
      <c r="C231" s="29"/>
      <c r="D231" s="16"/>
      <c r="E231" s="16"/>
      <c r="F231" s="16"/>
      <c r="G231" s="16"/>
      <c r="H231" s="16"/>
      <c r="I231" s="31"/>
      <c r="J231" s="15"/>
      <c r="K231" s="15"/>
      <c r="L231" s="15"/>
      <c r="M231" s="16"/>
      <c r="N231" s="17"/>
      <c r="O231" s="19" t="str">
        <f t="shared" si="0"/>
        <v/>
      </c>
      <c r="P231" s="17"/>
      <c r="Q231" s="17" t="str">
        <f t="shared" ca="1" si="1"/>
        <v/>
      </c>
      <c r="R231" s="21" t="str">
        <f ca="1">IF($Q231="","",IF($Q231&lt;=Settings!$B$8,Settings!$C$8,IF($Q231&lt;=Settings!$B$9,Settings!$C$9,IF($Q231&lt;=Settings!$B$10,Settings!$C$10,IF($Q231&lt;=Settings!$B$11,Settings!$C$11,Settings!$C$12)))))</f>
        <v/>
      </c>
      <c r="S231" s="21" t="str">
        <f>IF($F231="","",IFERROR(VLOOKUP($F231,Settings!$E$8:$F$11,2,FALSE),0))</f>
        <v/>
      </c>
      <c r="T231" s="21">
        <f>IF($G231="",Settings!$B$16,1)</f>
        <v>1</v>
      </c>
      <c r="U231" s="21" t="str">
        <f t="shared" si="2"/>
        <v/>
      </c>
      <c r="V231" s="32" t="str">
        <f>IF($C231="","",IF($Q231&gt;Settings!$B$4,IF($G231="","|","")&amp;"OLD_7D","")&amp;IF($Q231&gt;Settings!$B$5,IF(OR($G231="", $Q231&gt;Settings!$B$4),"|","")&amp;"OLD_30D",""))</f>
        <v/>
      </c>
      <c r="W231" s="21" t="str">
        <f>IF(OR($C231="", $M231&lt;&gt;"APPROVED",$I231="", $U231=0),"",SUMIFS($U$3:$U$502,$H$3:$H$502,$H231,$M$3:$M$502,"APPROVED",$Q$3:$Q$502,"&lt;="&amp;Settings!$B$4,$I$3:$I$502,"&lt;="&amp;$I231))</f>
        <v/>
      </c>
      <c r="X231" s="21" t="str">
        <f>IF(OR($C231="", $M231&lt;&gt;"APPROVED",$I231="", $U231=0),"",SUMIFS($U$3:$U$502,$H$3:$H$502,$H231,$M$3:$M$502,"APPROVED",$Q$3:$Q$502,"&lt;="&amp;Settings!$B$5,$I$3:$I$502,"&lt;="&amp;$I231))</f>
        <v/>
      </c>
      <c r="Y231" s="21" t="str">
        <f>IF($P231="","",IFERROR(MATCH($P231,Lists!$H$2:$H$4,0),""))</f>
        <v/>
      </c>
      <c r="Z231" s="21" t="str">
        <f t="shared" si="3"/>
        <v/>
      </c>
    </row>
    <row r="232" spans="1:26" ht="15.75" customHeight="1" x14ac:dyDescent="0.3">
      <c r="A232" s="16" t="str">
        <f t="shared" si="4"/>
        <v/>
      </c>
      <c r="B232" s="28"/>
      <c r="C232" s="29"/>
      <c r="D232" s="16"/>
      <c r="E232" s="16"/>
      <c r="F232" s="16"/>
      <c r="G232" s="16"/>
      <c r="H232" s="16"/>
      <c r="I232" s="31"/>
      <c r="J232" s="15"/>
      <c r="K232" s="15"/>
      <c r="L232" s="15"/>
      <c r="M232" s="16"/>
      <c r="N232" s="17"/>
      <c r="O232" s="19" t="str">
        <f t="shared" si="0"/>
        <v/>
      </c>
      <c r="P232" s="17"/>
      <c r="Q232" s="17" t="str">
        <f t="shared" ca="1" si="1"/>
        <v/>
      </c>
      <c r="R232" s="21" t="str">
        <f ca="1">IF($Q232="","",IF($Q232&lt;=Settings!$B$8,Settings!$C$8,IF($Q232&lt;=Settings!$B$9,Settings!$C$9,IF($Q232&lt;=Settings!$B$10,Settings!$C$10,IF($Q232&lt;=Settings!$B$11,Settings!$C$11,Settings!$C$12)))))</f>
        <v/>
      </c>
      <c r="S232" s="21" t="str">
        <f>IF($F232="","",IFERROR(VLOOKUP($F232,Settings!$E$8:$F$11,2,FALSE),0))</f>
        <v/>
      </c>
      <c r="T232" s="21">
        <f>IF($G232="",Settings!$B$16,1)</f>
        <v>1</v>
      </c>
      <c r="U232" s="21" t="str">
        <f t="shared" si="2"/>
        <v/>
      </c>
      <c r="V232" s="32" t="str">
        <f>IF($C232="","",IF($Q232&gt;Settings!$B$4,IF($G232="","|","")&amp;"OLD_7D","")&amp;IF($Q232&gt;Settings!$B$5,IF(OR($G232="", $Q232&gt;Settings!$B$4),"|","")&amp;"OLD_30D",""))</f>
        <v/>
      </c>
      <c r="W232" s="21" t="str">
        <f>IF(OR($C232="", $M232&lt;&gt;"APPROVED",$I232="", $U232=0),"",SUMIFS($U$3:$U$502,$H$3:$H$502,$H232,$M$3:$M$502,"APPROVED",$Q$3:$Q$502,"&lt;="&amp;Settings!$B$4,$I$3:$I$502,"&lt;="&amp;$I232))</f>
        <v/>
      </c>
      <c r="X232" s="21" t="str">
        <f>IF(OR($C232="", $M232&lt;&gt;"APPROVED",$I232="", $U232=0),"",SUMIFS($U$3:$U$502,$H$3:$H$502,$H232,$M$3:$M$502,"APPROVED",$Q$3:$Q$502,"&lt;="&amp;Settings!$B$5,$I$3:$I$502,"&lt;="&amp;$I232))</f>
        <v/>
      </c>
      <c r="Y232" s="21" t="str">
        <f>IF($P232="","",IFERROR(MATCH($P232,Lists!$H$2:$H$4,0),""))</f>
        <v/>
      </c>
      <c r="Z232" s="21" t="str">
        <f t="shared" si="3"/>
        <v/>
      </c>
    </row>
    <row r="233" spans="1:26" ht="15.75" customHeight="1" x14ac:dyDescent="0.3">
      <c r="A233" s="16" t="str">
        <f t="shared" si="4"/>
        <v/>
      </c>
      <c r="B233" s="28"/>
      <c r="C233" s="29"/>
      <c r="D233" s="16"/>
      <c r="E233" s="16"/>
      <c r="F233" s="16"/>
      <c r="G233" s="16"/>
      <c r="H233" s="16"/>
      <c r="I233" s="31"/>
      <c r="J233" s="15"/>
      <c r="K233" s="15"/>
      <c r="L233" s="15"/>
      <c r="M233" s="16"/>
      <c r="N233" s="17"/>
      <c r="O233" s="19" t="str">
        <f t="shared" si="0"/>
        <v/>
      </c>
      <c r="P233" s="17"/>
      <c r="Q233" s="17" t="str">
        <f t="shared" ca="1" si="1"/>
        <v/>
      </c>
      <c r="R233" s="21" t="str">
        <f ca="1">IF($Q233="","",IF($Q233&lt;=Settings!$B$8,Settings!$C$8,IF($Q233&lt;=Settings!$B$9,Settings!$C$9,IF($Q233&lt;=Settings!$B$10,Settings!$C$10,IF($Q233&lt;=Settings!$B$11,Settings!$C$11,Settings!$C$12)))))</f>
        <v/>
      </c>
      <c r="S233" s="21" t="str">
        <f>IF($F233="","",IFERROR(VLOOKUP($F233,Settings!$E$8:$F$11,2,FALSE),0))</f>
        <v/>
      </c>
      <c r="T233" s="21">
        <f>IF($G233="",Settings!$B$16,1)</f>
        <v>1</v>
      </c>
      <c r="U233" s="21" t="str">
        <f t="shared" si="2"/>
        <v/>
      </c>
      <c r="V233" s="32" t="str">
        <f>IF($C233="","",IF($Q233&gt;Settings!$B$4,IF($G233="","|","")&amp;"OLD_7D","")&amp;IF($Q233&gt;Settings!$B$5,IF(OR($G233="", $Q233&gt;Settings!$B$4),"|","")&amp;"OLD_30D",""))</f>
        <v/>
      </c>
      <c r="W233" s="21" t="str">
        <f>IF(OR($C233="", $M233&lt;&gt;"APPROVED",$I233="", $U233=0),"",SUMIFS($U$3:$U$502,$H$3:$H$502,$H233,$M$3:$M$502,"APPROVED",$Q$3:$Q$502,"&lt;="&amp;Settings!$B$4,$I$3:$I$502,"&lt;="&amp;$I233))</f>
        <v/>
      </c>
      <c r="X233" s="21" t="str">
        <f>IF(OR($C233="", $M233&lt;&gt;"APPROVED",$I233="", $U233=0),"",SUMIFS($U$3:$U$502,$H$3:$H$502,$H233,$M$3:$M$502,"APPROVED",$Q$3:$Q$502,"&lt;="&amp;Settings!$B$5,$I$3:$I$502,"&lt;="&amp;$I233))</f>
        <v/>
      </c>
      <c r="Y233" s="21" t="str">
        <f>IF($P233="","",IFERROR(MATCH($P233,Lists!$H$2:$H$4,0),""))</f>
        <v/>
      </c>
      <c r="Z233" s="21" t="str">
        <f t="shared" si="3"/>
        <v/>
      </c>
    </row>
    <row r="234" spans="1:26" ht="15.75" customHeight="1" x14ac:dyDescent="0.3">
      <c r="A234" s="16" t="str">
        <f t="shared" si="4"/>
        <v/>
      </c>
      <c r="B234" s="28"/>
      <c r="C234" s="29"/>
      <c r="D234" s="16"/>
      <c r="E234" s="16"/>
      <c r="F234" s="16"/>
      <c r="G234" s="16"/>
      <c r="H234" s="16"/>
      <c r="I234" s="31"/>
      <c r="J234" s="15"/>
      <c r="K234" s="15"/>
      <c r="L234" s="15"/>
      <c r="M234" s="16"/>
      <c r="N234" s="17"/>
      <c r="O234" s="19" t="str">
        <f t="shared" si="0"/>
        <v/>
      </c>
      <c r="P234" s="17"/>
      <c r="Q234" s="17" t="str">
        <f t="shared" ca="1" si="1"/>
        <v/>
      </c>
      <c r="R234" s="21" t="str">
        <f ca="1">IF($Q234="","",IF($Q234&lt;=Settings!$B$8,Settings!$C$8,IF($Q234&lt;=Settings!$B$9,Settings!$C$9,IF($Q234&lt;=Settings!$B$10,Settings!$C$10,IF($Q234&lt;=Settings!$B$11,Settings!$C$11,Settings!$C$12)))))</f>
        <v/>
      </c>
      <c r="S234" s="21" t="str">
        <f>IF($F234="","",IFERROR(VLOOKUP($F234,Settings!$E$8:$F$11,2,FALSE),0))</f>
        <v/>
      </c>
      <c r="T234" s="21">
        <f>IF($G234="",Settings!$B$16,1)</f>
        <v>1</v>
      </c>
      <c r="U234" s="21" t="str">
        <f t="shared" si="2"/>
        <v/>
      </c>
      <c r="V234" s="32" t="str">
        <f>IF($C234="","",IF($Q234&gt;Settings!$B$4,IF($G234="","|","")&amp;"OLD_7D","")&amp;IF($Q234&gt;Settings!$B$5,IF(OR($G234="", $Q234&gt;Settings!$B$4),"|","")&amp;"OLD_30D",""))</f>
        <v/>
      </c>
      <c r="W234" s="21" t="str">
        <f>IF(OR($C234="", $M234&lt;&gt;"APPROVED",$I234="", $U234=0),"",SUMIFS($U$3:$U$502,$H$3:$H$502,$H234,$M$3:$M$502,"APPROVED",$Q$3:$Q$502,"&lt;="&amp;Settings!$B$4,$I$3:$I$502,"&lt;="&amp;$I234))</f>
        <v/>
      </c>
      <c r="X234" s="21" t="str">
        <f>IF(OR($C234="", $M234&lt;&gt;"APPROVED",$I234="", $U234=0),"",SUMIFS($U$3:$U$502,$H$3:$H$502,$H234,$M$3:$M$502,"APPROVED",$Q$3:$Q$502,"&lt;="&amp;Settings!$B$5,$I$3:$I$502,"&lt;="&amp;$I234))</f>
        <v/>
      </c>
      <c r="Y234" s="21" t="str">
        <f>IF($P234="","",IFERROR(MATCH($P234,Lists!$H$2:$H$4,0),""))</f>
        <v/>
      </c>
      <c r="Z234" s="21" t="str">
        <f t="shared" si="3"/>
        <v/>
      </c>
    </row>
    <row r="235" spans="1:26" ht="15.75" customHeight="1" x14ac:dyDescent="0.3">
      <c r="A235" s="16" t="str">
        <f t="shared" si="4"/>
        <v/>
      </c>
      <c r="B235" s="28"/>
      <c r="C235" s="29"/>
      <c r="D235" s="16"/>
      <c r="E235" s="16"/>
      <c r="F235" s="16"/>
      <c r="G235" s="16"/>
      <c r="H235" s="16"/>
      <c r="I235" s="31"/>
      <c r="J235" s="15"/>
      <c r="K235" s="15"/>
      <c r="L235" s="15"/>
      <c r="M235" s="16"/>
      <c r="N235" s="17"/>
      <c r="O235" s="19" t="str">
        <f t="shared" si="0"/>
        <v/>
      </c>
      <c r="P235" s="17"/>
      <c r="Q235" s="17" t="str">
        <f t="shared" ca="1" si="1"/>
        <v/>
      </c>
      <c r="R235" s="21" t="str">
        <f ca="1">IF($Q235="","",IF($Q235&lt;=Settings!$B$8,Settings!$C$8,IF($Q235&lt;=Settings!$B$9,Settings!$C$9,IF($Q235&lt;=Settings!$B$10,Settings!$C$10,IF($Q235&lt;=Settings!$B$11,Settings!$C$11,Settings!$C$12)))))</f>
        <v/>
      </c>
      <c r="S235" s="21" t="str">
        <f>IF($F235="","",IFERROR(VLOOKUP($F235,Settings!$E$8:$F$11,2,FALSE),0))</f>
        <v/>
      </c>
      <c r="T235" s="21">
        <f>IF($G235="",Settings!$B$16,1)</f>
        <v>1</v>
      </c>
      <c r="U235" s="21" t="str">
        <f t="shared" si="2"/>
        <v/>
      </c>
      <c r="V235" s="32" t="str">
        <f>IF($C235="","",IF($Q235&gt;Settings!$B$4,IF($G235="","|","")&amp;"OLD_7D","")&amp;IF($Q235&gt;Settings!$B$5,IF(OR($G235="", $Q235&gt;Settings!$B$4),"|","")&amp;"OLD_30D",""))</f>
        <v/>
      </c>
      <c r="W235" s="21" t="str">
        <f>IF(OR($C235="", $M235&lt;&gt;"APPROVED",$I235="", $U235=0),"",SUMIFS($U$3:$U$502,$H$3:$H$502,$H235,$M$3:$M$502,"APPROVED",$Q$3:$Q$502,"&lt;="&amp;Settings!$B$4,$I$3:$I$502,"&lt;="&amp;$I235))</f>
        <v/>
      </c>
      <c r="X235" s="21" t="str">
        <f>IF(OR($C235="", $M235&lt;&gt;"APPROVED",$I235="", $U235=0),"",SUMIFS($U$3:$U$502,$H$3:$H$502,$H235,$M$3:$M$502,"APPROVED",$Q$3:$Q$502,"&lt;="&amp;Settings!$B$5,$I$3:$I$502,"&lt;="&amp;$I235))</f>
        <v/>
      </c>
      <c r="Y235" s="21" t="str">
        <f>IF($P235="","",IFERROR(MATCH($P235,Lists!$H$2:$H$4,0),""))</f>
        <v/>
      </c>
      <c r="Z235" s="21" t="str">
        <f t="shared" si="3"/>
        <v/>
      </c>
    </row>
    <row r="236" spans="1:26" ht="15.75" customHeight="1" x14ac:dyDescent="0.3">
      <c r="A236" s="16" t="str">
        <f t="shared" si="4"/>
        <v/>
      </c>
      <c r="B236" s="28"/>
      <c r="C236" s="29"/>
      <c r="D236" s="16"/>
      <c r="E236" s="16"/>
      <c r="F236" s="16"/>
      <c r="G236" s="16"/>
      <c r="H236" s="16"/>
      <c r="I236" s="31"/>
      <c r="J236" s="15"/>
      <c r="K236" s="15"/>
      <c r="L236" s="15"/>
      <c r="M236" s="16"/>
      <c r="N236" s="17"/>
      <c r="O236" s="19" t="str">
        <f t="shared" si="0"/>
        <v/>
      </c>
      <c r="P236" s="17"/>
      <c r="Q236" s="17" t="str">
        <f t="shared" ca="1" si="1"/>
        <v/>
      </c>
      <c r="R236" s="21" t="str">
        <f ca="1">IF($Q236="","",IF($Q236&lt;=Settings!$B$8,Settings!$C$8,IF($Q236&lt;=Settings!$B$9,Settings!$C$9,IF($Q236&lt;=Settings!$B$10,Settings!$C$10,IF($Q236&lt;=Settings!$B$11,Settings!$C$11,Settings!$C$12)))))</f>
        <v/>
      </c>
      <c r="S236" s="21" t="str">
        <f>IF($F236="","",IFERROR(VLOOKUP($F236,Settings!$E$8:$F$11,2,FALSE),0))</f>
        <v/>
      </c>
      <c r="T236" s="21">
        <f>IF($G236="",Settings!$B$16,1)</f>
        <v>1</v>
      </c>
      <c r="U236" s="21" t="str">
        <f t="shared" si="2"/>
        <v/>
      </c>
      <c r="V236" s="32" t="str">
        <f>IF($C236="","",IF($Q236&gt;Settings!$B$4,IF($G236="","|","")&amp;"OLD_7D","")&amp;IF($Q236&gt;Settings!$B$5,IF(OR($G236="", $Q236&gt;Settings!$B$4),"|","")&amp;"OLD_30D",""))</f>
        <v/>
      </c>
      <c r="W236" s="21" t="str">
        <f>IF(OR($C236="", $M236&lt;&gt;"APPROVED",$I236="", $U236=0),"",SUMIFS($U$3:$U$502,$H$3:$H$502,$H236,$M$3:$M$502,"APPROVED",$Q$3:$Q$502,"&lt;="&amp;Settings!$B$4,$I$3:$I$502,"&lt;="&amp;$I236))</f>
        <v/>
      </c>
      <c r="X236" s="21" t="str">
        <f>IF(OR($C236="", $M236&lt;&gt;"APPROVED",$I236="", $U236=0),"",SUMIFS($U$3:$U$502,$H$3:$H$502,$H236,$M$3:$M$502,"APPROVED",$Q$3:$Q$502,"&lt;="&amp;Settings!$B$5,$I$3:$I$502,"&lt;="&amp;$I236))</f>
        <v/>
      </c>
      <c r="Y236" s="21" t="str">
        <f>IF($P236="","",IFERROR(MATCH($P236,Lists!$H$2:$H$4,0),""))</f>
        <v/>
      </c>
      <c r="Z236" s="21" t="str">
        <f t="shared" si="3"/>
        <v/>
      </c>
    </row>
    <row r="237" spans="1:26" ht="15.75" customHeight="1" x14ac:dyDescent="0.3">
      <c r="A237" s="16" t="str">
        <f t="shared" si="4"/>
        <v/>
      </c>
      <c r="B237" s="28"/>
      <c r="C237" s="29"/>
      <c r="D237" s="16"/>
      <c r="E237" s="16"/>
      <c r="F237" s="16"/>
      <c r="G237" s="16"/>
      <c r="H237" s="16"/>
      <c r="I237" s="31"/>
      <c r="J237" s="15"/>
      <c r="K237" s="15"/>
      <c r="L237" s="15"/>
      <c r="M237" s="16"/>
      <c r="N237" s="17"/>
      <c r="O237" s="19" t="str">
        <f t="shared" si="0"/>
        <v/>
      </c>
      <c r="P237" s="17"/>
      <c r="Q237" s="17" t="str">
        <f t="shared" ca="1" si="1"/>
        <v/>
      </c>
      <c r="R237" s="21" t="str">
        <f ca="1">IF($Q237="","",IF($Q237&lt;=Settings!$B$8,Settings!$C$8,IF($Q237&lt;=Settings!$B$9,Settings!$C$9,IF($Q237&lt;=Settings!$B$10,Settings!$C$10,IF($Q237&lt;=Settings!$B$11,Settings!$C$11,Settings!$C$12)))))</f>
        <v/>
      </c>
      <c r="S237" s="21" t="str">
        <f>IF($F237="","",IFERROR(VLOOKUP($F237,Settings!$E$8:$F$11,2,FALSE),0))</f>
        <v/>
      </c>
      <c r="T237" s="21">
        <f>IF($G237="",Settings!$B$16,1)</f>
        <v>1</v>
      </c>
      <c r="U237" s="21" t="str">
        <f t="shared" si="2"/>
        <v/>
      </c>
      <c r="V237" s="32" t="str">
        <f>IF($C237="","",IF($Q237&gt;Settings!$B$4,IF($G237="","|","")&amp;"OLD_7D","")&amp;IF($Q237&gt;Settings!$B$5,IF(OR($G237="", $Q237&gt;Settings!$B$4),"|","")&amp;"OLD_30D",""))</f>
        <v/>
      </c>
      <c r="W237" s="21" t="str">
        <f>IF(OR($C237="", $M237&lt;&gt;"APPROVED",$I237="", $U237=0),"",SUMIFS($U$3:$U$502,$H$3:$H$502,$H237,$M$3:$M$502,"APPROVED",$Q$3:$Q$502,"&lt;="&amp;Settings!$B$4,$I$3:$I$502,"&lt;="&amp;$I237))</f>
        <v/>
      </c>
      <c r="X237" s="21" t="str">
        <f>IF(OR($C237="", $M237&lt;&gt;"APPROVED",$I237="", $U237=0),"",SUMIFS($U$3:$U$502,$H$3:$H$502,$H237,$M$3:$M$502,"APPROVED",$Q$3:$Q$502,"&lt;="&amp;Settings!$B$5,$I$3:$I$502,"&lt;="&amp;$I237))</f>
        <v/>
      </c>
      <c r="Y237" s="21" t="str">
        <f>IF($P237="","",IFERROR(MATCH($P237,Lists!$H$2:$H$4,0),""))</f>
        <v/>
      </c>
      <c r="Z237" s="21" t="str">
        <f t="shared" si="3"/>
        <v/>
      </c>
    </row>
    <row r="238" spans="1:26" ht="15.75" customHeight="1" x14ac:dyDescent="0.3">
      <c r="A238" s="16" t="str">
        <f t="shared" si="4"/>
        <v/>
      </c>
      <c r="B238" s="28"/>
      <c r="C238" s="29"/>
      <c r="D238" s="16"/>
      <c r="E238" s="16"/>
      <c r="F238" s="16"/>
      <c r="G238" s="16"/>
      <c r="H238" s="16"/>
      <c r="I238" s="31"/>
      <c r="J238" s="15"/>
      <c r="K238" s="15"/>
      <c r="L238" s="15"/>
      <c r="M238" s="16"/>
      <c r="N238" s="17"/>
      <c r="O238" s="19" t="str">
        <f t="shared" si="0"/>
        <v/>
      </c>
      <c r="P238" s="17"/>
      <c r="Q238" s="17" t="str">
        <f t="shared" ca="1" si="1"/>
        <v/>
      </c>
      <c r="R238" s="21" t="str">
        <f ca="1">IF($Q238="","",IF($Q238&lt;=Settings!$B$8,Settings!$C$8,IF($Q238&lt;=Settings!$B$9,Settings!$C$9,IF($Q238&lt;=Settings!$B$10,Settings!$C$10,IF($Q238&lt;=Settings!$B$11,Settings!$C$11,Settings!$C$12)))))</f>
        <v/>
      </c>
      <c r="S238" s="21" t="str">
        <f>IF($F238="","",IFERROR(VLOOKUP($F238,Settings!$E$8:$F$11,2,FALSE),0))</f>
        <v/>
      </c>
      <c r="T238" s="21">
        <f>IF($G238="",Settings!$B$16,1)</f>
        <v>1</v>
      </c>
      <c r="U238" s="21" t="str">
        <f t="shared" si="2"/>
        <v/>
      </c>
      <c r="V238" s="32" t="str">
        <f>IF($C238="","",IF($Q238&gt;Settings!$B$4,IF($G238="","|","")&amp;"OLD_7D","")&amp;IF($Q238&gt;Settings!$B$5,IF(OR($G238="", $Q238&gt;Settings!$B$4),"|","")&amp;"OLD_30D",""))</f>
        <v/>
      </c>
      <c r="W238" s="21" t="str">
        <f>IF(OR($C238="", $M238&lt;&gt;"APPROVED",$I238="", $U238=0),"",SUMIFS($U$3:$U$502,$H$3:$H$502,$H238,$M$3:$M$502,"APPROVED",$Q$3:$Q$502,"&lt;="&amp;Settings!$B$4,$I$3:$I$502,"&lt;="&amp;$I238))</f>
        <v/>
      </c>
      <c r="X238" s="21" t="str">
        <f>IF(OR($C238="", $M238&lt;&gt;"APPROVED",$I238="", $U238=0),"",SUMIFS($U$3:$U$502,$H$3:$H$502,$H238,$M$3:$M$502,"APPROVED",$Q$3:$Q$502,"&lt;="&amp;Settings!$B$5,$I$3:$I$502,"&lt;="&amp;$I238))</f>
        <v/>
      </c>
      <c r="Y238" s="21" t="str">
        <f>IF($P238="","",IFERROR(MATCH($P238,Lists!$H$2:$H$4,0),""))</f>
        <v/>
      </c>
      <c r="Z238" s="21" t="str">
        <f t="shared" si="3"/>
        <v/>
      </c>
    </row>
    <row r="239" spans="1:26" ht="15.75" customHeight="1" x14ac:dyDescent="0.3">
      <c r="A239" s="16" t="str">
        <f t="shared" si="4"/>
        <v/>
      </c>
      <c r="B239" s="28"/>
      <c r="C239" s="29"/>
      <c r="D239" s="16"/>
      <c r="E239" s="16"/>
      <c r="F239" s="16"/>
      <c r="G239" s="16"/>
      <c r="H239" s="16"/>
      <c r="I239" s="31"/>
      <c r="J239" s="15"/>
      <c r="K239" s="15"/>
      <c r="L239" s="15"/>
      <c r="M239" s="16"/>
      <c r="N239" s="17"/>
      <c r="O239" s="19" t="str">
        <f t="shared" si="0"/>
        <v/>
      </c>
      <c r="P239" s="17"/>
      <c r="Q239" s="17" t="str">
        <f t="shared" ca="1" si="1"/>
        <v/>
      </c>
      <c r="R239" s="21" t="str">
        <f ca="1">IF($Q239="","",IF($Q239&lt;=Settings!$B$8,Settings!$C$8,IF($Q239&lt;=Settings!$B$9,Settings!$C$9,IF($Q239&lt;=Settings!$B$10,Settings!$C$10,IF($Q239&lt;=Settings!$B$11,Settings!$C$11,Settings!$C$12)))))</f>
        <v/>
      </c>
      <c r="S239" s="21" t="str">
        <f>IF($F239="","",IFERROR(VLOOKUP($F239,Settings!$E$8:$F$11,2,FALSE),0))</f>
        <v/>
      </c>
      <c r="T239" s="21">
        <f>IF($G239="",Settings!$B$16,1)</f>
        <v>1</v>
      </c>
      <c r="U239" s="21" t="str">
        <f t="shared" si="2"/>
        <v/>
      </c>
      <c r="V239" s="32" t="str">
        <f>IF($C239="","",IF($Q239&gt;Settings!$B$4,IF($G239="","|","")&amp;"OLD_7D","")&amp;IF($Q239&gt;Settings!$B$5,IF(OR($G239="", $Q239&gt;Settings!$B$4),"|","")&amp;"OLD_30D",""))</f>
        <v/>
      </c>
      <c r="W239" s="21" t="str">
        <f>IF(OR($C239="", $M239&lt;&gt;"APPROVED",$I239="", $U239=0),"",SUMIFS($U$3:$U$502,$H$3:$H$502,$H239,$M$3:$M$502,"APPROVED",$Q$3:$Q$502,"&lt;="&amp;Settings!$B$4,$I$3:$I$502,"&lt;="&amp;$I239))</f>
        <v/>
      </c>
      <c r="X239" s="21" t="str">
        <f>IF(OR($C239="", $M239&lt;&gt;"APPROVED",$I239="", $U239=0),"",SUMIFS($U$3:$U$502,$H$3:$H$502,$H239,$M$3:$M$502,"APPROVED",$Q$3:$Q$502,"&lt;="&amp;Settings!$B$5,$I$3:$I$502,"&lt;="&amp;$I239))</f>
        <v/>
      </c>
      <c r="Y239" s="21" t="str">
        <f>IF($P239="","",IFERROR(MATCH($P239,Lists!$H$2:$H$4,0),""))</f>
        <v/>
      </c>
      <c r="Z239" s="21" t="str">
        <f t="shared" si="3"/>
        <v/>
      </c>
    </row>
    <row r="240" spans="1:26" ht="15.75" customHeight="1" x14ac:dyDescent="0.3">
      <c r="A240" s="16" t="str">
        <f t="shared" si="4"/>
        <v/>
      </c>
      <c r="B240" s="28"/>
      <c r="C240" s="29"/>
      <c r="D240" s="16"/>
      <c r="E240" s="16"/>
      <c r="F240" s="16"/>
      <c r="G240" s="16"/>
      <c r="H240" s="16"/>
      <c r="I240" s="31"/>
      <c r="J240" s="15"/>
      <c r="K240" s="15"/>
      <c r="L240" s="15"/>
      <c r="M240" s="16"/>
      <c r="N240" s="17"/>
      <c r="O240" s="19" t="str">
        <f t="shared" si="0"/>
        <v/>
      </c>
      <c r="P240" s="17"/>
      <c r="Q240" s="17" t="str">
        <f t="shared" ca="1" si="1"/>
        <v/>
      </c>
      <c r="R240" s="21" t="str">
        <f ca="1">IF($Q240="","",IF($Q240&lt;=Settings!$B$8,Settings!$C$8,IF($Q240&lt;=Settings!$B$9,Settings!$C$9,IF($Q240&lt;=Settings!$B$10,Settings!$C$10,IF($Q240&lt;=Settings!$B$11,Settings!$C$11,Settings!$C$12)))))</f>
        <v/>
      </c>
      <c r="S240" s="21" t="str">
        <f>IF($F240="","",IFERROR(VLOOKUP($F240,Settings!$E$8:$F$11,2,FALSE),0))</f>
        <v/>
      </c>
      <c r="T240" s="21">
        <f>IF($G240="",Settings!$B$16,1)</f>
        <v>1</v>
      </c>
      <c r="U240" s="21" t="str">
        <f t="shared" si="2"/>
        <v/>
      </c>
      <c r="V240" s="32" t="str">
        <f>IF($C240="","",IF($Q240&gt;Settings!$B$4,IF($G240="","|","")&amp;"OLD_7D","")&amp;IF($Q240&gt;Settings!$B$5,IF(OR($G240="", $Q240&gt;Settings!$B$4),"|","")&amp;"OLD_30D",""))</f>
        <v/>
      </c>
      <c r="W240" s="21" t="str">
        <f>IF(OR($C240="", $M240&lt;&gt;"APPROVED",$I240="", $U240=0),"",SUMIFS($U$3:$U$502,$H$3:$H$502,$H240,$M$3:$M$502,"APPROVED",$Q$3:$Q$502,"&lt;="&amp;Settings!$B$4,$I$3:$I$502,"&lt;="&amp;$I240))</f>
        <v/>
      </c>
      <c r="X240" s="21" t="str">
        <f>IF(OR($C240="", $M240&lt;&gt;"APPROVED",$I240="", $U240=0),"",SUMIFS($U$3:$U$502,$H$3:$H$502,$H240,$M$3:$M$502,"APPROVED",$Q$3:$Q$502,"&lt;="&amp;Settings!$B$5,$I$3:$I$502,"&lt;="&amp;$I240))</f>
        <v/>
      </c>
      <c r="Y240" s="21" t="str">
        <f>IF($P240="","",IFERROR(MATCH($P240,Lists!$H$2:$H$4,0),""))</f>
        <v/>
      </c>
      <c r="Z240" s="21" t="str">
        <f t="shared" si="3"/>
        <v/>
      </c>
    </row>
    <row r="241" spans="1:26" ht="15.75" customHeight="1" x14ac:dyDescent="0.3">
      <c r="A241" s="16" t="str">
        <f t="shared" si="4"/>
        <v/>
      </c>
      <c r="B241" s="28"/>
      <c r="C241" s="29"/>
      <c r="D241" s="16"/>
      <c r="E241" s="16"/>
      <c r="F241" s="16"/>
      <c r="G241" s="16"/>
      <c r="H241" s="16"/>
      <c r="I241" s="31"/>
      <c r="J241" s="15"/>
      <c r="K241" s="15"/>
      <c r="L241" s="15"/>
      <c r="M241" s="16"/>
      <c r="N241" s="17"/>
      <c r="O241" s="19" t="str">
        <f t="shared" si="0"/>
        <v/>
      </c>
      <c r="P241" s="17"/>
      <c r="Q241" s="17" t="str">
        <f t="shared" ca="1" si="1"/>
        <v/>
      </c>
      <c r="R241" s="21" t="str">
        <f ca="1">IF($Q241="","",IF($Q241&lt;=Settings!$B$8,Settings!$C$8,IF($Q241&lt;=Settings!$B$9,Settings!$C$9,IF($Q241&lt;=Settings!$B$10,Settings!$C$10,IF($Q241&lt;=Settings!$B$11,Settings!$C$11,Settings!$C$12)))))</f>
        <v/>
      </c>
      <c r="S241" s="21" t="str">
        <f>IF($F241="","",IFERROR(VLOOKUP($F241,Settings!$E$8:$F$11,2,FALSE),0))</f>
        <v/>
      </c>
      <c r="T241" s="21">
        <f>IF($G241="",Settings!$B$16,1)</f>
        <v>1</v>
      </c>
      <c r="U241" s="21" t="str">
        <f t="shared" si="2"/>
        <v/>
      </c>
      <c r="V241" s="32" t="str">
        <f>IF($C241="","",IF($Q241&gt;Settings!$B$4,IF($G241="","|","")&amp;"OLD_7D","")&amp;IF($Q241&gt;Settings!$B$5,IF(OR($G241="", $Q241&gt;Settings!$B$4),"|","")&amp;"OLD_30D",""))</f>
        <v/>
      </c>
      <c r="W241" s="21" t="str">
        <f>IF(OR($C241="", $M241&lt;&gt;"APPROVED",$I241="", $U241=0),"",SUMIFS($U$3:$U$502,$H$3:$H$502,$H241,$M$3:$M$502,"APPROVED",$Q$3:$Q$502,"&lt;="&amp;Settings!$B$4,$I$3:$I$502,"&lt;="&amp;$I241))</f>
        <v/>
      </c>
      <c r="X241" s="21" t="str">
        <f>IF(OR($C241="", $M241&lt;&gt;"APPROVED",$I241="", $U241=0),"",SUMIFS($U$3:$U$502,$H$3:$H$502,$H241,$M$3:$M$502,"APPROVED",$Q$3:$Q$502,"&lt;="&amp;Settings!$B$5,$I$3:$I$502,"&lt;="&amp;$I241))</f>
        <v/>
      </c>
      <c r="Y241" s="21" t="str">
        <f>IF($P241="","",IFERROR(MATCH($P241,Lists!$H$2:$H$4,0),""))</f>
        <v/>
      </c>
      <c r="Z241" s="21" t="str">
        <f t="shared" si="3"/>
        <v/>
      </c>
    </row>
    <row r="242" spans="1:26" ht="15.75" customHeight="1" x14ac:dyDescent="0.3">
      <c r="A242" s="16" t="str">
        <f t="shared" si="4"/>
        <v/>
      </c>
      <c r="B242" s="28"/>
      <c r="C242" s="29"/>
      <c r="D242" s="16"/>
      <c r="E242" s="16"/>
      <c r="F242" s="16"/>
      <c r="G242" s="16"/>
      <c r="H242" s="16"/>
      <c r="I242" s="31"/>
      <c r="J242" s="15"/>
      <c r="K242" s="15"/>
      <c r="L242" s="15"/>
      <c r="M242" s="16"/>
      <c r="N242" s="17"/>
      <c r="O242" s="19" t="str">
        <f t="shared" si="0"/>
        <v/>
      </c>
      <c r="P242" s="17"/>
      <c r="Q242" s="17" t="str">
        <f t="shared" ca="1" si="1"/>
        <v/>
      </c>
      <c r="R242" s="21" t="str">
        <f ca="1">IF($Q242="","",IF($Q242&lt;=Settings!$B$8,Settings!$C$8,IF($Q242&lt;=Settings!$B$9,Settings!$C$9,IF($Q242&lt;=Settings!$B$10,Settings!$C$10,IF($Q242&lt;=Settings!$B$11,Settings!$C$11,Settings!$C$12)))))</f>
        <v/>
      </c>
      <c r="S242" s="21" t="str">
        <f>IF($F242="","",IFERROR(VLOOKUP($F242,Settings!$E$8:$F$11,2,FALSE),0))</f>
        <v/>
      </c>
      <c r="T242" s="21">
        <f>IF($G242="",Settings!$B$16,1)</f>
        <v>1</v>
      </c>
      <c r="U242" s="21" t="str">
        <f t="shared" si="2"/>
        <v/>
      </c>
      <c r="V242" s="32" t="str">
        <f>IF($C242="","",IF($Q242&gt;Settings!$B$4,IF($G242="","|","")&amp;"OLD_7D","")&amp;IF($Q242&gt;Settings!$B$5,IF(OR($G242="", $Q242&gt;Settings!$B$4),"|","")&amp;"OLD_30D",""))</f>
        <v/>
      </c>
      <c r="W242" s="21" t="str">
        <f>IF(OR($C242="", $M242&lt;&gt;"APPROVED",$I242="", $U242=0),"",SUMIFS($U$3:$U$502,$H$3:$H$502,$H242,$M$3:$M$502,"APPROVED",$Q$3:$Q$502,"&lt;="&amp;Settings!$B$4,$I$3:$I$502,"&lt;="&amp;$I242))</f>
        <v/>
      </c>
      <c r="X242" s="21" t="str">
        <f>IF(OR($C242="", $M242&lt;&gt;"APPROVED",$I242="", $U242=0),"",SUMIFS($U$3:$U$502,$H$3:$H$502,$H242,$M$3:$M$502,"APPROVED",$Q$3:$Q$502,"&lt;="&amp;Settings!$B$5,$I$3:$I$502,"&lt;="&amp;$I242))</f>
        <v/>
      </c>
      <c r="Y242" s="21" t="str">
        <f>IF($P242="","",IFERROR(MATCH($P242,Lists!$H$2:$H$4,0),""))</f>
        <v/>
      </c>
      <c r="Z242" s="21" t="str">
        <f t="shared" si="3"/>
        <v/>
      </c>
    </row>
    <row r="243" spans="1:26" ht="15.75" customHeight="1" x14ac:dyDescent="0.3">
      <c r="A243" s="16" t="str">
        <f t="shared" si="4"/>
        <v/>
      </c>
      <c r="B243" s="28"/>
      <c r="C243" s="29"/>
      <c r="D243" s="16"/>
      <c r="E243" s="16"/>
      <c r="F243" s="16"/>
      <c r="G243" s="16"/>
      <c r="H243" s="16"/>
      <c r="I243" s="31"/>
      <c r="J243" s="15"/>
      <c r="K243" s="15"/>
      <c r="L243" s="15"/>
      <c r="M243" s="16"/>
      <c r="N243" s="17"/>
      <c r="O243" s="19" t="str">
        <f t="shared" si="0"/>
        <v/>
      </c>
      <c r="P243" s="17"/>
      <c r="Q243" s="17" t="str">
        <f t="shared" ca="1" si="1"/>
        <v/>
      </c>
      <c r="R243" s="21" t="str">
        <f ca="1">IF($Q243="","",IF($Q243&lt;=Settings!$B$8,Settings!$C$8,IF($Q243&lt;=Settings!$B$9,Settings!$C$9,IF($Q243&lt;=Settings!$B$10,Settings!$C$10,IF($Q243&lt;=Settings!$B$11,Settings!$C$11,Settings!$C$12)))))</f>
        <v/>
      </c>
      <c r="S243" s="21" t="str">
        <f>IF($F243="","",IFERROR(VLOOKUP($F243,Settings!$E$8:$F$11,2,FALSE),0))</f>
        <v/>
      </c>
      <c r="T243" s="21">
        <f>IF($G243="",Settings!$B$16,1)</f>
        <v>1</v>
      </c>
      <c r="U243" s="21" t="str">
        <f t="shared" si="2"/>
        <v/>
      </c>
      <c r="V243" s="32" t="str">
        <f>IF($C243="","",IF($Q243&gt;Settings!$B$4,IF($G243="","|","")&amp;"OLD_7D","")&amp;IF($Q243&gt;Settings!$B$5,IF(OR($G243="", $Q243&gt;Settings!$B$4),"|","")&amp;"OLD_30D",""))</f>
        <v/>
      </c>
      <c r="W243" s="21" t="str">
        <f>IF(OR($C243="", $M243&lt;&gt;"APPROVED",$I243="", $U243=0),"",SUMIFS($U$3:$U$502,$H$3:$H$502,$H243,$M$3:$M$502,"APPROVED",$Q$3:$Q$502,"&lt;="&amp;Settings!$B$4,$I$3:$I$502,"&lt;="&amp;$I243))</f>
        <v/>
      </c>
      <c r="X243" s="21" t="str">
        <f>IF(OR($C243="", $M243&lt;&gt;"APPROVED",$I243="", $U243=0),"",SUMIFS($U$3:$U$502,$H$3:$H$502,$H243,$M$3:$M$502,"APPROVED",$Q$3:$Q$502,"&lt;="&amp;Settings!$B$5,$I$3:$I$502,"&lt;="&amp;$I243))</f>
        <v/>
      </c>
      <c r="Y243" s="21" t="str">
        <f>IF($P243="","",IFERROR(MATCH($P243,Lists!$H$2:$H$4,0),""))</f>
        <v/>
      </c>
      <c r="Z243" s="21" t="str">
        <f t="shared" si="3"/>
        <v/>
      </c>
    </row>
    <row r="244" spans="1:26" ht="15.75" customHeight="1" x14ac:dyDescent="0.3">
      <c r="A244" s="16" t="str">
        <f t="shared" si="4"/>
        <v/>
      </c>
      <c r="B244" s="28"/>
      <c r="C244" s="29"/>
      <c r="D244" s="16"/>
      <c r="E244" s="16"/>
      <c r="F244" s="16"/>
      <c r="G244" s="16"/>
      <c r="H244" s="16"/>
      <c r="I244" s="31"/>
      <c r="J244" s="15"/>
      <c r="K244" s="15"/>
      <c r="L244" s="15"/>
      <c r="M244" s="16"/>
      <c r="N244" s="17"/>
      <c r="O244" s="19" t="str">
        <f t="shared" si="0"/>
        <v/>
      </c>
      <c r="P244" s="17"/>
      <c r="Q244" s="17" t="str">
        <f t="shared" ca="1" si="1"/>
        <v/>
      </c>
      <c r="R244" s="21" t="str">
        <f ca="1">IF($Q244="","",IF($Q244&lt;=Settings!$B$8,Settings!$C$8,IF($Q244&lt;=Settings!$B$9,Settings!$C$9,IF($Q244&lt;=Settings!$B$10,Settings!$C$10,IF($Q244&lt;=Settings!$B$11,Settings!$C$11,Settings!$C$12)))))</f>
        <v/>
      </c>
      <c r="S244" s="21" t="str">
        <f>IF($F244="","",IFERROR(VLOOKUP($F244,Settings!$E$8:$F$11,2,FALSE),0))</f>
        <v/>
      </c>
      <c r="T244" s="21">
        <f>IF($G244="",Settings!$B$16,1)</f>
        <v>1</v>
      </c>
      <c r="U244" s="21" t="str">
        <f t="shared" si="2"/>
        <v/>
      </c>
      <c r="V244" s="32" t="str">
        <f>IF($C244="","",IF($Q244&gt;Settings!$B$4,IF($G244="","|","")&amp;"OLD_7D","")&amp;IF($Q244&gt;Settings!$B$5,IF(OR($G244="", $Q244&gt;Settings!$B$4),"|","")&amp;"OLD_30D",""))</f>
        <v/>
      </c>
      <c r="W244" s="21" t="str">
        <f>IF(OR($C244="", $M244&lt;&gt;"APPROVED",$I244="", $U244=0),"",SUMIFS($U$3:$U$502,$H$3:$H$502,$H244,$M$3:$M$502,"APPROVED",$Q$3:$Q$502,"&lt;="&amp;Settings!$B$4,$I$3:$I$502,"&lt;="&amp;$I244))</f>
        <v/>
      </c>
      <c r="X244" s="21" t="str">
        <f>IF(OR($C244="", $M244&lt;&gt;"APPROVED",$I244="", $U244=0),"",SUMIFS($U$3:$U$502,$H$3:$H$502,$H244,$M$3:$M$502,"APPROVED",$Q$3:$Q$502,"&lt;="&amp;Settings!$B$5,$I$3:$I$502,"&lt;="&amp;$I244))</f>
        <v/>
      </c>
      <c r="Y244" s="21" t="str">
        <f>IF($P244="","",IFERROR(MATCH($P244,Lists!$H$2:$H$4,0),""))</f>
        <v/>
      </c>
      <c r="Z244" s="21" t="str">
        <f t="shared" si="3"/>
        <v/>
      </c>
    </row>
    <row r="245" spans="1:26" ht="15.75" customHeight="1" x14ac:dyDescent="0.3">
      <c r="A245" s="16" t="str">
        <f t="shared" si="4"/>
        <v/>
      </c>
      <c r="B245" s="28"/>
      <c r="C245" s="29"/>
      <c r="D245" s="16"/>
      <c r="E245" s="16"/>
      <c r="F245" s="16"/>
      <c r="G245" s="16"/>
      <c r="H245" s="16"/>
      <c r="I245" s="31"/>
      <c r="J245" s="15"/>
      <c r="K245" s="15"/>
      <c r="L245" s="15"/>
      <c r="M245" s="16"/>
      <c r="N245" s="17"/>
      <c r="O245" s="19" t="str">
        <f t="shared" si="0"/>
        <v/>
      </c>
      <c r="P245" s="17"/>
      <c r="Q245" s="17" t="str">
        <f t="shared" ca="1" si="1"/>
        <v/>
      </c>
      <c r="R245" s="21" t="str">
        <f ca="1">IF($Q245="","",IF($Q245&lt;=Settings!$B$8,Settings!$C$8,IF($Q245&lt;=Settings!$B$9,Settings!$C$9,IF($Q245&lt;=Settings!$B$10,Settings!$C$10,IF($Q245&lt;=Settings!$B$11,Settings!$C$11,Settings!$C$12)))))</f>
        <v/>
      </c>
      <c r="S245" s="21" t="str">
        <f>IF($F245="","",IFERROR(VLOOKUP($F245,Settings!$E$8:$F$11,2,FALSE),0))</f>
        <v/>
      </c>
      <c r="T245" s="21">
        <f>IF($G245="",Settings!$B$16,1)</f>
        <v>1</v>
      </c>
      <c r="U245" s="21" t="str">
        <f t="shared" si="2"/>
        <v/>
      </c>
      <c r="V245" s="32" t="str">
        <f>IF($C245="","",IF($Q245&gt;Settings!$B$4,IF($G245="","|","")&amp;"OLD_7D","")&amp;IF($Q245&gt;Settings!$B$5,IF(OR($G245="", $Q245&gt;Settings!$B$4),"|","")&amp;"OLD_30D",""))</f>
        <v/>
      </c>
      <c r="W245" s="21" t="str">
        <f>IF(OR($C245="", $M245&lt;&gt;"APPROVED",$I245="", $U245=0),"",SUMIFS($U$3:$U$502,$H$3:$H$502,$H245,$M$3:$M$502,"APPROVED",$Q$3:$Q$502,"&lt;="&amp;Settings!$B$4,$I$3:$I$502,"&lt;="&amp;$I245))</f>
        <v/>
      </c>
      <c r="X245" s="21" t="str">
        <f>IF(OR($C245="", $M245&lt;&gt;"APPROVED",$I245="", $U245=0),"",SUMIFS($U$3:$U$502,$H$3:$H$502,$H245,$M$3:$M$502,"APPROVED",$Q$3:$Q$502,"&lt;="&amp;Settings!$B$5,$I$3:$I$502,"&lt;="&amp;$I245))</f>
        <v/>
      </c>
      <c r="Y245" s="21" t="str">
        <f>IF($P245="","",IFERROR(MATCH($P245,Lists!$H$2:$H$4,0),""))</f>
        <v/>
      </c>
      <c r="Z245" s="21" t="str">
        <f t="shared" si="3"/>
        <v/>
      </c>
    </row>
    <row r="246" spans="1:26" ht="15.75" customHeight="1" x14ac:dyDescent="0.3">
      <c r="A246" s="16" t="str">
        <f t="shared" si="4"/>
        <v/>
      </c>
      <c r="B246" s="28"/>
      <c r="C246" s="29"/>
      <c r="D246" s="16"/>
      <c r="E246" s="16"/>
      <c r="F246" s="16"/>
      <c r="G246" s="16"/>
      <c r="H246" s="16"/>
      <c r="I246" s="31"/>
      <c r="J246" s="15"/>
      <c r="K246" s="15"/>
      <c r="L246" s="15"/>
      <c r="M246" s="16"/>
      <c r="N246" s="17"/>
      <c r="O246" s="19" t="str">
        <f t="shared" si="0"/>
        <v/>
      </c>
      <c r="P246" s="17"/>
      <c r="Q246" s="17" t="str">
        <f t="shared" ca="1" si="1"/>
        <v/>
      </c>
      <c r="R246" s="21" t="str">
        <f ca="1">IF($Q246="","",IF($Q246&lt;=Settings!$B$8,Settings!$C$8,IF($Q246&lt;=Settings!$B$9,Settings!$C$9,IF($Q246&lt;=Settings!$B$10,Settings!$C$10,IF($Q246&lt;=Settings!$B$11,Settings!$C$11,Settings!$C$12)))))</f>
        <v/>
      </c>
      <c r="S246" s="21" t="str">
        <f>IF($F246="","",IFERROR(VLOOKUP($F246,Settings!$E$8:$F$11,2,FALSE),0))</f>
        <v/>
      </c>
      <c r="T246" s="21">
        <f>IF($G246="",Settings!$B$16,1)</f>
        <v>1</v>
      </c>
      <c r="U246" s="21" t="str">
        <f t="shared" si="2"/>
        <v/>
      </c>
      <c r="V246" s="32" t="str">
        <f>IF($C246="","",IF($Q246&gt;Settings!$B$4,IF($G246="","|","")&amp;"OLD_7D","")&amp;IF($Q246&gt;Settings!$B$5,IF(OR($G246="", $Q246&gt;Settings!$B$4),"|","")&amp;"OLD_30D",""))</f>
        <v/>
      </c>
      <c r="W246" s="21" t="str">
        <f>IF(OR($C246="", $M246&lt;&gt;"APPROVED",$I246="", $U246=0),"",SUMIFS($U$3:$U$502,$H$3:$H$502,$H246,$M$3:$M$502,"APPROVED",$Q$3:$Q$502,"&lt;="&amp;Settings!$B$4,$I$3:$I$502,"&lt;="&amp;$I246))</f>
        <v/>
      </c>
      <c r="X246" s="21" t="str">
        <f>IF(OR($C246="", $M246&lt;&gt;"APPROVED",$I246="", $U246=0),"",SUMIFS($U$3:$U$502,$H$3:$H$502,$H246,$M$3:$M$502,"APPROVED",$Q$3:$Q$502,"&lt;="&amp;Settings!$B$5,$I$3:$I$502,"&lt;="&amp;$I246))</f>
        <v/>
      </c>
      <c r="Y246" s="21" t="str">
        <f>IF($P246="","",IFERROR(MATCH($P246,Lists!$H$2:$H$4,0),""))</f>
        <v/>
      </c>
      <c r="Z246" s="21" t="str">
        <f t="shared" si="3"/>
        <v/>
      </c>
    </row>
    <row r="247" spans="1:26" ht="15.75" customHeight="1" x14ac:dyDescent="0.3">
      <c r="A247" s="16" t="str">
        <f t="shared" si="4"/>
        <v/>
      </c>
      <c r="B247" s="28"/>
      <c r="C247" s="29"/>
      <c r="D247" s="16"/>
      <c r="E247" s="16"/>
      <c r="F247" s="16"/>
      <c r="G247" s="16"/>
      <c r="H247" s="16"/>
      <c r="I247" s="31"/>
      <c r="J247" s="15"/>
      <c r="K247" s="15"/>
      <c r="L247" s="15"/>
      <c r="M247" s="16"/>
      <c r="N247" s="17"/>
      <c r="O247" s="19" t="str">
        <f t="shared" si="0"/>
        <v/>
      </c>
      <c r="P247" s="17"/>
      <c r="Q247" s="17" t="str">
        <f t="shared" ca="1" si="1"/>
        <v/>
      </c>
      <c r="R247" s="21" t="str">
        <f ca="1">IF($Q247="","",IF($Q247&lt;=Settings!$B$8,Settings!$C$8,IF($Q247&lt;=Settings!$B$9,Settings!$C$9,IF($Q247&lt;=Settings!$B$10,Settings!$C$10,IF($Q247&lt;=Settings!$B$11,Settings!$C$11,Settings!$C$12)))))</f>
        <v/>
      </c>
      <c r="S247" s="21" t="str">
        <f>IF($F247="","",IFERROR(VLOOKUP($F247,Settings!$E$8:$F$11,2,FALSE),0))</f>
        <v/>
      </c>
      <c r="T247" s="21">
        <f>IF($G247="",Settings!$B$16,1)</f>
        <v>1</v>
      </c>
      <c r="U247" s="21" t="str">
        <f t="shared" si="2"/>
        <v/>
      </c>
      <c r="V247" s="32" t="str">
        <f>IF($C247="","",IF($Q247&gt;Settings!$B$4,IF($G247="","|","")&amp;"OLD_7D","")&amp;IF($Q247&gt;Settings!$B$5,IF(OR($G247="", $Q247&gt;Settings!$B$4),"|","")&amp;"OLD_30D",""))</f>
        <v/>
      </c>
      <c r="W247" s="21" t="str">
        <f>IF(OR($C247="", $M247&lt;&gt;"APPROVED",$I247="", $U247=0),"",SUMIFS($U$3:$U$502,$H$3:$H$502,$H247,$M$3:$M$502,"APPROVED",$Q$3:$Q$502,"&lt;="&amp;Settings!$B$4,$I$3:$I$502,"&lt;="&amp;$I247))</f>
        <v/>
      </c>
      <c r="X247" s="21" t="str">
        <f>IF(OR($C247="", $M247&lt;&gt;"APPROVED",$I247="", $U247=0),"",SUMIFS($U$3:$U$502,$H$3:$H$502,$H247,$M$3:$M$502,"APPROVED",$Q$3:$Q$502,"&lt;="&amp;Settings!$B$5,$I$3:$I$502,"&lt;="&amp;$I247))</f>
        <v/>
      </c>
      <c r="Y247" s="21" t="str">
        <f>IF($P247="","",IFERROR(MATCH($P247,Lists!$H$2:$H$4,0),""))</f>
        <v/>
      </c>
      <c r="Z247" s="21" t="str">
        <f t="shared" si="3"/>
        <v/>
      </c>
    </row>
    <row r="248" spans="1:26" ht="15.75" customHeight="1" x14ac:dyDescent="0.3">
      <c r="A248" s="16" t="str">
        <f t="shared" si="4"/>
        <v/>
      </c>
      <c r="B248" s="28"/>
      <c r="C248" s="29"/>
      <c r="D248" s="16"/>
      <c r="E248" s="16"/>
      <c r="F248" s="16"/>
      <c r="G248" s="16"/>
      <c r="H248" s="16"/>
      <c r="I248" s="31"/>
      <c r="J248" s="15"/>
      <c r="K248" s="15"/>
      <c r="L248" s="15"/>
      <c r="M248" s="16"/>
      <c r="N248" s="17"/>
      <c r="O248" s="19" t="str">
        <f t="shared" si="0"/>
        <v/>
      </c>
      <c r="P248" s="17"/>
      <c r="Q248" s="17" t="str">
        <f t="shared" ca="1" si="1"/>
        <v/>
      </c>
      <c r="R248" s="21" t="str">
        <f ca="1">IF($Q248="","",IF($Q248&lt;=Settings!$B$8,Settings!$C$8,IF($Q248&lt;=Settings!$B$9,Settings!$C$9,IF($Q248&lt;=Settings!$B$10,Settings!$C$10,IF($Q248&lt;=Settings!$B$11,Settings!$C$11,Settings!$C$12)))))</f>
        <v/>
      </c>
      <c r="S248" s="21" t="str">
        <f>IF($F248="","",IFERROR(VLOOKUP($F248,Settings!$E$8:$F$11,2,FALSE),0))</f>
        <v/>
      </c>
      <c r="T248" s="21">
        <f>IF($G248="",Settings!$B$16,1)</f>
        <v>1</v>
      </c>
      <c r="U248" s="21" t="str">
        <f t="shared" si="2"/>
        <v/>
      </c>
      <c r="V248" s="32" t="str">
        <f>IF($C248="","",IF($Q248&gt;Settings!$B$4,IF($G248="","|","")&amp;"OLD_7D","")&amp;IF($Q248&gt;Settings!$B$5,IF(OR($G248="", $Q248&gt;Settings!$B$4),"|","")&amp;"OLD_30D",""))</f>
        <v/>
      </c>
      <c r="W248" s="21" t="str">
        <f>IF(OR($C248="", $M248&lt;&gt;"APPROVED",$I248="", $U248=0),"",SUMIFS($U$3:$U$502,$H$3:$H$502,$H248,$M$3:$M$502,"APPROVED",$Q$3:$Q$502,"&lt;="&amp;Settings!$B$4,$I$3:$I$502,"&lt;="&amp;$I248))</f>
        <v/>
      </c>
      <c r="X248" s="21" t="str">
        <f>IF(OR($C248="", $M248&lt;&gt;"APPROVED",$I248="", $U248=0),"",SUMIFS($U$3:$U$502,$H$3:$H$502,$H248,$M$3:$M$502,"APPROVED",$Q$3:$Q$502,"&lt;="&amp;Settings!$B$5,$I$3:$I$502,"&lt;="&amp;$I248))</f>
        <v/>
      </c>
      <c r="Y248" s="21" t="str">
        <f>IF($P248="","",IFERROR(MATCH($P248,Lists!$H$2:$H$4,0),""))</f>
        <v/>
      </c>
      <c r="Z248" s="21" t="str">
        <f t="shared" si="3"/>
        <v/>
      </c>
    </row>
    <row r="249" spans="1:26" ht="15.75" customHeight="1" x14ac:dyDescent="0.3">
      <c r="A249" s="16" t="str">
        <f t="shared" si="4"/>
        <v/>
      </c>
      <c r="B249" s="28"/>
      <c r="C249" s="29"/>
      <c r="D249" s="16"/>
      <c r="E249" s="16"/>
      <c r="F249" s="16"/>
      <c r="G249" s="16"/>
      <c r="H249" s="16"/>
      <c r="I249" s="31"/>
      <c r="J249" s="15"/>
      <c r="K249" s="15"/>
      <c r="L249" s="15"/>
      <c r="M249" s="16"/>
      <c r="N249" s="17"/>
      <c r="O249" s="19" t="str">
        <f t="shared" si="0"/>
        <v/>
      </c>
      <c r="P249" s="17"/>
      <c r="Q249" s="17" t="str">
        <f t="shared" ca="1" si="1"/>
        <v/>
      </c>
      <c r="R249" s="21" t="str">
        <f ca="1">IF($Q249="","",IF($Q249&lt;=Settings!$B$8,Settings!$C$8,IF($Q249&lt;=Settings!$B$9,Settings!$C$9,IF($Q249&lt;=Settings!$B$10,Settings!$C$10,IF($Q249&lt;=Settings!$B$11,Settings!$C$11,Settings!$C$12)))))</f>
        <v/>
      </c>
      <c r="S249" s="21" t="str">
        <f>IF($F249="","",IFERROR(VLOOKUP($F249,Settings!$E$8:$F$11,2,FALSE),0))</f>
        <v/>
      </c>
      <c r="T249" s="21">
        <f>IF($G249="",Settings!$B$16,1)</f>
        <v>1</v>
      </c>
      <c r="U249" s="21" t="str">
        <f t="shared" si="2"/>
        <v/>
      </c>
      <c r="V249" s="32" t="str">
        <f>IF($C249="","",IF($Q249&gt;Settings!$B$4,IF($G249="","|","")&amp;"OLD_7D","")&amp;IF($Q249&gt;Settings!$B$5,IF(OR($G249="", $Q249&gt;Settings!$B$4),"|","")&amp;"OLD_30D",""))</f>
        <v/>
      </c>
      <c r="W249" s="21" t="str">
        <f>IF(OR($C249="", $M249&lt;&gt;"APPROVED",$I249="", $U249=0),"",SUMIFS($U$3:$U$502,$H$3:$H$502,$H249,$M$3:$M$502,"APPROVED",$Q$3:$Q$502,"&lt;="&amp;Settings!$B$4,$I$3:$I$502,"&lt;="&amp;$I249))</f>
        <v/>
      </c>
      <c r="X249" s="21" t="str">
        <f>IF(OR($C249="", $M249&lt;&gt;"APPROVED",$I249="", $U249=0),"",SUMIFS($U$3:$U$502,$H$3:$H$502,$H249,$M$3:$M$502,"APPROVED",$Q$3:$Q$502,"&lt;="&amp;Settings!$B$5,$I$3:$I$502,"&lt;="&amp;$I249))</f>
        <v/>
      </c>
      <c r="Y249" s="21" t="str">
        <f>IF($P249="","",IFERROR(MATCH($P249,Lists!$H$2:$H$4,0),""))</f>
        <v/>
      </c>
      <c r="Z249" s="21" t="str">
        <f t="shared" si="3"/>
        <v/>
      </c>
    </row>
    <row r="250" spans="1:26" ht="15.75" customHeight="1" x14ac:dyDescent="0.3">
      <c r="A250" s="16" t="str">
        <f t="shared" si="4"/>
        <v/>
      </c>
      <c r="B250" s="28"/>
      <c r="C250" s="29"/>
      <c r="D250" s="16"/>
      <c r="E250" s="16"/>
      <c r="F250" s="16"/>
      <c r="G250" s="16"/>
      <c r="H250" s="16"/>
      <c r="I250" s="31"/>
      <c r="J250" s="15"/>
      <c r="K250" s="15"/>
      <c r="L250" s="15"/>
      <c r="M250" s="16"/>
      <c r="N250" s="17"/>
      <c r="O250" s="19" t="str">
        <f t="shared" si="0"/>
        <v/>
      </c>
      <c r="P250" s="17"/>
      <c r="Q250" s="17" t="str">
        <f t="shared" ca="1" si="1"/>
        <v/>
      </c>
      <c r="R250" s="21" t="str">
        <f ca="1">IF($Q250="","",IF($Q250&lt;=Settings!$B$8,Settings!$C$8,IF($Q250&lt;=Settings!$B$9,Settings!$C$9,IF($Q250&lt;=Settings!$B$10,Settings!$C$10,IF($Q250&lt;=Settings!$B$11,Settings!$C$11,Settings!$C$12)))))</f>
        <v/>
      </c>
      <c r="S250" s="21" t="str">
        <f>IF($F250="","",IFERROR(VLOOKUP($F250,Settings!$E$8:$F$11,2,FALSE),0))</f>
        <v/>
      </c>
      <c r="T250" s="21">
        <f>IF($G250="",Settings!$B$16,1)</f>
        <v>1</v>
      </c>
      <c r="U250" s="21" t="str">
        <f t="shared" si="2"/>
        <v/>
      </c>
      <c r="V250" s="32" t="str">
        <f>IF($C250="","",IF($Q250&gt;Settings!$B$4,IF($G250="","|","")&amp;"OLD_7D","")&amp;IF($Q250&gt;Settings!$B$5,IF(OR($G250="", $Q250&gt;Settings!$B$4),"|","")&amp;"OLD_30D",""))</f>
        <v/>
      </c>
      <c r="W250" s="21" t="str">
        <f>IF(OR($C250="", $M250&lt;&gt;"APPROVED",$I250="", $U250=0),"",SUMIFS($U$3:$U$502,$H$3:$H$502,$H250,$M$3:$M$502,"APPROVED",$Q$3:$Q$502,"&lt;="&amp;Settings!$B$4,$I$3:$I$502,"&lt;="&amp;$I250))</f>
        <v/>
      </c>
      <c r="X250" s="21" t="str">
        <f>IF(OR($C250="", $M250&lt;&gt;"APPROVED",$I250="", $U250=0),"",SUMIFS($U$3:$U$502,$H$3:$H$502,$H250,$M$3:$M$502,"APPROVED",$Q$3:$Q$502,"&lt;="&amp;Settings!$B$5,$I$3:$I$502,"&lt;="&amp;$I250))</f>
        <v/>
      </c>
      <c r="Y250" s="21" t="str">
        <f>IF($P250="","",IFERROR(MATCH($P250,Lists!$H$2:$H$4,0),""))</f>
        <v/>
      </c>
      <c r="Z250" s="21" t="str">
        <f t="shared" si="3"/>
        <v/>
      </c>
    </row>
    <row r="251" spans="1:26" ht="15.75" customHeight="1" x14ac:dyDescent="0.3">
      <c r="A251" s="16" t="str">
        <f t="shared" si="4"/>
        <v/>
      </c>
      <c r="B251" s="28"/>
      <c r="C251" s="29"/>
      <c r="D251" s="16"/>
      <c r="E251" s="16"/>
      <c r="F251" s="16"/>
      <c r="G251" s="16"/>
      <c r="H251" s="16"/>
      <c r="I251" s="31"/>
      <c r="J251" s="15"/>
      <c r="K251" s="15"/>
      <c r="L251" s="15"/>
      <c r="M251" s="16"/>
      <c r="N251" s="17"/>
      <c r="O251" s="19" t="str">
        <f t="shared" si="0"/>
        <v/>
      </c>
      <c r="P251" s="17"/>
      <c r="Q251" s="17" t="str">
        <f t="shared" ca="1" si="1"/>
        <v/>
      </c>
      <c r="R251" s="21" t="str">
        <f ca="1">IF($Q251="","",IF($Q251&lt;=Settings!$B$8,Settings!$C$8,IF($Q251&lt;=Settings!$B$9,Settings!$C$9,IF($Q251&lt;=Settings!$B$10,Settings!$C$10,IF($Q251&lt;=Settings!$B$11,Settings!$C$11,Settings!$C$12)))))</f>
        <v/>
      </c>
      <c r="S251" s="21" t="str">
        <f>IF($F251="","",IFERROR(VLOOKUP($F251,Settings!$E$8:$F$11,2,FALSE),0))</f>
        <v/>
      </c>
      <c r="T251" s="21">
        <f>IF($G251="",Settings!$B$16,1)</f>
        <v>1</v>
      </c>
      <c r="U251" s="21" t="str">
        <f t="shared" si="2"/>
        <v/>
      </c>
      <c r="V251" s="32" t="str">
        <f>IF($C251="","",IF($Q251&gt;Settings!$B$4,IF($G251="","|","")&amp;"OLD_7D","")&amp;IF($Q251&gt;Settings!$B$5,IF(OR($G251="", $Q251&gt;Settings!$B$4),"|","")&amp;"OLD_30D",""))</f>
        <v/>
      </c>
      <c r="W251" s="21" t="str">
        <f>IF(OR($C251="", $M251&lt;&gt;"APPROVED",$I251="", $U251=0),"",SUMIFS($U$3:$U$502,$H$3:$H$502,$H251,$M$3:$M$502,"APPROVED",$Q$3:$Q$502,"&lt;="&amp;Settings!$B$4,$I$3:$I$502,"&lt;="&amp;$I251))</f>
        <v/>
      </c>
      <c r="X251" s="21" t="str">
        <f>IF(OR($C251="", $M251&lt;&gt;"APPROVED",$I251="", $U251=0),"",SUMIFS($U$3:$U$502,$H$3:$H$502,$H251,$M$3:$M$502,"APPROVED",$Q$3:$Q$502,"&lt;="&amp;Settings!$B$5,$I$3:$I$502,"&lt;="&amp;$I251))</f>
        <v/>
      </c>
      <c r="Y251" s="21" t="str">
        <f>IF($P251="","",IFERROR(MATCH($P251,Lists!$H$2:$H$4,0),""))</f>
        <v/>
      </c>
      <c r="Z251" s="21" t="str">
        <f t="shared" si="3"/>
        <v/>
      </c>
    </row>
    <row r="252" spans="1:26" ht="15.75" customHeight="1" x14ac:dyDescent="0.3">
      <c r="A252" s="16" t="str">
        <f t="shared" si="4"/>
        <v/>
      </c>
      <c r="B252" s="28"/>
      <c r="C252" s="29"/>
      <c r="D252" s="16"/>
      <c r="E252" s="16"/>
      <c r="F252" s="16"/>
      <c r="G252" s="16"/>
      <c r="H252" s="16"/>
      <c r="I252" s="31"/>
      <c r="J252" s="15"/>
      <c r="K252" s="15"/>
      <c r="L252" s="15"/>
      <c r="M252" s="16"/>
      <c r="N252" s="17"/>
      <c r="O252" s="19" t="str">
        <f t="shared" si="0"/>
        <v/>
      </c>
      <c r="P252" s="17"/>
      <c r="Q252" s="17" t="str">
        <f t="shared" ca="1" si="1"/>
        <v/>
      </c>
      <c r="R252" s="21" t="str">
        <f ca="1">IF($Q252="","",IF($Q252&lt;=Settings!$B$8,Settings!$C$8,IF($Q252&lt;=Settings!$B$9,Settings!$C$9,IF($Q252&lt;=Settings!$B$10,Settings!$C$10,IF($Q252&lt;=Settings!$B$11,Settings!$C$11,Settings!$C$12)))))</f>
        <v/>
      </c>
      <c r="S252" s="21" t="str">
        <f>IF($F252="","",IFERROR(VLOOKUP($F252,Settings!$E$8:$F$11,2,FALSE),0))</f>
        <v/>
      </c>
      <c r="T252" s="21">
        <f>IF($G252="",Settings!$B$16,1)</f>
        <v>1</v>
      </c>
      <c r="U252" s="21" t="str">
        <f t="shared" si="2"/>
        <v/>
      </c>
      <c r="V252" s="32" t="str">
        <f>IF($C252="","",IF($Q252&gt;Settings!$B$4,IF($G252="","|","")&amp;"OLD_7D","")&amp;IF($Q252&gt;Settings!$B$5,IF(OR($G252="", $Q252&gt;Settings!$B$4),"|","")&amp;"OLD_30D",""))</f>
        <v/>
      </c>
      <c r="W252" s="21" t="str">
        <f>IF(OR($C252="", $M252&lt;&gt;"APPROVED",$I252="", $U252=0),"",SUMIFS($U$3:$U$502,$H$3:$H$502,$H252,$M$3:$M$502,"APPROVED",$Q$3:$Q$502,"&lt;="&amp;Settings!$B$4,$I$3:$I$502,"&lt;="&amp;$I252))</f>
        <v/>
      </c>
      <c r="X252" s="21" t="str">
        <f>IF(OR($C252="", $M252&lt;&gt;"APPROVED",$I252="", $U252=0),"",SUMIFS($U$3:$U$502,$H$3:$H$502,$H252,$M$3:$M$502,"APPROVED",$Q$3:$Q$502,"&lt;="&amp;Settings!$B$5,$I$3:$I$502,"&lt;="&amp;$I252))</f>
        <v/>
      </c>
      <c r="Y252" s="21" t="str">
        <f>IF($P252="","",IFERROR(MATCH($P252,Lists!$H$2:$H$4,0),""))</f>
        <v/>
      </c>
      <c r="Z252" s="21" t="str">
        <f t="shared" si="3"/>
        <v/>
      </c>
    </row>
    <row r="253" spans="1:26" ht="15.75" customHeight="1" x14ac:dyDescent="0.3">
      <c r="A253" s="16" t="str">
        <f t="shared" si="4"/>
        <v/>
      </c>
      <c r="B253" s="28"/>
      <c r="C253" s="29"/>
      <c r="D253" s="16"/>
      <c r="E253" s="16"/>
      <c r="F253" s="16"/>
      <c r="G253" s="16"/>
      <c r="H253" s="16"/>
      <c r="I253" s="31"/>
      <c r="J253" s="15"/>
      <c r="K253" s="15"/>
      <c r="L253" s="15"/>
      <c r="M253" s="16"/>
      <c r="N253" s="17"/>
      <c r="O253" s="19" t="str">
        <f t="shared" si="0"/>
        <v/>
      </c>
      <c r="P253" s="17"/>
      <c r="Q253" s="17" t="str">
        <f t="shared" ca="1" si="1"/>
        <v/>
      </c>
      <c r="R253" s="21" t="str">
        <f ca="1">IF($Q253="","",IF($Q253&lt;=Settings!$B$8,Settings!$C$8,IF($Q253&lt;=Settings!$B$9,Settings!$C$9,IF($Q253&lt;=Settings!$B$10,Settings!$C$10,IF($Q253&lt;=Settings!$B$11,Settings!$C$11,Settings!$C$12)))))</f>
        <v/>
      </c>
      <c r="S253" s="21" t="str">
        <f>IF($F253="","",IFERROR(VLOOKUP($F253,Settings!$E$8:$F$11,2,FALSE),0))</f>
        <v/>
      </c>
      <c r="T253" s="21">
        <f>IF($G253="",Settings!$B$16,1)</f>
        <v>1</v>
      </c>
      <c r="U253" s="21" t="str">
        <f t="shared" si="2"/>
        <v/>
      </c>
      <c r="V253" s="32" t="str">
        <f>IF($C253="","",IF($Q253&gt;Settings!$B$4,IF($G253="","|","")&amp;"OLD_7D","")&amp;IF($Q253&gt;Settings!$B$5,IF(OR($G253="", $Q253&gt;Settings!$B$4),"|","")&amp;"OLD_30D",""))</f>
        <v/>
      </c>
      <c r="W253" s="21" t="str">
        <f>IF(OR($C253="", $M253&lt;&gt;"APPROVED",$I253="", $U253=0),"",SUMIFS($U$3:$U$502,$H$3:$H$502,$H253,$M$3:$M$502,"APPROVED",$Q$3:$Q$502,"&lt;="&amp;Settings!$B$4,$I$3:$I$502,"&lt;="&amp;$I253))</f>
        <v/>
      </c>
      <c r="X253" s="21" t="str">
        <f>IF(OR($C253="", $M253&lt;&gt;"APPROVED",$I253="", $U253=0),"",SUMIFS($U$3:$U$502,$H$3:$H$502,$H253,$M$3:$M$502,"APPROVED",$Q$3:$Q$502,"&lt;="&amp;Settings!$B$5,$I$3:$I$502,"&lt;="&amp;$I253))</f>
        <v/>
      </c>
      <c r="Y253" s="21" t="str">
        <f>IF($P253="","",IFERROR(MATCH($P253,Lists!$H$2:$H$4,0),""))</f>
        <v/>
      </c>
      <c r="Z253" s="21" t="str">
        <f t="shared" si="3"/>
        <v/>
      </c>
    </row>
    <row r="254" spans="1:26" ht="15.75" customHeight="1" x14ac:dyDescent="0.3">
      <c r="A254" s="16" t="str">
        <f t="shared" si="4"/>
        <v/>
      </c>
      <c r="B254" s="28"/>
      <c r="C254" s="29"/>
      <c r="D254" s="16"/>
      <c r="E254" s="16"/>
      <c r="F254" s="16"/>
      <c r="G254" s="16"/>
      <c r="H254" s="16"/>
      <c r="I254" s="31"/>
      <c r="J254" s="15"/>
      <c r="K254" s="15"/>
      <c r="L254" s="15"/>
      <c r="M254" s="16"/>
      <c r="N254" s="17"/>
      <c r="O254" s="19" t="str">
        <f t="shared" si="0"/>
        <v/>
      </c>
      <c r="P254" s="17"/>
      <c r="Q254" s="17" t="str">
        <f t="shared" ca="1" si="1"/>
        <v/>
      </c>
      <c r="R254" s="21" t="str">
        <f ca="1">IF($Q254="","",IF($Q254&lt;=Settings!$B$8,Settings!$C$8,IF($Q254&lt;=Settings!$B$9,Settings!$C$9,IF($Q254&lt;=Settings!$B$10,Settings!$C$10,IF($Q254&lt;=Settings!$B$11,Settings!$C$11,Settings!$C$12)))))</f>
        <v/>
      </c>
      <c r="S254" s="21" t="str">
        <f>IF($F254="","",IFERROR(VLOOKUP($F254,Settings!$E$8:$F$11,2,FALSE),0))</f>
        <v/>
      </c>
      <c r="T254" s="21">
        <f>IF($G254="",Settings!$B$16,1)</f>
        <v>1</v>
      </c>
      <c r="U254" s="21" t="str">
        <f t="shared" si="2"/>
        <v/>
      </c>
      <c r="V254" s="32" t="str">
        <f>IF($C254="","",IF($Q254&gt;Settings!$B$4,IF($G254="","|","")&amp;"OLD_7D","")&amp;IF($Q254&gt;Settings!$B$5,IF(OR($G254="", $Q254&gt;Settings!$B$4),"|","")&amp;"OLD_30D",""))</f>
        <v/>
      </c>
      <c r="W254" s="21" t="str">
        <f>IF(OR($C254="", $M254&lt;&gt;"APPROVED",$I254="", $U254=0),"",SUMIFS($U$3:$U$502,$H$3:$H$502,$H254,$M$3:$M$502,"APPROVED",$Q$3:$Q$502,"&lt;="&amp;Settings!$B$4,$I$3:$I$502,"&lt;="&amp;$I254))</f>
        <v/>
      </c>
      <c r="X254" s="21" t="str">
        <f>IF(OR($C254="", $M254&lt;&gt;"APPROVED",$I254="", $U254=0),"",SUMIFS($U$3:$U$502,$H$3:$H$502,$H254,$M$3:$M$502,"APPROVED",$Q$3:$Q$502,"&lt;="&amp;Settings!$B$5,$I$3:$I$502,"&lt;="&amp;$I254))</f>
        <v/>
      </c>
      <c r="Y254" s="21" t="str">
        <f>IF($P254="","",IFERROR(MATCH($P254,Lists!$H$2:$H$4,0),""))</f>
        <v/>
      </c>
      <c r="Z254" s="21" t="str">
        <f t="shared" si="3"/>
        <v/>
      </c>
    </row>
    <row r="255" spans="1:26" ht="15.75" customHeight="1" x14ac:dyDescent="0.3">
      <c r="A255" s="16" t="str">
        <f t="shared" si="4"/>
        <v/>
      </c>
      <c r="B255" s="28"/>
      <c r="C255" s="29"/>
      <c r="D255" s="16"/>
      <c r="E255" s="16"/>
      <c r="F255" s="16"/>
      <c r="G255" s="16"/>
      <c r="H255" s="16"/>
      <c r="I255" s="31"/>
      <c r="J255" s="15"/>
      <c r="K255" s="15"/>
      <c r="L255" s="15"/>
      <c r="M255" s="16"/>
      <c r="N255" s="17"/>
      <c r="O255" s="19" t="str">
        <f t="shared" si="0"/>
        <v/>
      </c>
      <c r="P255" s="17"/>
      <c r="Q255" s="17" t="str">
        <f t="shared" ca="1" si="1"/>
        <v/>
      </c>
      <c r="R255" s="21" t="str">
        <f ca="1">IF($Q255="","",IF($Q255&lt;=Settings!$B$8,Settings!$C$8,IF($Q255&lt;=Settings!$B$9,Settings!$C$9,IF($Q255&lt;=Settings!$B$10,Settings!$C$10,IF($Q255&lt;=Settings!$B$11,Settings!$C$11,Settings!$C$12)))))</f>
        <v/>
      </c>
      <c r="S255" s="21" t="str">
        <f>IF($F255="","",IFERROR(VLOOKUP($F255,Settings!$E$8:$F$11,2,FALSE),0))</f>
        <v/>
      </c>
      <c r="T255" s="21">
        <f>IF($G255="",Settings!$B$16,1)</f>
        <v>1</v>
      </c>
      <c r="U255" s="21" t="str">
        <f t="shared" si="2"/>
        <v/>
      </c>
      <c r="V255" s="32" t="str">
        <f>IF($C255="","",IF($Q255&gt;Settings!$B$4,IF($G255="","|","")&amp;"OLD_7D","")&amp;IF($Q255&gt;Settings!$B$5,IF(OR($G255="", $Q255&gt;Settings!$B$4),"|","")&amp;"OLD_30D",""))</f>
        <v/>
      </c>
      <c r="W255" s="21" t="str">
        <f>IF(OR($C255="", $M255&lt;&gt;"APPROVED",$I255="", $U255=0),"",SUMIFS($U$3:$U$502,$H$3:$H$502,$H255,$M$3:$M$502,"APPROVED",$Q$3:$Q$502,"&lt;="&amp;Settings!$B$4,$I$3:$I$502,"&lt;="&amp;$I255))</f>
        <v/>
      </c>
      <c r="X255" s="21" t="str">
        <f>IF(OR($C255="", $M255&lt;&gt;"APPROVED",$I255="", $U255=0),"",SUMIFS($U$3:$U$502,$H$3:$H$502,$H255,$M$3:$M$502,"APPROVED",$Q$3:$Q$502,"&lt;="&amp;Settings!$B$5,$I$3:$I$502,"&lt;="&amp;$I255))</f>
        <v/>
      </c>
      <c r="Y255" s="21" t="str">
        <f>IF($P255="","",IFERROR(MATCH($P255,Lists!$H$2:$H$4,0),""))</f>
        <v/>
      </c>
      <c r="Z255" s="21" t="str">
        <f t="shared" si="3"/>
        <v/>
      </c>
    </row>
    <row r="256" spans="1:26" ht="15.75" customHeight="1" x14ac:dyDescent="0.3">
      <c r="A256" s="16" t="str">
        <f t="shared" si="4"/>
        <v/>
      </c>
      <c r="B256" s="28"/>
      <c r="C256" s="29"/>
      <c r="D256" s="16"/>
      <c r="E256" s="16"/>
      <c r="F256" s="16"/>
      <c r="G256" s="16"/>
      <c r="H256" s="16"/>
      <c r="I256" s="31"/>
      <c r="J256" s="15"/>
      <c r="K256" s="15"/>
      <c r="L256" s="15"/>
      <c r="M256" s="16"/>
      <c r="N256" s="17"/>
      <c r="O256" s="19" t="str">
        <f t="shared" si="0"/>
        <v/>
      </c>
      <c r="P256" s="17"/>
      <c r="Q256" s="17" t="str">
        <f t="shared" ca="1" si="1"/>
        <v/>
      </c>
      <c r="R256" s="21" t="str">
        <f ca="1">IF($Q256="","",IF($Q256&lt;=Settings!$B$8,Settings!$C$8,IF($Q256&lt;=Settings!$B$9,Settings!$C$9,IF($Q256&lt;=Settings!$B$10,Settings!$C$10,IF($Q256&lt;=Settings!$B$11,Settings!$C$11,Settings!$C$12)))))</f>
        <v/>
      </c>
      <c r="S256" s="21" t="str">
        <f>IF($F256="","",IFERROR(VLOOKUP($F256,Settings!$E$8:$F$11,2,FALSE),0))</f>
        <v/>
      </c>
      <c r="T256" s="21">
        <f>IF($G256="",Settings!$B$16,1)</f>
        <v>1</v>
      </c>
      <c r="U256" s="21" t="str">
        <f t="shared" si="2"/>
        <v/>
      </c>
      <c r="V256" s="32" t="str">
        <f>IF($C256="","",IF($Q256&gt;Settings!$B$4,IF($G256="","|","")&amp;"OLD_7D","")&amp;IF($Q256&gt;Settings!$B$5,IF(OR($G256="", $Q256&gt;Settings!$B$4),"|","")&amp;"OLD_30D",""))</f>
        <v/>
      </c>
      <c r="W256" s="21" t="str">
        <f>IF(OR($C256="", $M256&lt;&gt;"APPROVED",$I256="", $U256=0),"",SUMIFS($U$3:$U$502,$H$3:$H$502,$H256,$M$3:$M$502,"APPROVED",$Q$3:$Q$502,"&lt;="&amp;Settings!$B$4,$I$3:$I$502,"&lt;="&amp;$I256))</f>
        <v/>
      </c>
      <c r="X256" s="21" t="str">
        <f>IF(OR($C256="", $M256&lt;&gt;"APPROVED",$I256="", $U256=0),"",SUMIFS($U$3:$U$502,$H$3:$H$502,$H256,$M$3:$M$502,"APPROVED",$Q$3:$Q$502,"&lt;="&amp;Settings!$B$5,$I$3:$I$502,"&lt;="&amp;$I256))</f>
        <v/>
      </c>
      <c r="Y256" s="21" t="str">
        <f>IF($P256="","",IFERROR(MATCH($P256,Lists!$H$2:$H$4,0),""))</f>
        <v/>
      </c>
      <c r="Z256" s="21" t="str">
        <f t="shared" si="3"/>
        <v/>
      </c>
    </row>
    <row r="257" spans="1:26" ht="15.75" customHeight="1" x14ac:dyDescent="0.3">
      <c r="A257" s="16" t="str">
        <f t="shared" si="4"/>
        <v/>
      </c>
      <c r="B257" s="28"/>
      <c r="C257" s="29"/>
      <c r="D257" s="16"/>
      <c r="E257" s="16"/>
      <c r="F257" s="16"/>
      <c r="G257" s="16"/>
      <c r="H257" s="16"/>
      <c r="I257" s="31"/>
      <c r="J257" s="15"/>
      <c r="K257" s="15"/>
      <c r="L257" s="15"/>
      <c r="M257" s="16"/>
      <c r="N257" s="17"/>
      <c r="O257" s="19" t="str">
        <f t="shared" si="0"/>
        <v/>
      </c>
      <c r="P257" s="17"/>
      <c r="Q257" s="17" t="str">
        <f t="shared" ca="1" si="1"/>
        <v/>
      </c>
      <c r="R257" s="21" t="str">
        <f ca="1">IF($Q257="","",IF($Q257&lt;=Settings!$B$8,Settings!$C$8,IF($Q257&lt;=Settings!$B$9,Settings!$C$9,IF($Q257&lt;=Settings!$B$10,Settings!$C$10,IF($Q257&lt;=Settings!$B$11,Settings!$C$11,Settings!$C$12)))))</f>
        <v/>
      </c>
      <c r="S257" s="21" t="str">
        <f>IF($F257="","",IFERROR(VLOOKUP($F257,Settings!$E$8:$F$11,2,FALSE),0))</f>
        <v/>
      </c>
      <c r="T257" s="21">
        <f>IF($G257="",Settings!$B$16,1)</f>
        <v>1</v>
      </c>
      <c r="U257" s="21" t="str">
        <f t="shared" si="2"/>
        <v/>
      </c>
      <c r="V257" s="32" t="str">
        <f>IF($C257="","",IF($Q257&gt;Settings!$B$4,IF($G257="","|","")&amp;"OLD_7D","")&amp;IF($Q257&gt;Settings!$B$5,IF(OR($G257="", $Q257&gt;Settings!$B$4),"|","")&amp;"OLD_30D",""))</f>
        <v/>
      </c>
      <c r="W257" s="21" t="str">
        <f>IF(OR($C257="", $M257&lt;&gt;"APPROVED",$I257="", $U257=0),"",SUMIFS($U$3:$U$502,$H$3:$H$502,$H257,$M$3:$M$502,"APPROVED",$Q$3:$Q$502,"&lt;="&amp;Settings!$B$4,$I$3:$I$502,"&lt;="&amp;$I257))</f>
        <v/>
      </c>
      <c r="X257" s="21" t="str">
        <f>IF(OR($C257="", $M257&lt;&gt;"APPROVED",$I257="", $U257=0),"",SUMIFS($U$3:$U$502,$H$3:$H$502,$H257,$M$3:$M$502,"APPROVED",$Q$3:$Q$502,"&lt;="&amp;Settings!$B$5,$I$3:$I$502,"&lt;="&amp;$I257))</f>
        <v/>
      </c>
      <c r="Y257" s="21" t="str">
        <f>IF($P257="","",IFERROR(MATCH($P257,Lists!$H$2:$H$4,0),""))</f>
        <v/>
      </c>
      <c r="Z257" s="21" t="str">
        <f t="shared" si="3"/>
        <v/>
      </c>
    </row>
    <row r="258" spans="1:26" ht="15.75" customHeight="1" x14ac:dyDescent="0.3">
      <c r="A258" s="16" t="str">
        <f t="shared" si="4"/>
        <v/>
      </c>
      <c r="B258" s="28"/>
      <c r="C258" s="29"/>
      <c r="D258" s="16"/>
      <c r="E258" s="16"/>
      <c r="F258" s="16"/>
      <c r="G258" s="16"/>
      <c r="H258" s="16"/>
      <c r="I258" s="31"/>
      <c r="J258" s="15"/>
      <c r="K258" s="15"/>
      <c r="L258" s="15"/>
      <c r="M258" s="16"/>
      <c r="N258" s="17"/>
      <c r="O258" s="19" t="str">
        <f t="shared" ref="O258:O502" si="5">IF($M258="APPROVED",$C258,"")</f>
        <v/>
      </c>
      <c r="P258" s="17"/>
      <c r="Q258" s="17" t="str">
        <f t="shared" ref="Q258:Q502" ca="1" si="6">IF($C258="","",TODAY()-$C258)</f>
        <v/>
      </c>
      <c r="R258" s="21" t="str">
        <f ca="1">IF($Q258="","",IF($Q258&lt;=Settings!$B$8,Settings!$C$8,IF($Q258&lt;=Settings!$B$9,Settings!$C$9,IF($Q258&lt;=Settings!$B$10,Settings!$C$10,IF($Q258&lt;=Settings!$B$11,Settings!$C$11,Settings!$C$12)))))</f>
        <v/>
      </c>
      <c r="S258" s="21" t="str">
        <f>IF($F258="","",IFERROR(VLOOKUP($F258,Settings!$E$8:$F$11,2,FALSE),0))</f>
        <v/>
      </c>
      <c r="T258" s="21">
        <f>IF($G258="",Settings!$B$16,1)</f>
        <v>1</v>
      </c>
      <c r="U258" s="21" t="str">
        <f t="shared" ref="U258:U502" si="7">IF($C258="","",IF($M258&lt;&gt;"APPROVED",0,$R258*$S258*$T258))</f>
        <v/>
      </c>
      <c r="V258" s="32" t="str">
        <f>IF($C258="","",IF($Q258&gt;Settings!$B$4,IF($G258="","|","")&amp;"OLD_7D","")&amp;IF($Q258&gt;Settings!$B$5,IF(OR($G258="", $Q258&gt;Settings!$B$4),"|","")&amp;"OLD_30D",""))</f>
        <v/>
      </c>
      <c r="W258" s="21" t="str">
        <f>IF(OR($C258="", $M258&lt;&gt;"APPROVED",$I258="", $U258=0),"",SUMIFS($U$3:$U$502,$H$3:$H$502,$H258,$M$3:$M$502,"APPROVED",$Q$3:$Q$502,"&lt;="&amp;Settings!$B$4,$I$3:$I$502,"&lt;="&amp;$I258))</f>
        <v/>
      </c>
      <c r="X258" s="21" t="str">
        <f>IF(OR($C258="", $M258&lt;&gt;"APPROVED",$I258="", $U258=0),"",SUMIFS($U$3:$U$502,$H$3:$H$502,$H258,$M$3:$M$502,"APPROVED",$Q$3:$Q$502,"&lt;="&amp;Settings!$B$5,$I$3:$I$502,"&lt;="&amp;$I258))</f>
        <v/>
      </c>
      <c r="Y258" s="21" t="str">
        <f>IF($P258="","",IFERROR(MATCH($P258,Lists!$H$2:$H$4,0),""))</f>
        <v/>
      </c>
      <c r="Z258" s="21" t="str">
        <f t="shared" ref="Z258:Z502" si="8">IF($Y258="","",$Y258*$U258)</f>
        <v/>
      </c>
    </row>
    <row r="259" spans="1:26" ht="15.75" customHeight="1" x14ac:dyDescent="0.3">
      <c r="A259" s="16" t="str">
        <f t="shared" ref="A259:A502" si="9">IF($C259="","", "R"&amp;TEXT(ROW()-2,"00000"))</f>
        <v/>
      </c>
      <c r="B259" s="28"/>
      <c r="C259" s="29"/>
      <c r="D259" s="16"/>
      <c r="E259" s="16"/>
      <c r="F259" s="16"/>
      <c r="G259" s="16"/>
      <c r="H259" s="16"/>
      <c r="I259" s="31"/>
      <c r="J259" s="15"/>
      <c r="K259" s="15"/>
      <c r="L259" s="15"/>
      <c r="M259" s="16"/>
      <c r="N259" s="17"/>
      <c r="O259" s="19" t="str">
        <f t="shared" si="5"/>
        <v/>
      </c>
      <c r="P259" s="17"/>
      <c r="Q259" s="17" t="str">
        <f t="shared" ca="1" si="6"/>
        <v/>
      </c>
      <c r="R259" s="21" t="str">
        <f ca="1">IF($Q259="","",IF($Q259&lt;=Settings!$B$8,Settings!$C$8,IF($Q259&lt;=Settings!$B$9,Settings!$C$9,IF($Q259&lt;=Settings!$B$10,Settings!$C$10,IF($Q259&lt;=Settings!$B$11,Settings!$C$11,Settings!$C$12)))))</f>
        <v/>
      </c>
      <c r="S259" s="21" t="str">
        <f>IF($F259="","",IFERROR(VLOOKUP($F259,Settings!$E$8:$F$11,2,FALSE),0))</f>
        <v/>
      </c>
      <c r="T259" s="21">
        <f>IF($G259="",Settings!$B$16,1)</f>
        <v>1</v>
      </c>
      <c r="U259" s="21" t="str">
        <f t="shared" si="7"/>
        <v/>
      </c>
      <c r="V259" s="32" t="str">
        <f>IF($C259="","",IF($Q259&gt;Settings!$B$4,IF($G259="","|","")&amp;"OLD_7D","")&amp;IF($Q259&gt;Settings!$B$5,IF(OR($G259="", $Q259&gt;Settings!$B$4),"|","")&amp;"OLD_30D",""))</f>
        <v/>
      </c>
      <c r="W259" s="21" t="str">
        <f>IF(OR($C259="", $M259&lt;&gt;"APPROVED",$I259="", $U259=0),"",SUMIFS($U$3:$U$502,$H$3:$H$502,$H259,$M$3:$M$502,"APPROVED",$Q$3:$Q$502,"&lt;="&amp;Settings!$B$4,$I$3:$I$502,"&lt;="&amp;$I259))</f>
        <v/>
      </c>
      <c r="X259" s="21" t="str">
        <f>IF(OR($C259="", $M259&lt;&gt;"APPROVED",$I259="", $U259=0),"",SUMIFS($U$3:$U$502,$H$3:$H$502,$H259,$M$3:$M$502,"APPROVED",$Q$3:$Q$502,"&lt;="&amp;Settings!$B$5,$I$3:$I$502,"&lt;="&amp;$I259))</f>
        <v/>
      </c>
      <c r="Y259" s="21" t="str">
        <f>IF($P259="","",IFERROR(MATCH($P259,Lists!$H$2:$H$4,0),""))</f>
        <v/>
      </c>
      <c r="Z259" s="21" t="str">
        <f t="shared" si="8"/>
        <v/>
      </c>
    </row>
    <row r="260" spans="1:26" ht="15.75" customHeight="1" x14ac:dyDescent="0.3">
      <c r="A260" s="16" t="str">
        <f t="shared" si="9"/>
        <v/>
      </c>
      <c r="B260" s="28"/>
      <c r="C260" s="29"/>
      <c r="D260" s="16"/>
      <c r="E260" s="16"/>
      <c r="F260" s="16"/>
      <c r="G260" s="16"/>
      <c r="H260" s="16"/>
      <c r="I260" s="31"/>
      <c r="J260" s="15"/>
      <c r="K260" s="15"/>
      <c r="L260" s="15"/>
      <c r="M260" s="16"/>
      <c r="N260" s="17"/>
      <c r="O260" s="19" t="str">
        <f t="shared" si="5"/>
        <v/>
      </c>
      <c r="P260" s="17"/>
      <c r="Q260" s="17" t="str">
        <f t="shared" ca="1" si="6"/>
        <v/>
      </c>
      <c r="R260" s="21" t="str">
        <f ca="1">IF($Q260="","",IF($Q260&lt;=Settings!$B$8,Settings!$C$8,IF($Q260&lt;=Settings!$B$9,Settings!$C$9,IF($Q260&lt;=Settings!$B$10,Settings!$C$10,IF($Q260&lt;=Settings!$B$11,Settings!$C$11,Settings!$C$12)))))</f>
        <v/>
      </c>
      <c r="S260" s="21" t="str">
        <f>IF($F260="","",IFERROR(VLOOKUP($F260,Settings!$E$8:$F$11,2,FALSE),0))</f>
        <v/>
      </c>
      <c r="T260" s="21">
        <f>IF($G260="",Settings!$B$16,1)</f>
        <v>1</v>
      </c>
      <c r="U260" s="21" t="str">
        <f t="shared" si="7"/>
        <v/>
      </c>
      <c r="V260" s="32" t="str">
        <f>IF($C260="","",IF($Q260&gt;Settings!$B$4,IF($G260="","|","")&amp;"OLD_7D","")&amp;IF($Q260&gt;Settings!$B$5,IF(OR($G260="", $Q260&gt;Settings!$B$4),"|","")&amp;"OLD_30D",""))</f>
        <v/>
      </c>
      <c r="W260" s="21" t="str">
        <f>IF(OR($C260="", $M260&lt;&gt;"APPROVED",$I260="", $U260=0),"",SUMIFS($U$3:$U$502,$H$3:$H$502,$H260,$M$3:$M$502,"APPROVED",$Q$3:$Q$502,"&lt;="&amp;Settings!$B$4,$I$3:$I$502,"&lt;="&amp;$I260))</f>
        <v/>
      </c>
      <c r="X260" s="21" t="str">
        <f>IF(OR($C260="", $M260&lt;&gt;"APPROVED",$I260="", $U260=0),"",SUMIFS($U$3:$U$502,$H$3:$H$502,$H260,$M$3:$M$502,"APPROVED",$Q$3:$Q$502,"&lt;="&amp;Settings!$B$5,$I$3:$I$502,"&lt;="&amp;$I260))</f>
        <v/>
      </c>
      <c r="Y260" s="21" t="str">
        <f>IF($P260="","",IFERROR(MATCH($P260,Lists!$H$2:$H$4,0),""))</f>
        <v/>
      </c>
      <c r="Z260" s="21" t="str">
        <f t="shared" si="8"/>
        <v/>
      </c>
    </row>
    <row r="261" spans="1:26" ht="15.75" customHeight="1" x14ac:dyDescent="0.3">
      <c r="A261" s="16" t="str">
        <f t="shared" si="9"/>
        <v/>
      </c>
      <c r="B261" s="28"/>
      <c r="C261" s="29"/>
      <c r="D261" s="16"/>
      <c r="E261" s="16"/>
      <c r="F261" s="16"/>
      <c r="G261" s="16"/>
      <c r="H261" s="16"/>
      <c r="I261" s="31"/>
      <c r="J261" s="15"/>
      <c r="K261" s="15"/>
      <c r="L261" s="15"/>
      <c r="M261" s="16"/>
      <c r="N261" s="17"/>
      <c r="O261" s="19" t="str">
        <f t="shared" si="5"/>
        <v/>
      </c>
      <c r="P261" s="17"/>
      <c r="Q261" s="17" t="str">
        <f t="shared" ca="1" si="6"/>
        <v/>
      </c>
      <c r="R261" s="21" t="str">
        <f ca="1">IF($Q261="","",IF($Q261&lt;=Settings!$B$8,Settings!$C$8,IF($Q261&lt;=Settings!$B$9,Settings!$C$9,IF($Q261&lt;=Settings!$B$10,Settings!$C$10,IF($Q261&lt;=Settings!$B$11,Settings!$C$11,Settings!$C$12)))))</f>
        <v/>
      </c>
      <c r="S261" s="21" t="str">
        <f>IF($F261="","",IFERROR(VLOOKUP($F261,Settings!$E$8:$F$11,2,FALSE),0))</f>
        <v/>
      </c>
      <c r="T261" s="21">
        <f>IF($G261="",Settings!$B$16,1)</f>
        <v>1</v>
      </c>
      <c r="U261" s="21" t="str">
        <f t="shared" si="7"/>
        <v/>
      </c>
      <c r="V261" s="32" t="str">
        <f>IF($C261="","",IF($Q261&gt;Settings!$B$4,IF($G261="","|","")&amp;"OLD_7D","")&amp;IF($Q261&gt;Settings!$B$5,IF(OR($G261="", $Q261&gt;Settings!$B$4),"|","")&amp;"OLD_30D",""))</f>
        <v/>
      </c>
      <c r="W261" s="21" t="str">
        <f>IF(OR($C261="", $M261&lt;&gt;"APPROVED",$I261="", $U261=0),"",SUMIFS($U$3:$U$502,$H$3:$H$502,$H261,$M$3:$M$502,"APPROVED",$Q$3:$Q$502,"&lt;="&amp;Settings!$B$4,$I$3:$I$502,"&lt;="&amp;$I261))</f>
        <v/>
      </c>
      <c r="X261" s="21" t="str">
        <f>IF(OR($C261="", $M261&lt;&gt;"APPROVED",$I261="", $U261=0),"",SUMIFS($U$3:$U$502,$H$3:$H$502,$H261,$M$3:$M$502,"APPROVED",$Q$3:$Q$502,"&lt;="&amp;Settings!$B$5,$I$3:$I$502,"&lt;="&amp;$I261))</f>
        <v/>
      </c>
      <c r="Y261" s="21" t="str">
        <f>IF($P261="","",IFERROR(MATCH($P261,Lists!$H$2:$H$4,0),""))</f>
        <v/>
      </c>
      <c r="Z261" s="21" t="str">
        <f t="shared" si="8"/>
        <v/>
      </c>
    </row>
    <row r="262" spans="1:26" ht="15.75" customHeight="1" x14ac:dyDescent="0.3">
      <c r="A262" s="16" t="str">
        <f t="shared" si="9"/>
        <v/>
      </c>
      <c r="B262" s="28"/>
      <c r="C262" s="29"/>
      <c r="D262" s="16"/>
      <c r="E262" s="16"/>
      <c r="F262" s="16"/>
      <c r="G262" s="16"/>
      <c r="H262" s="16"/>
      <c r="I262" s="31"/>
      <c r="J262" s="15"/>
      <c r="K262" s="15"/>
      <c r="L262" s="15"/>
      <c r="M262" s="16"/>
      <c r="N262" s="17"/>
      <c r="O262" s="19" t="str">
        <f t="shared" si="5"/>
        <v/>
      </c>
      <c r="P262" s="17"/>
      <c r="Q262" s="17" t="str">
        <f t="shared" ca="1" si="6"/>
        <v/>
      </c>
      <c r="R262" s="21" t="str">
        <f ca="1">IF($Q262="","",IF($Q262&lt;=Settings!$B$8,Settings!$C$8,IF($Q262&lt;=Settings!$B$9,Settings!$C$9,IF($Q262&lt;=Settings!$B$10,Settings!$C$10,IF($Q262&lt;=Settings!$B$11,Settings!$C$11,Settings!$C$12)))))</f>
        <v/>
      </c>
      <c r="S262" s="21" t="str">
        <f>IF($F262="","",IFERROR(VLOOKUP($F262,Settings!$E$8:$F$11,2,FALSE),0))</f>
        <v/>
      </c>
      <c r="T262" s="21">
        <f>IF($G262="",Settings!$B$16,1)</f>
        <v>1</v>
      </c>
      <c r="U262" s="21" t="str">
        <f t="shared" si="7"/>
        <v/>
      </c>
      <c r="V262" s="32" t="str">
        <f>IF($C262="","",IF($Q262&gt;Settings!$B$4,IF($G262="","|","")&amp;"OLD_7D","")&amp;IF($Q262&gt;Settings!$B$5,IF(OR($G262="", $Q262&gt;Settings!$B$4),"|","")&amp;"OLD_30D",""))</f>
        <v/>
      </c>
      <c r="W262" s="21" t="str">
        <f>IF(OR($C262="", $M262&lt;&gt;"APPROVED",$I262="", $U262=0),"",SUMIFS($U$3:$U$502,$H$3:$H$502,$H262,$M$3:$M$502,"APPROVED",$Q$3:$Q$502,"&lt;="&amp;Settings!$B$4,$I$3:$I$502,"&lt;="&amp;$I262))</f>
        <v/>
      </c>
      <c r="X262" s="21" t="str">
        <f>IF(OR($C262="", $M262&lt;&gt;"APPROVED",$I262="", $U262=0),"",SUMIFS($U$3:$U$502,$H$3:$H$502,$H262,$M$3:$M$502,"APPROVED",$Q$3:$Q$502,"&lt;="&amp;Settings!$B$5,$I$3:$I$502,"&lt;="&amp;$I262))</f>
        <v/>
      </c>
      <c r="Y262" s="21" t="str">
        <f>IF($P262="","",IFERROR(MATCH($P262,Lists!$H$2:$H$4,0),""))</f>
        <v/>
      </c>
      <c r="Z262" s="21" t="str">
        <f t="shared" si="8"/>
        <v/>
      </c>
    </row>
    <row r="263" spans="1:26" ht="15.75" customHeight="1" x14ac:dyDescent="0.3">
      <c r="A263" s="16" t="str">
        <f t="shared" si="9"/>
        <v/>
      </c>
      <c r="B263" s="28"/>
      <c r="C263" s="29"/>
      <c r="D263" s="16"/>
      <c r="E263" s="16"/>
      <c r="F263" s="16"/>
      <c r="G263" s="16"/>
      <c r="H263" s="16"/>
      <c r="I263" s="31"/>
      <c r="J263" s="15"/>
      <c r="K263" s="15"/>
      <c r="L263" s="15"/>
      <c r="M263" s="16"/>
      <c r="N263" s="17"/>
      <c r="O263" s="19" t="str">
        <f t="shared" si="5"/>
        <v/>
      </c>
      <c r="P263" s="17"/>
      <c r="Q263" s="17" t="str">
        <f t="shared" ca="1" si="6"/>
        <v/>
      </c>
      <c r="R263" s="21" t="str">
        <f ca="1">IF($Q263="","",IF($Q263&lt;=Settings!$B$8,Settings!$C$8,IF($Q263&lt;=Settings!$B$9,Settings!$C$9,IF($Q263&lt;=Settings!$B$10,Settings!$C$10,IF($Q263&lt;=Settings!$B$11,Settings!$C$11,Settings!$C$12)))))</f>
        <v/>
      </c>
      <c r="S263" s="21" t="str">
        <f>IF($F263="","",IFERROR(VLOOKUP($F263,Settings!$E$8:$F$11,2,FALSE),0))</f>
        <v/>
      </c>
      <c r="T263" s="21">
        <f>IF($G263="",Settings!$B$16,1)</f>
        <v>1</v>
      </c>
      <c r="U263" s="21" t="str">
        <f t="shared" si="7"/>
        <v/>
      </c>
      <c r="V263" s="32" t="str">
        <f>IF($C263="","",IF($Q263&gt;Settings!$B$4,IF($G263="","|","")&amp;"OLD_7D","")&amp;IF($Q263&gt;Settings!$B$5,IF(OR($G263="", $Q263&gt;Settings!$B$4),"|","")&amp;"OLD_30D",""))</f>
        <v/>
      </c>
      <c r="W263" s="21" t="str">
        <f>IF(OR($C263="", $M263&lt;&gt;"APPROVED",$I263="", $U263=0),"",SUMIFS($U$3:$U$502,$H$3:$H$502,$H263,$M$3:$M$502,"APPROVED",$Q$3:$Q$502,"&lt;="&amp;Settings!$B$4,$I$3:$I$502,"&lt;="&amp;$I263))</f>
        <v/>
      </c>
      <c r="X263" s="21" t="str">
        <f>IF(OR($C263="", $M263&lt;&gt;"APPROVED",$I263="", $U263=0),"",SUMIFS($U$3:$U$502,$H$3:$H$502,$H263,$M$3:$M$502,"APPROVED",$Q$3:$Q$502,"&lt;="&amp;Settings!$B$5,$I$3:$I$502,"&lt;="&amp;$I263))</f>
        <v/>
      </c>
      <c r="Y263" s="21" t="str">
        <f>IF($P263="","",IFERROR(MATCH($P263,Lists!$H$2:$H$4,0),""))</f>
        <v/>
      </c>
      <c r="Z263" s="21" t="str">
        <f t="shared" si="8"/>
        <v/>
      </c>
    </row>
    <row r="264" spans="1:26" ht="15.75" customHeight="1" x14ac:dyDescent="0.3">
      <c r="A264" s="16" t="str">
        <f t="shared" si="9"/>
        <v/>
      </c>
      <c r="B264" s="28"/>
      <c r="C264" s="29"/>
      <c r="D264" s="16"/>
      <c r="E264" s="16"/>
      <c r="F264" s="16"/>
      <c r="G264" s="16"/>
      <c r="H264" s="16"/>
      <c r="I264" s="31"/>
      <c r="J264" s="15"/>
      <c r="K264" s="15"/>
      <c r="L264" s="15"/>
      <c r="M264" s="16"/>
      <c r="N264" s="17"/>
      <c r="O264" s="19" t="str">
        <f t="shared" si="5"/>
        <v/>
      </c>
      <c r="P264" s="17"/>
      <c r="Q264" s="17" t="str">
        <f t="shared" ca="1" si="6"/>
        <v/>
      </c>
      <c r="R264" s="21" t="str">
        <f ca="1">IF($Q264="","",IF($Q264&lt;=Settings!$B$8,Settings!$C$8,IF($Q264&lt;=Settings!$B$9,Settings!$C$9,IF($Q264&lt;=Settings!$B$10,Settings!$C$10,IF($Q264&lt;=Settings!$B$11,Settings!$C$11,Settings!$C$12)))))</f>
        <v/>
      </c>
      <c r="S264" s="21" t="str">
        <f>IF($F264="","",IFERROR(VLOOKUP($F264,Settings!$E$8:$F$11,2,FALSE),0))</f>
        <v/>
      </c>
      <c r="T264" s="21">
        <f>IF($G264="",Settings!$B$16,1)</f>
        <v>1</v>
      </c>
      <c r="U264" s="21" t="str">
        <f t="shared" si="7"/>
        <v/>
      </c>
      <c r="V264" s="32" t="str">
        <f>IF($C264="","",IF($Q264&gt;Settings!$B$4,IF($G264="","|","")&amp;"OLD_7D","")&amp;IF($Q264&gt;Settings!$B$5,IF(OR($G264="", $Q264&gt;Settings!$B$4),"|","")&amp;"OLD_30D",""))</f>
        <v/>
      </c>
      <c r="W264" s="21" t="str">
        <f>IF(OR($C264="", $M264&lt;&gt;"APPROVED",$I264="", $U264=0),"",SUMIFS($U$3:$U$502,$H$3:$H$502,$H264,$M$3:$M$502,"APPROVED",$Q$3:$Q$502,"&lt;="&amp;Settings!$B$4,$I$3:$I$502,"&lt;="&amp;$I264))</f>
        <v/>
      </c>
      <c r="X264" s="21" t="str">
        <f>IF(OR($C264="", $M264&lt;&gt;"APPROVED",$I264="", $U264=0),"",SUMIFS($U$3:$U$502,$H$3:$H$502,$H264,$M$3:$M$502,"APPROVED",$Q$3:$Q$502,"&lt;="&amp;Settings!$B$5,$I$3:$I$502,"&lt;="&amp;$I264))</f>
        <v/>
      </c>
      <c r="Y264" s="21" t="str">
        <f>IF($P264="","",IFERROR(MATCH($P264,Lists!$H$2:$H$4,0),""))</f>
        <v/>
      </c>
      <c r="Z264" s="21" t="str">
        <f t="shared" si="8"/>
        <v/>
      </c>
    </row>
    <row r="265" spans="1:26" ht="15.75" customHeight="1" x14ac:dyDescent="0.3">
      <c r="A265" s="16" t="str">
        <f t="shared" si="9"/>
        <v/>
      </c>
      <c r="B265" s="28"/>
      <c r="C265" s="29"/>
      <c r="D265" s="16"/>
      <c r="E265" s="16"/>
      <c r="F265" s="16"/>
      <c r="G265" s="16"/>
      <c r="H265" s="16"/>
      <c r="I265" s="31"/>
      <c r="J265" s="15"/>
      <c r="K265" s="15"/>
      <c r="L265" s="15"/>
      <c r="M265" s="16"/>
      <c r="N265" s="17"/>
      <c r="O265" s="19" t="str">
        <f t="shared" si="5"/>
        <v/>
      </c>
      <c r="P265" s="17"/>
      <c r="Q265" s="17" t="str">
        <f t="shared" ca="1" si="6"/>
        <v/>
      </c>
      <c r="R265" s="21" t="str">
        <f ca="1">IF($Q265="","",IF($Q265&lt;=Settings!$B$8,Settings!$C$8,IF($Q265&lt;=Settings!$B$9,Settings!$C$9,IF($Q265&lt;=Settings!$B$10,Settings!$C$10,IF($Q265&lt;=Settings!$B$11,Settings!$C$11,Settings!$C$12)))))</f>
        <v/>
      </c>
      <c r="S265" s="21" t="str">
        <f>IF($F265="","",IFERROR(VLOOKUP($F265,Settings!$E$8:$F$11,2,FALSE),0))</f>
        <v/>
      </c>
      <c r="T265" s="21">
        <f>IF($G265="",Settings!$B$16,1)</f>
        <v>1</v>
      </c>
      <c r="U265" s="21" t="str">
        <f t="shared" si="7"/>
        <v/>
      </c>
      <c r="V265" s="32" t="str">
        <f>IF($C265="","",IF($Q265&gt;Settings!$B$4,IF($G265="","|","")&amp;"OLD_7D","")&amp;IF($Q265&gt;Settings!$B$5,IF(OR($G265="", $Q265&gt;Settings!$B$4),"|","")&amp;"OLD_30D",""))</f>
        <v/>
      </c>
      <c r="W265" s="21" t="str">
        <f>IF(OR($C265="", $M265&lt;&gt;"APPROVED",$I265="", $U265=0),"",SUMIFS($U$3:$U$502,$H$3:$H$502,$H265,$M$3:$M$502,"APPROVED",$Q$3:$Q$502,"&lt;="&amp;Settings!$B$4,$I$3:$I$502,"&lt;="&amp;$I265))</f>
        <v/>
      </c>
      <c r="X265" s="21" t="str">
        <f>IF(OR($C265="", $M265&lt;&gt;"APPROVED",$I265="", $U265=0),"",SUMIFS($U$3:$U$502,$H$3:$H$502,$H265,$M$3:$M$502,"APPROVED",$Q$3:$Q$502,"&lt;="&amp;Settings!$B$5,$I$3:$I$502,"&lt;="&amp;$I265))</f>
        <v/>
      </c>
      <c r="Y265" s="21" t="str">
        <f>IF($P265="","",IFERROR(MATCH($P265,Lists!$H$2:$H$4,0),""))</f>
        <v/>
      </c>
      <c r="Z265" s="21" t="str">
        <f t="shared" si="8"/>
        <v/>
      </c>
    </row>
    <row r="266" spans="1:26" ht="15.75" customHeight="1" x14ac:dyDescent="0.3">
      <c r="A266" s="16" t="str">
        <f t="shared" si="9"/>
        <v/>
      </c>
      <c r="B266" s="28"/>
      <c r="C266" s="29"/>
      <c r="D266" s="16"/>
      <c r="E266" s="16"/>
      <c r="F266" s="16"/>
      <c r="G266" s="16"/>
      <c r="H266" s="16"/>
      <c r="I266" s="31"/>
      <c r="J266" s="15"/>
      <c r="K266" s="15"/>
      <c r="L266" s="15"/>
      <c r="M266" s="16"/>
      <c r="N266" s="17"/>
      <c r="O266" s="19" t="str">
        <f t="shared" si="5"/>
        <v/>
      </c>
      <c r="P266" s="17"/>
      <c r="Q266" s="17" t="str">
        <f t="shared" ca="1" si="6"/>
        <v/>
      </c>
      <c r="R266" s="21" t="str">
        <f ca="1">IF($Q266="","",IF($Q266&lt;=Settings!$B$8,Settings!$C$8,IF($Q266&lt;=Settings!$B$9,Settings!$C$9,IF($Q266&lt;=Settings!$B$10,Settings!$C$10,IF($Q266&lt;=Settings!$B$11,Settings!$C$11,Settings!$C$12)))))</f>
        <v/>
      </c>
      <c r="S266" s="21" t="str">
        <f>IF($F266="","",IFERROR(VLOOKUP($F266,Settings!$E$8:$F$11,2,FALSE),0))</f>
        <v/>
      </c>
      <c r="T266" s="21">
        <f>IF($G266="",Settings!$B$16,1)</f>
        <v>1</v>
      </c>
      <c r="U266" s="21" t="str">
        <f t="shared" si="7"/>
        <v/>
      </c>
      <c r="V266" s="32" t="str">
        <f>IF($C266="","",IF($Q266&gt;Settings!$B$4,IF($G266="","|","")&amp;"OLD_7D","")&amp;IF($Q266&gt;Settings!$B$5,IF(OR($G266="", $Q266&gt;Settings!$B$4),"|","")&amp;"OLD_30D",""))</f>
        <v/>
      </c>
      <c r="W266" s="21" t="str">
        <f>IF(OR($C266="", $M266&lt;&gt;"APPROVED",$I266="", $U266=0),"",SUMIFS($U$3:$U$502,$H$3:$H$502,$H266,$M$3:$M$502,"APPROVED",$Q$3:$Q$502,"&lt;="&amp;Settings!$B$4,$I$3:$I$502,"&lt;="&amp;$I266))</f>
        <v/>
      </c>
      <c r="X266" s="21" t="str">
        <f>IF(OR($C266="", $M266&lt;&gt;"APPROVED",$I266="", $U266=0),"",SUMIFS($U$3:$U$502,$H$3:$H$502,$H266,$M$3:$M$502,"APPROVED",$Q$3:$Q$502,"&lt;="&amp;Settings!$B$5,$I$3:$I$502,"&lt;="&amp;$I266))</f>
        <v/>
      </c>
      <c r="Y266" s="21" t="str">
        <f>IF($P266="","",IFERROR(MATCH($P266,Lists!$H$2:$H$4,0),""))</f>
        <v/>
      </c>
      <c r="Z266" s="21" t="str">
        <f t="shared" si="8"/>
        <v/>
      </c>
    </row>
    <row r="267" spans="1:26" ht="15.75" customHeight="1" x14ac:dyDescent="0.3">
      <c r="A267" s="16" t="str">
        <f t="shared" si="9"/>
        <v/>
      </c>
      <c r="B267" s="28"/>
      <c r="C267" s="29"/>
      <c r="D267" s="16"/>
      <c r="E267" s="16"/>
      <c r="F267" s="16"/>
      <c r="G267" s="16"/>
      <c r="H267" s="16"/>
      <c r="I267" s="31"/>
      <c r="J267" s="15"/>
      <c r="K267" s="15"/>
      <c r="L267" s="15"/>
      <c r="M267" s="16"/>
      <c r="N267" s="17"/>
      <c r="O267" s="19" t="str">
        <f t="shared" si="5"/>
        <v/>
      </c>
      <c r="P267" s="17"/>
      <c r="Q267" s="17" t="str">
        <f t="shared" ca="1" si="6"/>
        <v/>
      </c>
      <c r="R267" s="21" t="str">
        <f ca="1">IF($Q267="","",IF($Q267&lt;=Settings!$B$8,Settings!$C$8,IF($Q267&lt;=Settings!$B$9,Settings!$C$9,IF($Q267&lt;=Settings!$B$10,Settings!$C$10,IF($Q267&lt;=Settings!$B$11,Settings!$C$11,Settings!$C$12)))))</f>
        <v/>
      </c>
      <c r="S267" s="21" t="str">
        <f>IF($F267="","",IFERROR(VLOOKUP($F267,Settings!$E$8:$F$11,2,FALSE),0))</f>
        <v/>
      </c>
      <c r="T267" s="21">
        <f>IF($G267="",Settings!$B$16,1)</f>
        <v>1</v>
      </c>
      <c r="U267" s="21" t="str">
        <f t="shared" si="7"/>
        <v/>
      </c>
      <c r="V267" s="32" t="str">
        <f>IF($C267="","",IF($Q267&gt;Settings!$B$4,IF($G267="","|","")&amp;"OLD_7D","")&amp;IF($Q267&gt;Settings!$B$5,IF(OR($G267="", $Q267&gt;Settings!$B$4),"|","")&amp;"OLD_30D",""))</f>
        <v/>
      </c>
      <c r="W267" s="21" t="str">
        <f>IF(OR($C267="", $M267&lt;&gt;"APPROVED",$I267="", $U267=0),"",SUMIFS($U$3:$U$502,$H$3:$H$502,$H267,$M$3:$M$502,"APPROVED",$Q$3:$Q$502,"&lt;="&amp;Settings!$B$4,$I$3:$I$502,"&lt;="&amp;$I267))</f>
        <v/>
      </c>
      <c r="X267" s="21" t="str">
        <f>IF(OR($C267="", $M267&lt;&gt;"APPROVED",$I267="", $U267=0),"",SUMIFS($U$3:$U$502,$H$3:$H$502,$H267,$M$3:$M$502,"APPROVED",$Q$3:$Q$502,"&lt;="&amp;Settings!$B$5,$I$3:$I$502,"&lt;="&amp;$I267))</f>
        <v/>
      </c>
      <c r="Y267" s="21" t="str">
        <f>IF($P267="","",IFERROR(MATCH($P267,Lists!$H$2:$H$4,0),""))</f>
        <v/>
      </c>
      <c r="Z267" s="21" t="str">
        <f t="shared" si="8"/>
        <v/>
      </c>
    </row>
    <row r="268" spans="1:26" ht="15.75" customHeight="1" x14ac:dyDescent="0.3">
      <c r="A268" s="16" t="str">
        <f t="shared" si="9"/>
        <v/>
      </c>
      <c r="B268" s="28"/>
      <c r="C268" s="29"/>
      <c r="D268" s="16"/>
      <c r="E268" s="16"/>
      <c r="F268" s="16"/>
      <c r="G268" s="16"/>
      <c r="H268" s="16"/>
      <c r="I268" s="31"/>
      <c r="J268" s="15"/>
      <c r="K268" s="15"/>
      <c r="L268" s="15"/>
      <c r="M268" s="16"/>
      <c r="N268" s="17"/>
      <c r="O268" s="19" t="str">
        <f t="shared" si="5"/>
        <v/>
      </c>
      <c r="P268" s="17"/>
      <c r="Q268" s="17" t="str">
        <f t="shared" ca="1" si="6"/>
        <v/>
      </c>
      <c r="R268" s="21" t="str">
        <f ca="1">IF($Q268="","",IF($Q268&lt;=Settings!$B$8,Settings!$C$8,IF($Q268&lt;=Settings!$B$9,Settings!$C$9,IF($Q268&lt;=Settings!$B$10,Settings!$C$10,IF($Q268&lt;=Settings!$B$11,Settings!$C$11,Settings!$C$12)))))</f>
        <v/>
      </c>
      <c r="S268" s="21" t="str">
        <f>IF($F268="","",IFERROR(VLOOKUP($F268,Settings!$E$8:$F$11,2,FALSE),0))</f>
        <v/>
      </c>
      <c r="T268" s="21">
        <f>IF($G268="",Settings!$B$16,1)</f>
        <v>1</v>
      </c>
      <c r="U268" s="21" t="str">
        <f t="shared" si="7"/>
        <v/>
      </c>
      <c r="V268" s="32" t="str">
        <f>IF($C268="","",IF($Q268&gt;Settings!$B$4,IF($G268="","|","")&amp;"OLD_7D","")&amp;IF($Q268&gt;Settings!$B$5,IF(OR($G268="", $Q268&gt;Settings!$B$4),"|","")&amp;"OLD_30D",""))</f>
        <v/>
      </c>
      <c r="W268" s="21" t="str">
        <f>IF(OR($C268="", $M268&lt;&gt;"APPROVED",$I268="", $U268=0),"",SUMIFS($U$3:$U$502,$H$3:$H$502,$H268,$M$3:$M$502,"APPROVED",$Q$3:$Q$502,"&lt;="&amp;Settings!$B$4,$I$3:$I$502,"&lt;="&amp;$I268))</f>
        <v/>
      </c>
      <c r="X268" s="21" t="str">
        <f>IF(OR($C268="", $M268&lt;&gt;"APPROVED",$I268="", $U268=0),"",SUMIFS($U$3:$U$502,$H$3:$H$502,$H268,$M$3:$M$502,"APPROVED",$Q$3:$Q$502,"&lt;="&amp;Settings!$B$5,$I$3:$I$502,"&lt;="&amp;$I268))</f>
        <v/>
      </c>
      <c r="Y268" s="21" t="str">
        <f>IF($P268="","",IFERROR(MATCH($P268,Lists!$H$2:$H$4,0),""))</f>
        <v/>
      </c>
      <c r="Z268" s="21" t="str">
        <f t="shared" si="8"/>
        <v/>
      </c>
    </row>
    <row r="269" spans="1:26" ht="15.75" customHeight="1" x14ac:dyDescent="0.3">
      <c r="A269" s="16" t="str">
        <f t="shared" si="9"/>
        <v/>
      </c>
      <c r="B269" s="28"/>
      <c r="C269" s="29"/>
      <c r="D269" s="16"/>
      <c r="E269" s="16"/>
      <c r="F269" s="16"/>
      <c r="G269" s="16"/>
      <c r="H269" s="16"/>
      <c r="I269" s="31"/>
      <c r="J269" s="15"/>
      <c r="K269" s="15"/>
      <c r="L269" s="15"/>
      <c r="M269" s="16"/>
      <c r="N269" s="17"/>
      <c r="O269" s="19" t="str">
        <f t="shared" si="5"/>
        <v/>
      </c>
      <c r="P269" s="17"/>
      <c r="Q269" s="17" t="str">
        <f t="shared" ca="1" si="6"/>
        <v/>
      </c>
      <c r="R269" s="21" t="str">
        <f ca="1">IF($Q269="","",IF($Q269&lt;=Settings!$B$8,Settings!$C$8,IF($Q269&lt;=Settings!$B$9,Settings!$C$9,IF($Q269&lt;=Settings!$B$10,Settings!$C$10,IF($Q269&lt;=Settings!$B$11,Settings!$C$11,Settings!$C$12)))))</f>
        <v/>
      </c>
      <c r="S269" s="21" t="str">
        <f>IF($F269="","",IFERROR(VLOOKUP($F269,Settings!$E$8:$F$11,2,FALSE),0))</f>
        <v/>
      </c>
      <c r="T269" s="21">
        <f>IF($G269="",Settings!$B$16,1)</f>
        <v>1</v>
      </c>
      <c r="U269" s="21" t="str">
        <f t="shared" si="7"/>
        <v/>
      </c>
      <c r="V269" s="32" t="str">
        <f>IF($C269="","",IF($Q269&gt;Settings!$B$4,IF($G269="","|","")&amp;"OLD_7D","")&amp;IF($Q269&gt;Settings!$B$5,IF(OR($G269="", $Q269&gt;Settings!$B$4),"|","")&amp;"OLD_30D",""))</f>
        <v/>
      </c>
      <c r="W269" s="21" t="str">
        <f>IF(OR($C269="", $M269&lt;&gt;"APPROVED",$I269="", $U269=0),"",SUMIFS($U$3:$U$502,$H$3:$H$502,$H269,$M$3:$M$502,"APPROVED",$Q$3:$Q$502,"&lt;="&amp;Settings!$B$4,$I$3:$I$502,"&lt;="&amp;$I269))</f>
        <v/>
      </c>
      <c r="X269" s="21" t="str">
        <f>IF(OR($C269="", $M269&lt;&gt;"APPROVED",$I269="", $U269=0),"",SUMIFS($U$3:$U$502,$H$3:$H$502,$H269,$M$3:$M$502,"APPROVED",$Q$3:$Q$502,"&lt;="&amp;Settings!$B$5,$I$3:$I$502,"&lt;="&amp;$I269))</f>
        <v/>
      </c>
      <c r="Y269" s="21" t="str">
        <f>IF($P269="","",IFERROR(MATCH($P269,Lists!$H$2:$H$4,0),""))</f>
        <v/>
      </c>
      <c r="Z269" s="21" t="str">
        <f t="shared" si="8"/>
        <v/>
      </c>
    </row>
    <row r="270" spans="1:26" ht="15.75" customHeight="1" x14ac:dyDescent="0.3">
      <c r="A270" s="16" t="str">
        <f t="shared" si="9"/>
        <v/>
      </c>
      <c r="B270" s="28"/>
      <c r="C270" s="29"/>
      <c r="D270" s="16"/>
      <c r="E270" s="16"/>
      <c r="F270" s="16"/>
      <c r="G270" s="16"/>
      <c r="H270" s="16"/>
      <c r="I270" s="31"/>
      <c r="J270" s="15"/>
      <c r="K270" s="15"/>
      <c r="L270" s="15"/>
      <c r="M270" s="16"/>
      <c r="N270" s="17"/>
      <c r="O270" s="19" t="str">
        <f t="shared" si="5"/>
        <v/>
      </c>
      <c r="P270" s="17"/>
      <c r="Q270" s="17" t="str">
        <f t="shared" ca="1" si="6"/>
        <v/>
      </c>
      <c r="R270" s="21" t="str">
        <f ca="1">IF($Q270="","",IF($Q270&lt;=Settings!$B$8,Settings!$C$8,IF($Q270&lt;=Settings!$B$9,Settings!$C$9,IF($Q270&lt;=Settings!$B$10,Settings!$C$10,IF($Q270&lt;=Settings!$B$11,Settings!$C$11,Settings!$C$12)))))</f>
        <v/>
      </c>
      <c r="S270" s="21" t="str">
        <f>IF($F270="","",IFERROR(VLOOKUP($F270,Settings!$E$8:$F$11,2,FALSE),0))</f>
        <v/>
      </c>
      <c r="T270" s="21">
        <f>IF($G270="",Settings!$B$16,1)</f>
        <v>1</v>
      </c>
      <c r="U270" s="21" t="str">
        <f t="shared" si="7"/>
        <v/>
      </c>
      <c r="V270" s="32" t="str">
        <f>IF($C270="","",IF($Q270&gt;Settings!$B$4,IF($G270="","|","")&amp;"OLD_7D","")&amp;IF($Q270&gt;Settings!$B$5,IF(OR($G270="", $Q270&gt;Settings!$B$4),"|","")&amp;"OLD_30D",""))</f>
        <v/>
      </c>
      <c r="W270" s="21" t="str">
        <f>IF(OR($C270="", $M270&lt;&gt;"APPROVED",$I270="", $U270=0),"",SUMIFS($U$3:$U$502,$H$3:$H$502,$H270,$M$3:$M$502,"APPROVED",$Q$3:$Q$502,"&lt;="&amp;Settings!$B$4,$I$3:$I$502,"&lt;="&amp;$I270))</f>
        <v/>
      </c>
      <c r="X270" s="21" t="str">
        <f>IF(OR($C270="", $M270&lt;&gt;"APPROVED",$I270="", $U270=0),"",SUMIFS($U$3:$U$502,$H$3:$H$502,$H270,$M$3:$M$502,"APPROVED",$Q$3:$Q$502,"&lt;="&amp;Settings!$B$5,$I$3:$I$502,"&lt;="&amp;$I270))</f>
        <v/>
      </c>
      <c r="Y270" s="21" t="str">
        <f>IF($P270="","",IFERROR(MATCH($P270,Lists!$H$2:$H$4,0),""))</f>
        <v/>
      </c>
      <c r="Z270" s="21" t="str">
        <f t="shared" si="8"/>
        <v/>
      </c>
    </row>
    <row r="271" spans="1:26" ht="15.75" customHeight="1" x14ac:dyDescent="0.3">
      <c r="A271" s="16" t="str">
        <f t="shared" si="9"/>
        <v/>
      </c>
      <c r="B271" s="28"/>
      <c r="C271" s="29"/>
      <c r="D271" s="16"/>
      <c r="E271" s="16"/>
      <c r="F271" s="16"/>
      <c r="G271" s="16"/>
      <c r="H271" s="16"/>
      <c r="I271" s="31"/>
      <c r="J271" s="15"/>
      <c r="K271" s="15"/>
      <c r="L271" s="15"/>
      <c r="M271" s="16"/>
      <c r="N271" s="17"/>
      <c r="O271" s="19" t="str">
        <f t="shared" si="5"/>
        <v/>
      </c>
      <c r="P271" s="17"/>
      <c r="Q271" s="17" t="str">
        <f t="shared" ca="1" si="6"/>
        <v/>
      </c>
      <c r="R271" s="21" t="str">
        <f ca="1">IF($Q271="","",IF($Q271&lt;=Settings!$B$8,Settings!$C$8,IF($Q271&lt;=Settings!$B$9,Settings!$C$9,IF($Q271&lt;=Settings!$B$10,Settings!$C$10,IF($Q271&lt;=Settings!$B$11,Settings!$C$11,Settings!$C$12)))))</f>
        <v/>
      </c>
      <c r="S271" s="21" t="str">
        <f>IF($F271="","",IFERROR(VLOOKUP($F271,Settings!$E$8:$F$11,2,FALSE),0))</f>
        <v/>
      </c>
      <c r="T271" s="21">
        <f>IF($G271="",Settings!$B$16,1)</f>
        <v>1</v>
      </c>
      <c r="U271" s="21" t="str">
        <f t="shared" si="7"/>
        <v/>
      </c>
      <c r="V271" s="32" t="str">
        <f>IF($C271="","",IF($Q271&gt;Settings!$B$4,IF($G271="","|","")&amp;"OLD_7D","")&amp;IF($Q271&gt;Settings!$B$5,IF(OR($G271="", $Q271&gt;Settings!$B$4),"|","")&amp;"OLD_30D",""))</f>
        <v/>
      </c>
      <c r="W271" s="21" t="str">
        <f>IF(OR($C271="", $M271&lt;&gt;"APPROVED",$I271="", $U271=0),"",SUMIFS($U$3:$U$502,$H$3:$H$502,$H271,$M$3:$M$502,"APPROVED",$Q$3:$Q$502,"&lt;="&amp;Settings!$B$4,$I$3:$I$502,"&lt;="&amp;$I271))</f>
        <v/>
      </c>
      <c r="X271" s="21" t="str">
        <f>IF(OR($C271="", $M271&lt;&gt;"APPROVED",$I271="", $U271=0),"",SUMIFS($U$3:$U$502,$H$3:$H$502,$H271,$M$3:$M$502,"APPROVED",$Q$3:$Q$502,"&lt;="&amp;Settings!$B$5,$I$3:$I$502,"&lt;="&amp;$I271))</f>
        <v/>
      </c>
      <c r="Y271" s="21" t="str">
        <f>IF($P271="","",IFERROR(MATCH($P271,Lists!$H$2:$H$4,0),""))</f>
        <v/>
      </c>
      <c r="Z271" s="21" t="str">
        <f t="shared" si="8"/>
        <v/>
      </c>
    </row>
    <row r="272" spans="1:26" ht="15.75" customHeight="1" x14ac:dyDescent="0.3">
      <c r="A272" s="16" t="str">
        <f t="shared" si="9"/>
        <v/>
      </c>
      <c r="B272" s="28"/>
      <c r="C272" s="29"/>
      <c r="D272" s="16"/>
      <c r="E272" s="16"/>
      <c r="F272" s="16"/>
      <c r="G272" s="16"/>
      <c r="H272" s="16"/>
      <c r="I272" s="31"/>
      <c r="J272" s="15"/>
      <c r="K272" s="15"/>
      <c r="L272" s="15"/>
      <c r="M272" s="16"/>
      <c r="N272" s="17"/>
      <c r="O272" s="19" t="str">
        <f t="shared" si="5"/>
        <v/>
      </c>
      <c r="P272" s="17"/>
      <c r="Q272" s="17" t="str">
        <f t="shared" ca="1" si="6"/>
        <v/>
      </c>
      <c r="R272" s="21" t="str">
        <f ca="1">IF($Q272="","",IF($Q272&lt;=Settings!$B$8,Settings!$C$8,IF($Q272&lt;=Settings!$B$9,Settings!$C$9,IF($Q272&lt;=Settings!$B$10,Settings!$C$10,IF($Q272&lt;=Settings!$B$11,Settings!$C$11,Settings!$C$12)))))</f>
        <v/>
      </c>
      <c r="S272" s="21" t="str">
        <f>IF($F272="","",IFERROR(VLOOKUP($F272,Settings!$E$8:$F$11,2,FALSE),0))</f>
        <v/>
      </c>
      <c r="T272" s="21">
        <f>IF($G272="",Settings!$B$16,1)</f>
        <v>1</v>
      </c>
      <c r="U272" s="21" t="str">
        <f t="shared" si="7"/>
        <v/>
      </c>
      <c r="V272" s="32" t="str">
        <f>IF($C272="","",IF($Q272&gt;Settings!$B$4,IF($G272="","|","")&amp;"OLD_7D","")&amp;IF($Q272&gt;Settings!$B$5,IF(OR($G272="", $Q272&gt;Settings!$B$4),"|","")&amp;"OLD_30D",""))</f>
        <v/>
      </c>
      <c r="W272" s="21" t="str">
        <f>IF(OR($C272="", $M272&lt;&gt;"APPROVED",$I272="", $U272=0),"",SUMIFS($U$3:$U$502,$H$3:$H$502,$H272,$M$3:$M$502,"APPROVED",$Q$3:$Q$502,"&lt;="&amp;Settings!$B$4,$I$3:$I$502,"&lt;="&amp;$I272))</f>
        <v/>
      </c>
      <c r="X272" s="21" t="str">
        <f>IF(OR($C272="", $M272&lt;&gt;"APPROVED",$I272="", $U272=0),"",SUMIFS($U$3:$U$502,$H$3:$H$502,$H272,$M$3:$M$502,"APPROVED",$Q$3:$Q$502,"&lt;="&amp;Settings!$B$5,$I$3:$I$502,"&lt;="&amp;$I272))</f>
        <v/>
      </c>
      <c r="Y272" s="21" t="str">
        <f>IF($P272="","",IFERROR(MATCH($P272,Lists!$H$2:$H$4,0),""))</f>
        <v/>
      </c>
      <c r="Z272" s="21" t="str">
        <f t="shared" si="8"/>
        <v/>
      </c>
    </row>
    <row r="273" spans="1:26" ht="15.75" customHeight="1" x14ac:dyDescent="0.3">
      <c r="A273" s="16" t="str">
        <f t="shared" si="9"/>
        <v/>
      </c>
      <c r="B273" s="28"/>
      <c r="C273" s="29"/>
      <c r="D273" s="16"/>
      <c r="E273" s="16"/>
      <c r="F273" s="16"/>
      <c r="G273" s="16"/>
      <c r="H273" s="16"/>
      <c r="I273" s="31"/>
      <c r="J273" s="15"/>
      <c r="K273" s="15"/>
      <c r="L273" s="15"/>
      <c r="M273" s="16"/>
      <c r="N273" s="17"/>
      <c r="O273" s="19" t="str">
        <f t="shared" si="5"/>
        <v/>
      </c>
      <c r="P273" s="17"/>
      <c r="Q273" s="17" t="str">
        <f t="shared" ca="1" si="6"/>
        <v/>
      </c>
      <c r="R273" s="21" t="str">
        <f ca="1">IF($Q273="","",IF($Q273&lt;=Settings!$B$8,Settings!$C$8,IF($Q273&lt;=Settings!$B$9,Settings!$C$9,IF($Q273&lt;=Settings!$B$10,Settings!$C$10,IF($Q273&lt;=Settings!$B$11,Settings!$C$11,Settings!$C$12)))))</f>
        <v/>
      </c>
      <c r="S273" s="21" t="str">
        <f>IF($F273="","",IFERROR(VLOOKUP($F273,Settings!$E$8:$F$11,2,FALSE),0))</f>
        <v/>
      </c>
      <c r="T273" s="21">
        <f>IF($G273="",Settings!$B$16,1)</f>
        <v>1</v>
      </c>
      <c r="U273" s="21" t="str">
        <f t="shared" si="7"/>
        <v/>
      </c>
      <c r="V273" s="32" t="str">
        <f>IF($C273="","",IF($Q273&gt;Settings!$B$4,IF($G273="","|","")&amp;"OLD_7D","")&amp;IF($Q273&gt;Settings!$B$5,IF(OR($G273="", $Q273&gt;Settings!$B$4),"|","")&amp;"OLD_30D",""))</f>
        <v/>
      </c>
      <c r="W273" s="21" t="str">
        <f>IF(OR($C273="", $M273&lt;&gt;"APPROVED",$I273="", $U273=0),"",SUMIFS($U$3:$U$502,$H$3:$H$502,$H273,$M$3:$M$502,"APPROVED",$Q$3:$Q$502,"&lt;="&amp;Settings!$B$4,$I$3:$I$502,"&lt;="&amp;$I273))</f>
        <v/>
      </c>
      <c r="X273" s="21" t="str">
        <f>IF(OR($C273="", $M273&lt;&gt;"APPROVED",$I273="", $U273=0),"",SUMIFS($U$3:$U$502,$H$3:$H$502,$H273,$M$3:$M$502,"APPROVED",$Q$3:$Q$502,"&lt;="&amp;Settings!$B$5,$I$3:$I$502,"&lt;="&amp;$I273))</f>
        <v/>
      </c>
      <c r="Y273" s="21" t="str">
        <f>IF($P273="","",IFERROR(MATCH($P273,Lists!$H$2:$H$4,0),""))</f>
        <v/>
      </c>
      <c r="Z273" s="21" t="str">
        <f t="shared" si="8"/>
        <v/>
      </c>
    </row>
    <row r="274" spans="1:26" ht="15.75" customHeight="1" x14ac:dyDescent="0.3">
      <c r="A274" s="16" t="str">
        <f t="shared" si="9"/>
        <v/>
      </c>
      <c r="B274" s="28"/>
      <c r="C274" s="29"/>
      <c r="D274" s="16"/>
      <c r="E274" s="16"/>
      <c r="F274" s="16"/>
      <c r="G274" s="16"/>
      <c r="H274" s="16"/>
      <c r="I274" s="31"/>
      <c r="J274" s="15"/>
      <c r="K274" s="15"/>
      <c r="L274" s="15"/>
      <c r="M274" s="16"/>
      <c r="N274" s="17"/>
      <c r="O274" s="19" t="str">
        <f t="shared" si="5"/>
        <v/>
      </c>
      <c r="P274" s="17"/>
      <c r="Q274" s="17" t="str">
        <f t="shared" ca="1" si="6"/>
        <v/>
      </c>
      <c r="R274" s="21" t="str">
        <f ca="1">IF($Q274="","",IF($Q274&lt;=Settings!$B$8,Settings!$C$8,IF($Q274&lt;=Settings!$B$9,Settings!$C$9,IF($Q274&lt;=Settings!$B$10,Settings!$C$10,IF($Q274&lt;=Settings!$B$11,Settings!$C$11,Settings!$C$12)))))</f>
        <v/>
      </c>
      <c r="S274" s="21" t="str">
        <f>IF($F274="","",IFERROR(VLOOKUP($F274,Settings!$E$8:$F$11,2,FALSE),0))</f>
        <v/>
      </c>
      <c r="T274" s="21">
        <f>IF($G274="",Settings!$B$16,1)</f>
        <v>1</v>
      </c>
      <c r="U274" s="21" t="str">
        <f t="shared" si="7"/>
        <v/>
      </c>
      <c r="V274" s="32" t="str">
        <f>IF($C274="","",IF($Q274&gt;Settings!$B$4,IF($G274="","|","")&amp;"OLD_7D","")&amp;IF($Q274&gt;Settings!$B$5,IF(OR($G274="", $Q274&gt;Settings!$B$4),"|","")&amp;"OLD_30D",""))</f>
        <v/>
      </c>
      <c r="W274" s="21" t="str">
        <f>IF(OR($C274="", $M274&lt;&gt;"APPROVED",$I274="", $U274=0),"",SUMIFS($U$3:$U$502,$H$3:$H$502,$H274,$M$3:$M$502,"APPROVED",$Q$3:$Q$502,"&lt;="&amp;Settings!$B$4,$I$3:$I$502,"&lt;="&amp;$I274))</f>
        <v/>
      </c>
      <c r="X274" s="21" t="str">
        <f>IF(OR($C274="", $M274&lt;&gt;"APPROVED",$I274="", $U274=0),"",SUMIFS($U$3:$U$502,$H$3:$H$502,$H274,$M$3:$M$502,"APPROVED",$Q$3:$Q$502,"&lt;="&amp;Settings!$B$5,$I$3:$I$502,"&lt;="&amp;$I274))</f>
        <v/>
      </c>
      <c r="Y274" s="21" t="str">
        <f>IF($P274="","",IFERROR(MATCH($P274,Lists!$H$2:$H$4,0),""))</f>
        <v/>
      </c>
      <c r="Z274" s="21" t="str">
        <f t="shared" si="8"/>
        <v/>
      </c>
    </row>
    <row r="275" spans="1:26" ht="15.75" customHeight="1" x14ac:dyDescent="0.3">
      <c r="A275" s="16" t="str">
        <f t="shared" si="9"/>
        <v/>
      </c>
      <c r="B275" s="28"/>
      <c r="C275" s="29"/>
      <c r="D275" s="16"/>
      <c r="E275" s="16"/>
      <c r="F275" s="16"/>
      <c r="G275" s="16"/>
      <c r="H275" s="16"/>
      <c r="I275" s="31"/>
      <c r="J275" s="15"/>
      <c r="K275" s="15"/>
      <c r="L275" s="15"/>
      <c r="M275" s="16"/>
      <c r="N275" s="17"/>
      <c r="O275" s="19" t="str">
        <f t="shared" si="5"/>
        <v/>
      </c>
      <c r="P275" s="17"/>
      <c r="Q275" s="17" t="str">
        <f t="shared" ca="1" si="6"/>
        <v/>
      </c>
      <c r="R275" s="21" t="str">
        <f ca="1">IF($Q275="","",IF($Q275&lt;=Settings!$B$8,Settings!$C$8,IF($Q275&lt;=Settings!$B$9,Settings!$C$9,IF($Q275&lt;=Settings!$B$10,Settings!$C$10,IF($Q275&lt;=Settings!$B$11,Settings!$C$11,Settings!$C$12)))))</f>
        <v/>
      </c>
      <c r="S275" s="21" t="str">
        <f>IF($F275="","",IFERROR(VLOOKUP($F275,Settings!$E$8:$F$11,2,FALSE),0))</f>
        <v/>
      </c>
      <c r="T275" s="21">
        <f>IF($G275="",Settings!$B$16,1)</f>
        <v>1</v>
      </c>
      <c r="U275" s="21" t="str">
        <f t="shared" si="7"/>
        <v/>
      </c>
      <c r="V275" s="32" t="str">
        <f>IF($C275="","",IF($Q275&gt;Settings!$B$4,IF($G275="","|","")&amp;"OLD_7D","")&amp;IF($Q275&gt;Settings!$B$5,IF(OR($G275="", $Q275&gt;Settings!$B$4),"|","")&amp;"OLD_30D",""))</f>
        <v/>
      </c>
      <c r="W275" s="21" t="str">
        <f>IF(OR($C275="", $M275&lt;&gt;"APPROVED",$I275="", $U275=0),"",SUMIFS($U$3:$U$502,$H$3:$H$502,$H275,$M$3:$M$502,"APPROVED",$Q$3:$Q$502,"&lt;="&amp;Settings!$B$4,$I$3:$I$502,"&lt;="&amp;$I275))</f>
        <v/>
      </c>
      <c r="X275" s="21" t="str">
        <f>IF(OR($C275="", $M275&lt;&gt;"APPROVED",$I275="", $U275=0),"",SUMIFS($U$3:$U$502,$H$3:$H$502,$H275,$M$3:$M$502,"APPROVED",$Q$3:$Q$502,"&lt;="&amp;Settings!$B$5,$I$3:$I$502,"&lt;="&amp;$I275))</f>
        <v/>
      </c>
      <c r="Y275" s="21" t="str">
        <f>IF($P275="","",IFERROR(MATCH($P275,Lists!$H$2:$H$4,0),""))</f>
        <v/>
      </c>
      <c r="Z275" s="21" t="str">
        <f t="shared" si="8"/>
        <v/>
      </c>
    </row>
    <row r="276" spans="1:26" ht="15.75" customHeight="1" x14ac:dyDescent="0.3">
      <c r="A276" s="16" t="str">
        <f t="shared" si="9"/>
        <v/>
      </c>
      <c r="B276" s="28"/>
      <c r="C276" s="29"/>
      <c r="D276" s="16"/>
      <c r="E276" s="16"/>
      <c r="F276" s="16"/>
      <c r="G276" s="16"/>
      <c r="H276" s="16"/>
      <c r="I276" s="31"/>
      <c r="J276" s="15"/>
      <c r="K276" s="15"/>
      <c r="L276" s="15"/>
      <c r="M276" s="16"/>
      <c r="N276" s="17"/>
      <c r="O276" s="19" t="str">
        <f t="shared" si="5"/>
        <v/>
      </c>
      <c r="P276" s="17"/>
      <c r="Q276" s="17" t="str">
        <f t="shared" ca="1" si="6"/>
        <v/>
      </c>
      <c r="R276" s="21" t="str">
        <f ca="1">IF($Q276="","",IF($Q276&lt;=Settings!$B$8,Settings!$C$8,IF($Q276&lt;=Settings!$B$9,Settings!$C$9,IF($Q276&lt;=Settings!$B$10,Settings!$C$10,IF($Q276&lt;=Settings!$B$11,Settings!$C$11,Settings!$C$12)))))</f>
        <v/>
      </c>
      <c r="S276" s="21" t="str">
        <f>IF($F276="","",IFERROR(VLOOKUP($F276,Settings!$E$8:$F$11,2,FALSE),0))</f>
        <v/>
      </c>
      <c r="T276" s="21">
        <f>IF($G276="",Settings!$B$16,1)</f>
        <v>1</v>
      </c>
      <c r="U276" s="21" t="str">
        <f t="shared" si="7"/>
        <v/>
      </c>
      <c r="V276" s="32" t="str">
        <f>IF($C276="","",IF($Q276&gt;Settings!$B$4,IF($G276="","|","")&amp;"OLD_7D","")&amp;IF($Q276&gt;Settings!$B$5,IF(OR($G276="", $Q276&gt;Settings!$B$4),"|","")&amp;"OLD_30D",""))</f>
        <v/>
      </c>
      <c r="W276" s="21" t="str">
        <f>IF(OR($C276="", $M276&lt;&gt;"APPROVED",$I276="", $U276=0),"",SUMIFS($U$3:$U$502,$H$3:$H$502,$H276,$M$3:$M$502,"APPROVED",$Q$3:$Q$502,"&lt;="&amp;Settings!$B$4,$I$3:$I$502,"&lt;="&amp;$I276))</f>
        <v/>
      </c>
      <c r="X276" s="21" t="str">
        <f>IF(OR($C276="", $M276&lt;&gt;"APPROVED",$I276="", $U276=0),"",SUMIFS($U$3:$U$502,$H$3:$H$502,$H276,$M$3:$M$502,"APPROVED",$Q$3:$Q$502,"&lt;="&amp;Settings!$B$5,$I$3:$I$502,"&lt;="&amp;$I276))</f>
        <v/>
      </c>
      <c r="Y276" s="21" t="str">
        <f>IF($P276="","",IFERROR(MATCH($P276,Lists!$H$2:$H$4,0),""))</f>
        <v/>
      </c>
      <c r="Z276" s="21" t="str">
        <f t="shared" si="8"/>
        <v/>
      </c>
    </row>
    <row r="277" spans="1:26" ht="15.75" customHeight="1" x14ac:dyDescent="0.3">
      <c r="A277" s="16" t="str">
        <f t="shared" si="9"/>
        <v/>
      </c>
      <c r="B277" s="28"/>
      <c r="C277" s="29"/>
      <c r="D277" s="16"/>
      <c r="E277" s="16"/>
      <c r="F277" s="16"/>
      <c r="G277" s="16"/>
      <c r="H277" s="16"/>
      <c r="I277" s="31"/>
      <c r="J277" s="15"/>
      <c r="K277" s="15"/>
      <c r="L277" s="15"/>
      <c r="M277" s="16"/>
      <c r="N277" s="17"/>
      <c r="O277" s="19" t="str">
        <f t="shared" si="5"/>
        <v/>
      </c>
      <c r="P277" s="17"/>
      <c r="Q277" s="17" t="str">
        <f t="shared" ca="1" si="6"/>
        <v/>
      </c>
      <c r="R277" s="21" t="str">
        <f ca="1">IF($Q277="","",IF($Q277&lt;=Settings!$B$8,Settings!$C$8,IF($Q277&lt;=Settings!$B$9,Settings!$C$9,IF($Q277&lt;=Settings!$B$10,Settings!$C$10,IF($Q277&lt;=Settings!$B$11,Settings!$C$11,Settings!$C$12)))))</f>
        <v/>
      </c>
      <c r="S277" s="21" t="str">
        <f>IF($F277="","",IFERROR(VLOOKUP($F277,Settings!$E$8:$F$11,2,FALSE),0))</f>
        <v/>
      </c>
      <c r="T277" s="21">
        <f>IF($G277="",Settings!$B$16,1)</f>
        <v>1</v>
      </c>
      <c r="U277" s="21" t="str">
        <f t="shared" si="7"/>
        <v/>
      </c>
      <c r="V277" s="32" t="str">
        <f>IF($C277="","",IF($Q277&gt;Settings!$B$4,IF($G277="","|","")&amp;"OLD_7D","")&amp;IF($Q277&gt;Settings!$B$5,IF(OR($G277="", $Q277&gt;Settings!$B$4),"|","")&amp;"OLD_30D",""))</f>
        <v/>
      </c>
      <c r="W277" s="21" t="str">
        <f>IF(OR($C277="", $M277&lt;&gt;"APPROVED",$I277="", $U277=0),"",SUMIFS($U$3:$U$502,$H$3:$H$502,$H277,$M$3:$M$502,"APPROVED",$Q$3:$Q$502,"&lt;="&amp;Settings!$B$4,$I$3:$I$502,"&lt;="&amp;$I277))</f>
        <v/>
      </c>
      <c r="X277" s="21" t="str">
        <f>IF(OR($C277="", $M277&lt;&gt;"APPROVED",$I277="", $U277=0),"",SUMIFS($U$3:$U$502,$H$3:$H$502,$H277,$M$3:$M$502,"APPROVED",$Q$3:$Q$502,"&lt;="&amp;Settings!$B$5,$I$3:$I$502,"&lt;="&amp;$I277))</f>
        <v/>
      </c>
      <c r="Y277" s="21" t="str">
        <f>IF($P277="","",IFERROR(MATCH($P277,Lists!$H$2:$H$4,0),""))</f>
        <v/>
      </c>
      <c r="Z277" s="21" t="str">
        <f t="shared" si="8"/>
        <v/>
      </c>
    </row>
    <row r="278" spans="1:26" ht="15.75" customHeight="1" x14ac:dyDescent="0.3">
      <c r="A278" s="16" t="str">
        <f t="shared" si="9"/>
        <v/>
      </c>
      <c r="B278" s="28"/>
      <c r="C278" s="29"/>
      <c r="D278" s="16"/>
      <c r="E278" s="16"/>
      <c r="F278" s="16"/>
      <c r="G278" s="16"/>
      <c r="H278" s="16"/>
      <c r="I278" s="31"/>
      <c r="J278" s="15"/>
      <c r="K278" s="15"/>
      <c r="L278" s="15"/>
      <c r="M278" s="16"/>
      <c r="N278" s="17"/>
      <c r="O278" s="19" t="str">
        <f t="shared" si="5"/>
        <v/>
      </c>
      <c r="P278" s="17"/>
      <c r="Q278" s="17" t="str">
        <f t="shared" ca="1" si="6"/>
        <v/>
      </c>
      <c r="R278" s="21" t="str">
        <f ca="1">IF($Q278="","",IF($Q278&lt;=Settings!$B$8,Settings!$C$8,IF($Q278&lt;=Settings!$B$9,Settings!$C$9,IF($Q278&lt;=Settings!$B$10,Settings!$C$10,IF($Q278&lt;=Settings!$B$11,Settings!$C$11,Settings!$C$12)))))</f>
        <v/>
      </c>
      <c r="S278" s="21" t="str">
        <f>IF($F278="","",IFERROR(VLOOKUP($F278,Settings!$E$8:$F$11,2,FALSE),0))</f>
        <v/>
      </c>
      <c r="T278" s="21">
        <f>IF($G278="",Settings!$B$16,1)</f>
        <v>1</v>
      </c>
      <c r="U278" s="21" t="str">
        <f t="shared" si="7"/>
        <v/>
      </c>
      <c r="V278" s="32" t="str">
        <f>IF($C278="","",IF($Q278&gt;Settings!$B$4,IF($G278="","|","")&amp;"OLD_7D","")&amp;IF($Q278&gt;Settings!$B$5,IF(OR($G278="", $Q278&gt;Settings!$B$4),"|","")&amp;"OLD_30D",""))</f>
        <v/>
      </c>
      <c r="W278" s="21" t="str">
        <f>IF(OR($C278="", $M278&lt;&gt;"APPROVED",$I278="", $U278=0),"",SUMIFS($U$3:$U$502,$H$3:$H$502,$H278,$M$3:$M$502,"APPROVED",$Q$3:$Q$502,"&lt;="&amp;Settings!$B$4,$I$3:$I$502,"&lt;="&amp;$I278))</f>
        <v/>
      </c>
      <c r="X278" s="21" t="str">
        <f>IF(OR($C278="", $M278&lt;&gt;"APPROVED",$I278="", $U278=0),"",SUMIFS($U$3:$U$502,$H$3:$H$502,$H278,$M$3:$M$502,"APPROVED",$Q$3:$Q$502,"&lt;="&amp;Settings!$B$5,$I$3:$I$502,"&lt;="&amp;$I278))</f>
        <v/>
      </c>
      <c r="Y278" s="21" t="str">
        <f>IF($P278="","",IFERROR(MATCH($P278,Lists!$H$2:$H$4,0),""))</f>
        <v/>
      </c>
      <c r="Z278" s="21" t="str">
        <f t="shared" si="8"/>
        <v/>
      </c>
    </row>
    <row r="279" spans="1:26" ht="15.75" customHeight="1" x14ac:dyDescent="0.3">
      <c r="A279" s="16" t="str">
        <f t="shared" si="9"/>
        <v/>
      </c>
      <c r="B279" s="28"/>
      <c r="C279" s="29"/>
      <c r="D279" s="16"/>
      <c r="E279" s="16"/>
      <c r="F279" s="16"/>
      <c r="G279" s="16"/>
      <c r="H279" s="16"/>
      <c r="I279" s="31"/>
      <c r="J279" s="15"/>
      <c r="K279" s="15"/>
      <c r="L279" s="15"/>
      <c r="M279" s="16"/>
      <c r="N279" s="17"/>
      <c r="O279" s="19" t="str">
        <f t="shared" si="5"/>
        <v/>
      </c>
      <c r="P279" s="17"/>
      <c r="Q279" s="17" t="str">
        <f t="shared" ca="1" si="6"/>
        <v/>
      </c>
      <c r="R279" s="21" t="str">
        <f ca="1">IF($Q279="","",IF($Q279&lt;=Settings!$B$8,Settings!$C$8,IF($Q279&lt;=Settings!$B$9,Settings!$C$9,IF($Q279&lt;=Settings!$B$10,Settings!$C$10,IF($Q279&lt;=Settings!$B$11,Settings!$C$11,Settings!$C$12)))))</f>
        <v/>
      </c>
      <c r="S279" s="21" t="str">
        <f>IF($F279="","",IFERROR(VLOOKUP($F279,Settings!$E$8:$F$11,2,FALSE),0))</f>
        <v/>
      </c>
      <c r="T279" s="21">
        <f>IF($G279="",Settings!$B$16,1)</f>
        <v>1</v>
      </c>
      <c r="U279" s="21" t="str">
        <f t="shared" si="7"/>
        <v/>
      </c>
      <c r="V279" s="32" t="str">
        <f>IF($C279="","",IF($Q279&gt;Settings!$B$4,IF($G279="","|","")&amp;"OLD_7D","")&amp;IF($Q279&gt;Settings!$B$5,IF(OR($G279="", $Q279&gt;Settings!$B$4),"|","")&amp;"OLD_30D",""))</f>
        <v/>
      </c>
      <c r="W279" s="21" t="str">
        <f>IF(OR($C279="", $M279&lt;&gt;"APPROVED",$I279="", $U279=0),"",SUMIFS($U$3:$U$502,$H$3:$H$502,$H279,$M$3:$M$502,"APPROVED",$Q$3:$Q$502,"&lt;="&amp;Settings!$B$4,$I$3:$I$502,"&lt;="&amp;$I279))</f>
        <v/>
      </c>
      <c r="X279" s="21" t="str">
        <f>IF(OR($C279="", $M279&lt;&gt;"APPROVED",$I279="", $U279=0),"",SUMIFS($U$3:$U$502,$H$3:$H$502,$H279,$M$3:$M$502,"APPROVED",$Q$3:$Q$502,"&lt;="&amp;Settings!$B$5,$I$3:$I$502,"&lt;="&amp;$I279))</f>
        <v/>
      </c>
      <c r="Y279" s="21" t="str">
        <f>IF($P279="","",IFERROR(MATCH($P279,Lists!$H$2:$H$4,0),""))</f>
        <v/>
      </c>
      <c r="Z279" s="21" t="str">
        <f t="shared" si="8"/>
        <v/>
      </c>
    </row>
    <row r="280" spans="1:26" ht="15.75" customHeight="1" x14ac:dyDescent="0.3">
      <c r="A280" s="16" t="str">
        <f t="shared" si="9"/>
        <v/>
      </c>
      <c r="B280" s="28"/>
      <c r="C280" s="29"/>
      <c r="D280" s="16"/>
      <c r="E280" s="16"/>
      <c r="F280" s="16"/>
      <c r="G280" s="16"/>
      <c r="H280" s="16"/>
      <c r="I280" s="31"/>
      <c r="J280" s="15"/>
      <c r="K280" s="15"/>
      <c r="L280" s="15"/>
      <c r="M280" s="16"/>
      <c r="N280" s="17"/>
      <c r="O280" s="19" t="str">
        <f t="shared" si="5"/>
        <v/>
      </c>
      <c r="P280" s="17"/>
      <c r="Q280" s="17" t="str">
        <f t="shared" ca="1" si="6"/>
        <v/>
      </c>
      <c r="R280" s="21" t="str">
        <f ca="1">IF($Q280="","",IF($Q280&lt;=Settings!$B$8,Settings!$C$8,IF($Q280&lt;=Settings!$B$9,Settings!$C$9,IF($Q280&lt;=Settings!$B$10,Settings!$C$10,IF($Q280&lt;=Settings!$B$11,Settings!$C$11,Settings!$C$12)))))</f>
        <v/>
      </c>
      <c r="S280" s="21" t="str">
        <f>IF($F280="","",IFERROR(VLOOKUP($F280,Settings!$E$8:$F$11,2,FALSE),0))</f>
        <v/>
      </c>
      <c r="T280" s="21">
        <f>IF($G280="",Settings!$B$16,1)</f>
        <v>1</v>
      </c>
      <c r="U280" s="21" t="str">
        <f t="shared" si="7"/>
        <v/>
      </c>
      <c r="V280" s="32" t="str">
        <f>IF($C280="","",IF($Q280&gt;Settings!$B$4,IF($G280="","|","")&amp;"OLD_7D","")&amp;IF($Q280&gt;Settings!$B$5,IF(OR($G280="", $Q280&gt;Settings!$B$4),"|","")&amp;"OLD_30D",""))</f>
        <v/>
      </c>
      <c r="W280" s="21" t="str">
        <f>IF(OR($C280="", $M280&lt;&gt;"APPROVED",$I280="", $U280=0),"",SUMIFS($U$3:$U$502,$H$3:$H$502,$H280,$M$3:$M$502,"APPROVED",$Q$3:$Q$502,"&lt;="&amp;Settings!$B$4,$I$3:$I$502,"&lt;="&amp;$I280))</f>
        <v/>
      </c>
      <c r="X280" s="21" t="str">
        <f>IF(OR($C280="", $M280&lt;&gt;"APPROVED",$I280="", $U280=0),"",SUMIFS($U$3:$U$502,$H$3:$H$502,$H280,$M$3:$M$502,"APPROVED",$Q$3:$Q$502,"&lt;="&amp;Settings!$B$5,$I$3:$I$502,"&lt;="&amp;$I280))</f>
        <v/>
      </c>
      <c r="Y280" s="21" t="str">
        <f>IF($P280="","",IFERROR(MATCH($P280,Lists!$H$2:$H$4,0),""))</f>
        <v/>
      </c>
      <c r="Z280" s="21" t="str">
        <f t="shared" si="8"/>
        <v/>
      </c>
    </row>
    <row r="281" spans="1:26" ht="15.75" customHeight="1" x14ac:dyDescent="0.3">
      <c r="A281" s="16" t="str">
        <f t="shared" si="9"/>
        <v/>
      </c>
      <c r="B281" s="28"/>
      <c r="C281" s="29"/>
      <c r="D281" s="16"/>
      <c r="E281" s="16"/>
      <c r="F281" s="16"/>
      <c r="G281" s="16"/>
      <c r="H281" s="16"/>
      <c r="I281" s="31"/>
      <c r="J281" s="15"/>
      <c r="K281" s="15"/>
      <c r="L281" s="15"/>
      <c r="M281" s="16"/>
      <c r="N281" s="17"/>
      <c r="O281" s="19" t="str">
        <f t="shared" si="5"/>
        <v/>
      </c>
      <c r="P281" s="17"/>
      <c r="Q281" s="17" t="str">
        <f t="shared" ca="1" si="6"/>
        <v/>
      </c>
      <c r="R281" s="21" t="str">
        <f ca="1">IF($Q281="","",IF($Q281&lt;=Settings!$B$8,Settings!$C$8,IF($Q281&lt;=Settings!$B$9,Settings!$C$9,IF($Q281&lt;=Settings!$B$10,Settings!$C$10,IF($Q281&lt;=Settings!$B$11,Settings!$C$11,Settings!$C$12)))))</f>
        <v/>
      </c>
      <c r="S281" s="21" t="str">
        <f>IF($F281="","",IFERROR(VLOOKUP($F281,Settings!$E$8:$F$11,2,FALSE),0))</f>
        <v/>
      </c>
      <c r="T281" s="21">
        <f>IF($G281="",Settings!$B$16,1)</f>
        <v>1</v>
      </c>
      <c r="U281" s="21" t="str">
        <f t="shared" si="7"/>
        <v/>
      </c>
      <c r="V281" s="32" t="str">
        <f>IF($C281="","",IF($Q281&gt;Settings!$B$4,IF($G281="","|","")&amp;"OLD_7D","")&amp;IF($Q281&gt;Settings!$B$5,IF(OR($G281="", $Q281&gt;Settings!$B$4),"|","")&amp;"OLD_30D",""))</f>
        <v/>
      </c>
      <c r="W281" s="21" t="str">
        <f>IF(OR($C281="", $M281&lt;&gt;"APPROVED",$I281="", $U281=0),"",SUMIFS($U$3:$U$502,$H$3:$H$502,$H281,$M$3:$M$502,"APPROVED",$Q$3:$Q$502,"&lt;="&amp;Settings!$B$4,$I$3:$I$502,"&lt;="&amp;$I281))</f>
        <v/>
      </c>
      <c r="X281" s="21" t="str">
        <f>IF(OR($C281="", $M281&lt;&gt;"APPROVED",$I281="", $U281=0),"",SUMIFS($U$3:$U$502,$H$3:$H$502,$H281,$M$3:$M$502,"APPROVED",$Q$3:$Q$502,"&lt;="&amp;Settings!$B$5,$I$3:$I$502,"&lt;="&amp;$I281))</f>
        <v/>
      </c>
      <c r="Y281" s="21" t="str">
        <f>IF($P281="","",IFERROR(MATCH($P281,Lists!$H$2:$H$4,0),""))</f>
        <v/>
      </c>
      <c r="Z281" s="21" t="str">
        <f t="shared" si="8"/>
        <v/>
      </c>
    </row>
    <row r="282" spans="1:26" ht="15.75" customHeight="1" x14ac:dyDescent="0.3">
      <c r="A282" s="16" t="str">
        <f t="shared" si="9"/>
        <v/>
      </c>
      <c r="B282" s="28"/>
      <c r="C282" s="29"/>
      <c r="D282" s="16"/>
      <c r="E282" s="16"/>
      <c r="F282" s="16"/>
      <c r="G282" s="16"/>
      <c r="H282" s="16"/>
      <c r="I282" s="31"/>
      <c r="J282" s="15"/>
      <c r="K282" s="15"/>
      <c r="L282" s="15"/>
      <c r="M282" s="16"/>
      <c r="N282" s="17"/>
      <c r="O282" s="19" t="str">
        <f t="shared" si="5"/>
        <v/>
      </c>
      <c r="P282" s="17"/>
      <c r="Q282" s="17" t="str">
        <f t="shared" ca="1" si="6"/>
        <v/>
      </c>
      <c r="R282" s="21" t="str">
        <f ca="1">IF($Q282="","",IF($Q282&lt;=Settings!$B$8,Settings!$C$8,IF($Q282&lt;=Settings!$B$9,Settings!$C$9,IF($Q282&lt;=Settings!$B$10,Settings!$C$10,IF($Q282&lt;=Settings!$B$11,Settings!$C$11,Settings!$C$12)))))</f>
        <v/>
      </c>
      <c r="S282" s="21" t="str">
        <f>IF($F282="","",IFERROR(VLOOKUP($F282,Settings!$E$8:$F$11,2,FALSE),0))</f>
        <v/>
      </c>
      <c r="T282" s="21">
        <f>IF($G282="",Settings!$B$16,1)</f>
        <v>1</v>
      </c>
      <c r="U282" s="21" t="str">
        <f t="shared" si="7"/>
        <v/>
      </c>
      <c r="V282" s="32" t="str">
        <f>IF($C282="","",IF($Q282&gt;Settings!$B$4,IF($G282="","|","")&amp;"OLD_7D","")&amp;IF($Q282&gt;Settings!$B$5,IF(OR($G282="", $Q282&gt;Settings!$B$4),"|","")&amp;"OLD_30D",""))</f>
        <v/>
      </c>
      <c r="W282" s="21" t="str">
        <f>IF(OR($C282="", $M282&lt;&gt;"APPROVED",$I282="", $U282=0),"",SUMIFS($U$3:$U$502,$H$3:$H$502,$H282,$M$3:$M$502,"APPROVED",$Q$3:$Q$502,"&lt;="&amp;Settings!$B$4,$I$3:$I$502,"&lt;="&amp;$I282))</f>
        <v/>
      </c>
      <c r="X282" s="21" t="str">
        <f>IF(OR($C282="", $M282&lt;&gt;"APPROVED",$I282="", $U282=0),"",SUMIFS($U$3:$U$502,$H$3:$H$502,$H282,$M$3:$M$502,"APPROVED",$Q$3:$Q$502,"&lt;="&amp;Settings!$B$5,$I$3:$I$502,"&lt;="&amp;$I282))</f>
        <v/>
      </c>
      <c r="Y282" s="21" t="str">
        <f>IF($P282="","",IFERROR(MATCH($P282,Lists!$H$2:$H$4,0),""))</f>
        <v/>
      </c>
      <c r="Z282" s="21" t="str">
        <f t="shared" si="8"/>
        <v/>
      </c>
    </row>
    <row r="283" spans="1:26" ht="15.75" customHeight="1" x14ac:dyDescent="0.3">
      <c r="A283" s="16" t="str">
        <f t="shared" si="9"/>
        <v/>
      </c>
      <c r="B283" s="28"/>
      <c r="C283" s="29"/>
      <c r="D283" s="16"/>
      <c r="E283" s="16"/>
      <c r="F283" s="16"/>
      <c r="G283" s="16"/>
      <c r="H283" s="16"/>
      <c r="I283" s="31"/>
      <c r="J283" s="15"/>
      <c r="K283" s="15"/>
      <c r="L283" s="15"/>
      <c r="M283" s="16"/>
      <c r="N283" s="17"/>
      <c r="O283" s="19" t="str">
        <f t="shared" si="5"/>
        <v/>
      </c>
      <c r="P283" s="17"/>
      <c r="Q283" s="17" t="str">
        <f t="shared" ca="1" si="6"/>
        <v/>
      </c>
      <c r="R283" s="21" t="str">
        <f ca="1">IF($Q283="","",IF($Q283&lt;=Settings!$B$8,Settings!$C$8,IF($Q283&lt;=Settings!$B$9,Settings!$C$9,IF($Q283&lt;=Settings!$B$10,Settings!$C$10,IF($Q283&lt;=Settings!$B$11,Settings!$C$11,Settings!$C$12)))))</f>
        <v/>
      </c>
      <c r="S283" s="21" t="str">
        <f>IF($F283="","",IFERROR(VLOOKUP($F283,Settings!$E$8:$F$11,2,FALSE),0))</f>
        <v/>
      </c>
      <c r="T283" s="21">
        <f>IF($G283="",Settings!$B$16,1)</f>
        <v>1</v>
      </c>
      <c r="U283" s="21" t="str">
        <f t="shared" si="7"/>
        <v/>
      </c>
      <c r="V283" s="32" t="str">
        <f>IF($C283="","",IF($Q283&gt;Settings!$B$4,IF($G283="","|","")&amp;"OLD_7D","")&amp;IF($Q283&gt;Settings!$B$5,IF(OR($G283="", $Q283&gt;Settings!$B$4),"|","")&amp;"OLD_30D",""))</f>
        <v/>
      </c>
      <c r="W283" s="21" t="str">
        <f>IF(OR($C283="", $M283&lt;&gt;"APPROVED",$I283="", $U283=0),"",SUMIFS($U$3:$U$502,$H$3:$H$502,$H283,$M$3:$M$502,"APPROVED",$Q$3:$Q$502,"&lt;="&amp;Settings!$B$4,$I$3:$I$502,"&lt;="&amp;$I283))</f>
        <v/>
      </c>
      <c r="X283" s="21" t="str">
        <f>IF(OR($C283="", $M283&lt;&gt;"APPROVED",$I283="", $U283=0),"",SUMIFS($U$3:$U$502,$H$3:$H$502,$H283,$M$3:$M$502,"APPROVED",$Q$3:$Q$502,"&lt;="&amp;Settings!$B$5,$I$3:$I$502,"&lt;="&amp;$I283))</f>
        <v/>
      </c>
      <c r="Y283" s="21" t="str">
        <f>IF($P283="","",IFERROR(MATCH($P283,Lists!$H$2:$H$4,0),""))</f>
        <v/>
      </c>
      <c r="Z283" s="21" t="str">
        <f t="shared" si="8"/>
        <v/>
      </c>
    </row>
    <row r="284" spans="1:26" ht="15.75" customHeight="1" x14ac:dyDescent="0.3">
      <c r="A284" s="16" t="str">
        <f t="shared" si="9"/>
        <v/>
      </c>
      <c r="B284" s="28"/>
      <c r="C284" s="29"/>
      <c r="D284" s="16"/>
      <c r="E284" s="16"/>
      <c r="F284" s="16"/>
      <c r="G284" s="16"/>
      <c r="H284" s="16"/>
      <c r="I284" s="31"/>
      <c r="J284" s="15"/>
      <c r="K284" s="15"/>
      <c r="L284" s="15"/>
      <c r="M284" s="16"/>
      <c r="N284" s="17"/>
      <c r="O284" s="19" t="str">
        <f t="shared" si="5"/>
        <v/>
      </c>
      <c r="P284" s="17"/>
      <c r="Q284" s="17" t="str">
        <f t="shared" ca="1" si="6"/>
        <v/>
      </c>
      <c r="R284" s="21" t="str">
        <f ca="1">IF($Q284="","",IF($Q284&lt;=Settings!$B$8,Settings!$C$8,IF($Q284&lt;=Settings!$B$9,Settings!$C$9,IF($Q284&lt;=Settings!$B$10,Settings!$C$10,IF($Q284&lt;=Settings!$B$11,Settings!$C$11,Settings!$C$12)))))</f>
        <v/>
      </c>
      <c r="S284" s="21" t="str">
        <f>IF($F284="","",IFERROR(VLOOKUP($F284,Settings!$E$8:$F$11,2,FALSE),0))</f>
        <v/>
      </c>
      <c r="T284" s="21">
        <f>IF($G284="",Settings!$B$16,1)</f>
        <v>1</v>
      </c>
      <c r="U284" s="21" t="str">
        <f t="shared" si="7"/>
        <v/>
      </c>
      <c r="V284" s="32" t="str">
        <f>IF($C284="","",IF($Q284&gt;Settings!$B$4,IF($G284="","|","")&amp;"OLD_7D","")&amp;IF($Q284&gt;Settings!$B$5,IF(OR($G284="", $Q284&gt;Settings!$B$4),"|","")&amp;"OLD_30D",""))</f>
        <v/>
      </c>
      <c r="W284" s="21" t="str">
        <f>IF(OR($C284="", $M284&lt;&gt;"APPROVED",$I284="", $U284=0),"",SUMIFS($U$3:$U$502,$H$3:$H$502,$H284,$M$3:$M$502,"APPROVED",$Q$3:$Q$502,"&lt;="&amp;Settings!$B$4,$I$3:$I$502,"&lt;="&amp;$I284))</f>
        <v/>
      </c>
      <c r="X284" s="21" t="str">
        <f>IF(OR($C284="", $M284&lt;&gt;"APPROVED",$I284="", $U284=0),"",SUMIFS($U$3:$U$502,$H$3:$H$502,$H284,$M$3:$M$502,"APPROVED",$Q$3:$Q$502,"&lt;="&amp;Settings!$B$5,$I$3:$I$502,"&lt;="&amp;$I284))</f>
        <v/>
      </c>
      <c r="Y284" s="21" t="str">
        <f>IF($P284="","",IFERROR(MATCH($P284,Lists!$H$2:$H$4,0),""))</f>
        <v/>
      </c>
      <c r="Z284" s="21" t="str">
        <f t="shared" si="8"/>
        <v/>
      </c>
    </row>
    <row r="285" spans="1:26" ht="15.75" customHeight="1" x14ac:dyDescent="0.3">
      <c r="A285" s="16" t="str">
        <f t="shared" si="9"/>
        <v/>
      </c>
      <c r="B285" s="28"/>
      <c r="C285" s="29"/>
      <c r="D285" s="16"/>
      <c r="E285" s="16"/>
      <c r="F285" s="16"/>
      <c r="G285" s="16"/>
      <c r="H285" s="16"/>
      <c r="I285" s="31"/>
      <c r="J285" s="15"/>
      <c r="K285" s="15"/>
      <c r="L285" s="15"/>
      <c r="M285" s="16"/>
      <c r="N285" s="17"/>
      <c r="O285" s="19" t="str">
        <f t="shared" si="5"/>
        <v/>
      </c>
      <c r="P285" s="17"/>
      <c r="Q285" s="17" t="str">
        <f t="shared" ca="1" si="6"/>
        <v/>
      </c>
      <c r="R285" s="21" t="str">
        <f ca="1">IF($Q285="","",IF($Q285&lt;=Settings!$B$8,Settings!$C$8,IF($Q285&lt;=Settings!$B$9,Settings!$C$9,IF($Q285&lt;=Settings!$B$10,Settings!$C$10,IF($Q285&lt;=Settings!$B$11,Settings!$C$11,Settings!$C$12)))))</f>
        <v/>
      </c>
      <c r="S285" s="21" t="str">
        <f>IF($F285="","",IFERROR(VLOOKUP($F285,Settings!$E$8:$F$11,2,FALSE),0))</f>
        <v/>
      </c>
      <c r="T285" s="21">
        <f>IF($G285="",Settings!$B$16,1)</f>
        <v>1</v>
      </c>
      <c r="U285" s="21" t="str">
        <f t="shared" si="7"/>
        <v/>
      </c>
      <c r="V285" s="32" t="str">
        <f>IF($C285="","",IF($Q285&gt;Settings!$B$4,IF($G285="","|","")&amp;"OLD_7D","")&amp;IF($Q285&gt;Settings!$B$5,IF(OR($G285="", $Q285&gt;Settings!$B$4),"|","")&amp;"OLD_30D",""))</f>
        <v/>
      </c>
      <c r="W285" s="21" t="str">
        <f>IF(OR($C285="", $M285&lt;&gt;"APPROVED",$I285="", $U285=0),"",SUMIFS($U$3:$U$502,$H$3:$H$502,$H285,$M$3:$M$502,"APPROVED",$Q$3:$Q$502,"&lt;="&amp;Settings!$B$4,$I$3:$I$502,"&lt;="&amp;$I285))</f>
        <v/>
      </c>
      <c r="X285" s="21" t="str">
        <f>IF(OR($C285="", $M285&lt;&gt;"APPROVED",$I285="", $U285=0),"",SUMIFS($U$3:$U$502,$H$3:$H$502,$H285,$M$3:$M$502,"APPROVED",$Q$3:$Q$502,"&lt;="&amp;Settings!$B$5,$I$3:$I$502,"&lt;="&amp;$I285))</f>
        <v/>
      </c>
      <c r="Y285" s="21" t="str">
        <f>IF($P285="","",IFERROR(MATCH($P285,Lists!$H$2:$H$4,0),""))</f>
        <v/>
      </c>
      <c r="Z285" s="21" t="str">
        <f t="shared" si="8"/>
        <v/>
      </c>
    </row>
    <row r="286" spans="1:26" ht="15.75" customHeight="1" x14ac:dyDescent="0.3">
      <c r="A286" s="16" t="str">
        <f t="shared" si="9"/>
        <v/>
      </c>
      <c r="B286" s="28"/>
      <c r="C286" s="29"/>
      <c r="D286" s="16"/>
      <c r="E286" s="16"/>
      <c r="F286" s="16"/>
      <c r="G286" s="16"/>
      <c r="H286" s="16"/>
      <c r="I286" s="31"/>
      <c r="J286" s="15"/>
      <c r="K286" s="15"/>
      <c r="L286" s="15"/>
      <c r="M286" s="16"/>
      <c r="N286" s="17"/>
      <c r="O286" s="19" t="str">
        <f t="shared" si="5"/>
        <v/>
      </c>
      <c r="P286" s="17"/>
      <c r="Q286" s="17" t="str">
        <f t="shared" ca="1" si="6"/>
        <v/>
      </c>
      <c r="R286" s="21" t="str">
        <f ca="1">IF($Q286="","",IF($Q286&lt;=Settings!$B$8,Settings!$C$8,IF($Q286&lt;=Settings!$B$9,Settings!$C$9,IF($Q286&lt;=Settings!$B$10,Settings!$C$10,IF($Q286&lt;=Settings!$B$11,Settings!$C$11,Settings!$C$12)))))</f>
        <v/>
      </c>
      <c r="S286" s="21" t="str">
        <f>IF($F286="","",IFERROR(VLOOKUP($F286,Settings!$E$8:$F$11,2,FALSE),0))</f>
        <v/>
      </c>
      <c r="T286" s="21">
        <f>IF($G286="",Settings!$B$16,1)</f>
        <v>1</v>
      </c>
      <c r="U286" s="21" t="str">
        <f t="shared" si="7"/>
        <v/>
      </c>
      <c r="V286" s="32" t="str">
        <f>IF($C286="","",IF($Q286&gt;Settings!$B$4,IF($G286="","|","")&amp;"OLD_7D","")&amp;IF($Q286&gt;Settings!$B$5,IF(OR($G286="", $Q286&gt;Settings!$B$4),"|","")&amp;"OLD_30D",""))</f>
        <v/>
      </c>
      <c r="W286" s="21" t="str">
        <f>IF(OR($C286="", $M286&lt;&gt;"APPROVED",$I286="", $U286=0),"",SUMIFS($U$3:$U$502,$H$3:$H$502,$H286,$M$3:$M$502,"APPROVED",$Q$3:$Q$502,"&lt;="&amp;Settings!$B$4,$I$3:$I$502,"&lt;="&amp;$I286))</f>
        <v/>
      </c>
      <c r="X286" s="21" t="str">
        <f>IF(OR($C286="", $M286&lt;&gt;"APPROVED",$I286="", $U286=0),"",SUMIFS($U$3:$U$502,$H$3:$H$502,$H286,$M$3:$M$502,"APPROVED",$Q$3:$Q$502,"&lt;="&amp;Settings!$B$5,$I$3:$I$502,"&lt;="&amp;$I286))</f>
        <v/>
      </c>
      <c r="Y286" s="21" t="str">
        <f>IF($P286="","",IFERROR(MATCH($P286,Lists!$H$2:$H$4,0),""))</f>
        <v/>
      </c>
      <c r="Z286" s="21" t="str">
        <f t="shared" si="8"/>
        <v/>
      </c>
    </row>
    <row r="287" spans="1:26" ht="15.75" customHeight="1" x14ac:dyDescent="0.3">
      <c r="A287" s="16" t="str">
        <f t="shared" si="9"/>
        <v/>
      </c>
      <c r="B287" s="28"/>
      <c r="C287" s="29"/>
      <c r="D287" s="16"/>
      <c r="E287" s="16"/>
      <c r="F287" s="16"/>
      <c r="G287" s="16"/>
      <c r="H287" s="16"/>
      <c r="I287" s="31"/>
      <c r="J287" s="15"/>
      <c r="K287" s="15"/>
      <c r="L287" s="15"/>
      <c r="M287" s="16"/>
      <c r="N287" s="17"/>
      <c r="O287" s="19" t="str">
        <f t="shared" si="5"/>
        <v/>
      </c>
      <c r="P287" s="17"/>
      <c r="Q287" s="17" t="str">
        <f t="shared" ca="1" si="6"/>
        <v/>
      </c>
      <c r="R287" s="21" t="str">
        <f ca="1">IF($Q287="","",IF($Q287&lt;=Settings!$B$8,Settings!$C$8,IF($Q287&lt;=Settings!$B$9,Settings!$C$9,IF($Q287&lt;=Settings!$B$10,Settings!$C$10,IF($Q287&lt;=Settings!$B$11,Settings!$C$11,Settings!$C$12)))))</f>
        <v/>
      </c>
      <c r="S287" s="21" t="str">
        <f>IF($F287="","",IFERROR(VLOOKUP($F287,Settings!$E$8:$F$11,2,FALSE),0))</f>
        <v/>
      </c>
      <c r="T287" s="21">
        <f>IF($G287="",Settings!$B$16,1)</f>
        <v>1</v>
      </c>
      <c r="U287" s="21" t="str">
        <f t="shared" si="7"/>
        <v/>
      </c>
      <c r="V287" s="32" t="str">
        <f>IF($C287="","",IF($Q287&gt;Settings!$B$4,IF($G287="","|","")&amp;"OLD_7D","")&amp;IF($Q287&gt;Settings!$B$5,IF(OR($G287="", $Q287&gt;Settings!$B$4),"|","")&amp;"OLD_30D",""))</f>
        <v/>
      </c>
      <c r="W287" s="21" t="str">
        <f>IF(OR($C287="", $M287&lt;&gt;"APPROVED",$I287="", $U287=0),"",SUMIFS($U$3:$U$502,$H$3:$H$502,$H287,$M$3:$M$502,"APPROVED",$Q$3:$Q$502,"&lt;="&amp;Settings!$B$4,$I$3:$I$502,"&lt;="&amp;$I287))</f>
        <v/>
      </c>
      <c r="X287" s="21" t="str">
        <f>IF(OR($C287="", $M287&lt;&gt;"APPROVED",$I287="", $U287=0),"",SUMIFS($U$3:$U$502,$H$3:$H$502,$H287,$M$3:$M$502,"APPROVED",$Q$3:$Q$502,"&lt;="&amp;Settings!$B$5,$I$3:$I$502,"&lt;="&amp;$I287))</f>
        <v/>
      </c>
      <c r="Y287" s="21" t="str">
        <f>IF($P287="","",IFERROR(MATCH($P287,Lists!$H$2:$H$4,0),""))</f>
        <v/>
      </c>
      <c r="Z287" s="21" t="str">
        <f t="shared" si="8"/>
        <v/>
      </c>
    </row>
    <row r="288" spans="1:26" ht="15.75" customHeight="1" x14ac:dyDescent="0.3">
      <c r="A288" s="16" t="str">
        <f t="shared" si="9"/>
        <v/>
      </c>
      <c r="B288" s="28"/>
      <c r="C288" s="29"/>
      <c r="D288" s="16"/>
      <c r="E288" s="16"/>
      <c r="F288" s="16"/>
      <c r="G288" s="16"/>
      <c r="H288" s="16"/>
      <c r="I288" s="31"/>
      <c r="J288" s="15"/>
      <c r="K288" s="15"/>
      <c r="L288" s="15"/>
      <c r="M288" s="16"/>
      <c r="N288" s="17"/>
      <c r="O288" s="19" t="str">
        <f t="shared" si="5"/>
        <v/>
      </c>
      <c r="P288" s="17"/>
      <c r="Q288" s="17" t="str">
        <f t="shared" ca="1" si="6"/>
        <v/>
      </c>
      <c r="R288" s="21" t="str">
        <f ca="1">IF($Q288="","",IF($Q288&lt;=Settings!$B$8,Settings!$C$8,IF($Q288&lt;=Settings!$B$9,Settings!$C$9,IF($Q288&lt;=Settings!$B$10,Settings!$C$10,IF($Q288&lt;=Settings!$B$11,Settings!$C$11,Settings!$C$12)))))</f>
        <v/>
      </c>
      <c r="S288" s="21" t="str">
        <f>IF($F288="","",IFERROR(VLOOKUP($F288,Settings!$E$8:$F$11,2,FALSE),0))</f>
        <v/>
      </c>
      <c r="T288" s="21">
        <f>IF($G288="",Settings!$B$16,1)</f>
        <v>1</v>
      </c>
      <c r="U288" s="21" t="str">
        <f t="shared" si="7"/>
        <v/>
      </c>
      <c r="V288" s="32" t="str">
        <f>IF($C288="","",IF($Q288&gt;Settings!$B$4,IF($G288="","|","")&amp;"OLD_7D","")&amp;IF($Q288&gt;Settings!$B$5,IF(OR($G288="", $Q288&gt;Settings!$B$4),"|","")&amp;"OLD_30D",""))</f>
        <v/>
      </c>
      <c r="W288" s="21" t="str">
        <f>IF(OR($C288="", $M288&lt;&gt;"APPROVED",$I288="", $U288=0),"",SUMIFS($U$3:$U$502,$H$3:$H$502,$H288,$M$3:$M$502,"APPROVED",$Q$3:$Q$502,"&lt;="&amp;Settings!$B$4,$I$3:$I$502,"&lt;="&amp;$I288))</f>
        <v/>
      </c>
      <c r="X288" s="21" t="str">
        <f>IF(OR($C288="", $M288&lt;&gt;"APPROVED",$I288="", $U288=0),"",SUMIFS($U$3:$U$502,$H$3:$H$502,$H288,$M$3:$M$502,"APPROVED",$Q$3:$Q$502,"&lt;="&amp;Settings!$B$5,$I$3:$I$502,"&lt;="&amp;$I288))</f>
        <v/>
      </c>
      <c r="Y288" s="21" t="str">
        <f>IF($P288="","",IFERROR(MATCH($P288,Lists!$H$2:$H$4,0),""))</f>
        <v/>
      </c>
      <c r="Z288" s="21" t="str">
        <f t="shared" si="8"/>
        <v/>
      </c>
    </row>
    <row r="289" spans="1:26" ht="15.75" customHeight="1" x14ac:dyDescent="0.3">
      <c r="A289" s="16" t="str">
        <f t="shared" si="9"/>
        <v/>
      </c>
      <c r="B289" s="28"/>
      <c r="C289" s="29"/>
      <c r="D289" s="16"/>
      <c r="E289" s="16"/>
      <c r="F289" s="16"/>
      <c r="G289" s="16"/>
      <c r="H289" s="16"/>
      <c r="I289" s="31"/>
      <c r="J289" s="15"/>
      <c r="K289" s="15"/>
      <c r="L289" s="15"/>
      <c r="M289" s="16"/>
      <c r="N289" s="17"/>
      <c r="O289" s="19" t="str">
        <f t="shared" si="5"/>
        <v/>
      </c>
      <c r="P289" s="17"/>
      <c r="Q289" s="17" t="str">
        <f t="shared" ca="1" si="6"/>
        <v/>
      </c>
      <c r="R289" s="21" t="str">
        <f ca="1">IF($Q289="","",IF($Q289&lt;=Settings!$B$8,Settings!$C$8,IF($Q289&lt;=Settings!$B$9,Settings!$C$9,IF($Q289&lt;=Settings!$B$10,Settings!$C$10,IF($Q289&lt;=Settings!$B$11,Settings!$C$11,Settings!$C$12)))))</f>
        <v/>
      </c>
      <c r="S289" s="21" t="str">
        <f>IF($F289="","",IFERROR(VLOOKUP($F289,Settings!$E$8:$F$11,2,FALSE),0))</f>
        <v/>
      </c>
      <c r="T289" s="21">
        <f>IF($G289="",Settings!$B$16,1)</f>
        <v>1</v>
      </c>
      <c r="U289" s="21" t="str">
        <f t="shared" si="7"/>
        <v/>
      </c>
      <c r="V289" s="32" t="str">
        <f>IF($C289="","",IF($Q289&gt;Settings!$B$4,IF($G289="","|","")&amp;"OLD_7D","")&amp;IF($Q289&gt;Settings!$B$5,IF(OR($G289="", $Q289&gt;Settings!$B$4),"|","")&amp;"OLD_30D",""))</f>
        <v/>
      </c>
      <c r="W289" s="21" t="str">
        <f>IF(OR($C289="", $M289&lt;&gt;"APPROVED",$I289="", $U289=0),"",SUMIFS($U$3:$U$502,$H$3:$H$502,$H289,$M$3:$M$502,"APPROVED",$Q$3:$Q$502,"&lt;="&amp;Settings!$B$4,$I$3:$I$502,"&lt;="&amp;$I289))</f>
        <v/>
      </c>
      <c r="X289" s="21" t="str">
        <f>IF(OR($C289="", $M289&lt;&gt;"APPROVED",$I289="", $U289=0),"",SUMIFS($U$3:$U$502,$H$3:$H$502,$H289,$M$3:$M$502,"APPROVED",$Q$3:$Q$502,"&lt;="&amp;Settings!$B$5,$I$3:$I$502,"&lt;="&amp;$I289))</f>
        <v/>
      </c>
      <c r="Y289" s="21" t="str">
        <f>IF($P289="","",IFERROR(MATCH($P289,Lists!$H$2:$H$4,0),""))</f>
        <v/>
      </c>
      <c r="Z289" s="21" t="str">
        <f t="shared" si="8"/>
        <v/>
      </c>
    </row>
    <row r="290" spans="1:26" ht="15.75" customHeight="1" x14ac:dyDescent="0.3">
      <c r="A290" s="16" t="str">
        <f t="shared" si="9"/>
        <v/>
      </c>
      <c r="B290" s="28"/>
      <c r="C290" s="29"/>
      <c r="D290" s="16"/>
      <c r="E290" s="16"/>
      <c r="F290" s="16"/>
      <c r="G290" s="16"/>
      <c r="H290" s="16"/>
      <c r="I290" s="31"/>
      <c r="J290" s="15"/>
      <c r="K290" s="15"/>
      <c r="L290" s="15"/>
      <c r="M290" s="16"/>
      <c r="N290" s="17"/>
      <c r="O290" s="19" t="str">
        <f t="shared" si="5"/>
        <v/>
      </c>
      <c r="P290" s="17"/>
      <c r="Q290" s="17" t="str">
        <f t="shared" ca="1" si="6"/>
        <v/>
      </c>
      <c r="R290" s="21" t="str">
        <f ca="1">IF($Q290="","",IF($Q290&lt;=Settings!$B$8,Settings!$C$8,IF($Q290&lt;=Settings!$B$9,Settings!$C$9,IF($Q290&lt;=Settings!$B$10,Settings!$C$10,IF($Q290&lt;=Settings!$B$11,Settings!$C$11,Settings!$C$12)))))</f>
        <v/>
      </c>
      <c r="S290" s="21" t="str">
        <f>IF($F290="","",IFERROR(VLOOKUP($F290,Settings!$E$8:$F$11,2,FALSE),0))</f>
        <v/>
      </c>
      <c r="T290" s="21">
        <f>IF($G290="",Settings!$B$16,1)</f>
        <v>1</v>
      </c>
      <c r="U290" s="21" t="str">
        <f t="shared" si="7"/>
        <v/>
      </c>
      <c r="V290" s="32" t="str">
        <f>IF($C290="","",IF($Q290&gt;Settings!$B$4,IF($G290="","|","")&amp;"OLD_7D","")&amp;IF($Q290&gt;Settings!$B$5,IF(OR($G290="", $Q290&gt;Settings!$B$4),"|","")&amp;"OLD_30D",""))</f>
        <v/>
      </c>
      <c r="W290" s="21" t="str">
        <f>IF(OR($C290="", $M290&lt;&gt;"APPROVED",$I290="", $U290=0),"",SUMIFS($U$3:$U$502,$H$3:$H$502,$H290,$M$3:$M$502,"APPROVED",$Q$3:$Q$502,"&lt;="&amp;Settings!$B$4,$I$3:$I$502,"&lt;="&amp;$I290))</f>
        <v/>
      </c>
      <c r="X290" s="21" t="str">
        <f>IF(OR($C290="", $M290&lt;&gt;"APPROVED",$I290="", $U290=0),"",SUMIFS($U$3:$U$502,$H$3:$H$502,$H290,$M$3:$M$502,"APPROVED",$Q$3:$Q$502,"&lt;="&amp;Settings!$B$5,$I$3:$I$502,"&lt;="&amp;$I290))</f>
        <v/>
      </c>
      <c r="Y290" s="21" t="str">
        <f>IF($P290="","",IFERROR(MATCH($P290,Lists!$H$2:$H$4,0),""))</f>
        <v/>
      </c>
      <c r="Z290" s="21" t="str">
        <f t="shared" si="8"/>
        <v/>
      </c>
    </row>
    <row r="291" spans="1:26" ht="15.75" customHeight="1" x14ac:dyDescent="0.3">
      <c r="A291" s="16" t="str">
        <f t="shared" si="9"/>
        <v/>
      </c>
      <c r="B291" s="28"/>
      <c r="C291" s="29"/>
      <c r="D291" s="16"/>
      <c r="E291" s="16"/>
      <c r="F291" s="16"/>
      <c r="G291" s="16"/>
      <c r="H291" s="16"/>
      <c r="I291" s="31"/>
      <c r="J291" s="15"/>
      <c r="K291" s="15"/>
      <c r="L291" s="15"/>
      <c r="M291" s="16"/>
      <c r="N291" s="17"/>
      <c r="O291" s="19" t="str">
        <f t="shared" si="5"/>
        <v/>
      </c>
      <c r="P291" s="17"/>
      <c r="Q291" s="17" t="str">
        <f t="shared" ca="1" si="6"/>
        <v/>
      </c>
      <c r="R291" s="21" t="str">
        <f ca="1">IF($Q291="","",IF($Q291&lt;=Settings!$B$8,Settings!$C$8,IF($Q291&lt;=Settings!$B$9,Settings!$C$9,IF($Q291&lt;=Settings!$B$10,Settings!$C$10,IF($Q291&lt;=Settings!$B$11,Settings!$C$11,Settings!$C$12)))))</f>
        <v/>
      </c>
      <c r="S291" s="21" t="str">
        <f>IF($F291="","",IFERROR(VLOOKUP($F291,Settings!$E$8:$F$11,2,FALSE),0))</f>
        <v/>
      </c>
      <c r="T291" s="21">
        <f>IF($G291="",Settings!$B$16,1)</f>
        <v>1</v>
      </c>
      <c r="U291" s="21" t="str">
        <f t="shared" si="7"/>
        <v/>
      </c>
      <c r="V291" s="32" t="str">
        <f>IF($C291="","",IF($Q291&gt;Settings!$B$4,IF($G291="","|","")&amp;"OLD_7D","")&amp;IF($Q291&gt;Settings!$B$5,IF(OR($G291="", $Q291&gt;Settings!$B$4),"|","")&amp;"OLD_30D",""))</f>
        <v/>
      </c>
      <c r="W291" s="21" t="str">
        <f>IF(OR($C291="", $M291&lt;&gt;"APPROVED",$I291="", $U291=0),"",SUMIFS($U$3:$U$502,$H$3:$H$502,$H291,$M$3:$M$502,"APPROVED",$Q$3:$Q$502,"&lt;="&amp;Settings!$B$4,$I$3:$I$502,"&lt;="&amp;$I291))</f>
        <v/>
      </c>
      <c r="X291" s="21" t="str">
        <f>IF(OR($C291="", $M291&lt;&gt;"APPROVED",$I291="", $U291=0),"",SUMIFS($U$3:$U$502,$H$3:$H$502,$H291,$M$3:$M$502,"APPROVED",$Q$3:$Q$502,"&lt;="&amp;Settings!$B$5,$I$3:$I$502,"&lt;="&amp;$I291))</f>
        <v/>
      </c>
      <c r="Y291" s="21" t="str">
        <f>IF($P291="","",IFERROR(MATCH($P291,Lists!$H$2:$H$4,0),""))</f>
        <v/>
      </c>
      <c r="Z291" s="21" t="str">
        <f t="shared" si="8"/>
        <v/>
      </c>
    </row>
    <row r="292" spans="1:26" ht="15.75" customHeight="1" x14ac:dyDescent="0.3">
      <c r="A292" s="16" t="str">
        <f t="shared" si="9"/>
        <v/>
      </c>
      <c r="B292" s="28"/>
      <c r="C292" s="29"/>
      <c r="D292" s="16"/>
      <c r="E292" s="16"/>
      <c r="F292" s="16"/>
      <c r="G292" s="16"/>
      <c r="H292" s="16"/>
      <c r="I292" s="31"/>
      <c r="J292" s="15"/>
      <c r="K292" s="15"/>
      <c r="L292" s="15"/>
      <c r="M292" s="16"/>
      <c r="N292" s="17"/>
      <c r="O292" s="19" t="str">
        <f t="shared" si="5"/>
        <v/>
      </c>
      <c r="P292" s="17"/>
      <c r="Q292" s="17" t="str">
        <f t="shared" ca="1" si="6"/>
        <v/>
      </c>
      <c r="R292" s="21" t="str">
        <f ca="1">IF($Q292="","",IF($Q292&lt;=Settings!$B$8,Settings!$C$8,IF($Q292&lt;=Settings!$B$9,Settings!$C$9,IF($Q292&lt;=Settings!$B$10,Settings!$C$10,IF($Q292&lt;=Settings!$B$11,Settings!$C$11,Settings!$C$12)))))</f>
        <v/>
      </c>
      <c r="S292" s="21" t="str">
        <f>IF($F292="","",IFERROR(VLOOKUP($F292,Settings!$E$8:$F$11,2,FALSE),0))</f>
        <v/>
      </c>
      <c r="T292" s="21">
        <f>IF($G292="",Settings!$B$16,1)</f>
        <v>1</v>
      </c>
      <c r="U292" s="21" t="str">
        <f t="shared" si="7"/>
        <v/>
      </c>
      <c r="V292" s="32" t="str">
        <f>IF($C292="","",IF($Q292&gt;Settings!$B$4,IF($G292="","|","")&amp;"OLD_7D","")&amp;IF($Q292&gt;Settings!$B$5,IF(OR($G292="", $Q292&gt;Settings!$B$4),"|","")&amp;"OLD_30D",""))</f>
        <v/>
      </c>
      <c r="W292" s="21" t="str">
        <f>IF(OR($C292="", $M292&lt;&gt;"APPROVED",$I292="", $U292=0),"",SUMIFS($U$3:$U$502,$H$3:$H$502,$H292,$M$3:$M$502,"APPROVED",$Q$3:$Q$502,"&lt;="&amp;Settings!$B$4,$I$3:$I$502,"&lt;="&amp;$I292))</f>
        <v/>
      </c>
      <c r="X292" s="21" t="str">
        <f>IF(OR($C292="", $M292&lt;&gt;"APPROVED",$I292="", $U292=0),"",SUMIFS($U$3:$U$502,$H$3:$H$502,$H292,$M$3:$M$502,"APPROVED",$Q$3:$Q$502,"&lt;="&amp;Settings!$B$5,$I$3:$I$502,"&lt;="&amp;$I292))</f>
        <v/>
      </c>
      <c r="Y292" s="21" t="str">
        <f>IF($P292="","",IFERROR(MATCH($P292,Lists!$H$2:$H$4,0),""))</f>
        <v/>
      </c>
      <c r="Z292" s="21" t="str">
        <f t="shared" si="8"/>
        <v/>
      </c>
    </row>
    <row r="293" spans="1:26" ht="15.75" customHeight="1" x14ac:dyDescent="0.3">
      <c r="A293" s="16" t="str">
        <f t="shared" si="9"/>
        <v/>
      </c>
      <c r="B293" s="28"/>
      <c r="C293" s="29"/>
      <c r="D293" s="16"/>
      <c r="E293" s="16"/>
      <c r="F293" s="16"/>
      <c r="G293" s="16"/>
      <c r="H293" s="16"/>
      <c r="I293" s="31"/>
      <c r="J293" s="15"/>
      <c r="K293" s="15"/>
      <c r="L293" s="15"/>
      <c r="M293" s="16"/>
      <c r="N293" s="17"/>
      <c r="O293" s="19" t="str">
        <f t="shared" si="5"/>
        <v/>
      </c>
      <c r="P293" s="17"/>
      <c r="Q293" s="17" t="str">
        <f t="shared" ca="1" si="6"/>
        <v/>
      </c>
      <c r="R293" s="21" t="str">
        <f ca="1">IF($Q293="","",IF($Q293&lt;=Settings!$B$8,Settings!$C$8,IF($Q293&lt;=Settings!$B$9,Settings!$C$9,IF($Q293&lt;=Settings!$B$10,Settings!$C$10,IF($Q293&lt;=Settings!$B$11,Settings!$C$11,Settings!$C$12)))))</f>
        <v/>
      </c>
      <c r="S293" s="21" t="str">
        <f>IF($F293="","",IFERROR(VLOOKUP($F293,Settings!$E$8:$F$11,2,FALSE),0))</f>
        <v/>
      </c>
      <c r="T293" s="21">
        <f>IF($G293="",Settings!$B$16,1)</f>
        <v>1</v>
      </c>
      <c r="U293" s="21" t="str">
        <f t="shared" si="7"/>
        <v/>
      </c>
      <c r="V293" s="32" t="str">
        <f>IF($C293="","",IF($Q293&gt;Settings!$B$4,IF($G293="","|","")&amp;"OLD_7D","")&amp;IF($Q293&gt;Settings!$B$5,IF(OR($G293="", $Q293&gt;Settings!$B$4),"|","")&amp;"OLD_30D",""))</f>
        <v/>
      </c>
      <c r="W293" s="21" t="str">
        <f>IF(OR($C293="", $M293&lt;&gt;"APPROVED",$I293="", $U293=0),"",SUMIFS($U$3:$U$502,$H$3:$H$502,$H293,$M$3:$M$502,"APPROVED",$Q$3:$Q$502,"&lt;="&amp;Settings!$B$4,$I$3:$I$502,"&lt;="&amp;$I293))</f>
        <v/>
      </c>
      <c r="X293" s="21" t="str">
        <f>IF(OR($C293="", $M293&lt;&gt;"APPROVED",$I293="", $U293=0),"",SUMIFS($U$3:$U$502,$H$3:$H$502,$H293,$M$3:$M$502,"APPROVED",$Q$3:$Q$502,"&lt;="&amp;Settings!$B$5,$I$3:$I$502,"&lt;="&amp;$I293))</f>
        <v/>
      </c>
      <c r="Y293" s="21" t="str">
        <f>IF($P293="","",IFERROR(MATCH($P293,Lists!$H$2:$H$4,0),""))</f>
        <v/>
      </c>
      <c r="Z293" s="21" t="str">
        <f t="shared" si="8"/>
        <v/>
      </c>
    </row>
    <row r="294" spans="1:26" ht="15.75" customHeight="1" x14ac:dyDescent="0.3">
      <c r="A294" s="16" t="str">
        <f t="shared" si="9"/>
        <v/>
      </c>
      <c r="B294" s="28"/>
      <c r="C294" s="29"/>
      <c r="D294" s="16"/>
      <c r="E294" s="16"/>
      <c r="F294" s="16"/>
      <c r="G294" s="16"/>
      <c r="H294" s="16"/>
      <c r="I294" s="31"/>
      <c r="J294" s="15"/>
      <c r="K294" s="15"/>
      <c r="L294" s="15"/>
      <c r="M294" s="16"/>
      <c r="N294" s="17"/>
      <c r="O294" s="19" t="str">
        <f t="shared" si="5"/>
        <v/>
      </c>
      <c r="P294" s="17"/>
      <c r="Q294" s="17" t="str">
        <f t="shared" ca="1" si="6"/>
        <v/>
      </c>
      <c r="R294" s="21" t="str">
        <f ca="1">IF($Q294="","",IF($Q294&lt;=Settings!$B$8,Settings!$C$8,IF($Q294&lt;=Settings!$B$9,Settings!$C$9,IF($Q294&lt;=Settings!$B$10,Settings!$C$10,IF($Q294&lt;=Settings!$B$11,Settings!$C$11,Settings!$C$12)))))</f>
        <v/>
      </c>
      <c r="S294" s="21" t="str">
        <f>IF($F294="","",IFERROR(VLOOKUP($F294,Settings!$E$8:$F$11,2,FALSE),0))</f>
        <v/>
      </c>
      <c r="T294" s="21">
        <f>IF($G294="",Settings!$B$16,1)</f>
        <v>1</v>
      </c>
      <c r="U294" s="21" t="str">
        <f t="shared" si="7"/>
        <v/>
      </c>
      <c r="V294" s="32" t="str">
        <f>IF($C294="","",IF($Q294&gt;Settings!$B$4,IF($G294="","|","")&amp;"OLD_7D","")&amp;IF($Q294&gt;Settings!$B$5,IF(OR($G294="", $Q294&gt;Settings!$B$4),"|","")&amp;"OLD_30D",""))</f>
        <v/>
      </c>
      <c r="W294" s="21" t="str">
        <f>IF(OR($C294="", $M294&lt;&gt;"APPROVED",$I294="", $U294=0),"",SUMIFS($U$3:$U$502,$H$3:$H$502,$H294,$M$3:$M$502,"APPROVED",$Q$3:$Q$502,"&lt;="&amp;Settings!$B$4,$I$3:$I$502,"&lt;="&amp;$I294))</f>
        <v/>
      </c>
      <c r="X294" s="21" t="str">
        <f>IF(OR($C294="", $M294&lt;&gt;"APPROVED",$I294="", $U294=0),"",SUMIFS($U$3:$U$502,$H$3:$H$502,$H294,$M$3:$M$502,"APPROVED",$Q$3:$Q$502,"&lt;="&amp;Settings!$B$5,$I$3:$I$502,"&lt;="&amp;$I294))</f>
        <v/>
      </c>
      <c r="Y294" s="21" t="str">
        <f>IF($P294="","",IFERROR(MATCH($P294,Lists!$H$2:$H$4,0),""))</f>
        <v/>
      </c>
      <c r="Z294" s="21" t="str">
        <f t="shared" si="8"/>
        <v/>
      </c>
    </row>
    <row r="295" spans="1:26" ht="15.75" customHeight="1" x14ac:dyDescent="0.3">
      <c r="A295" s="16" t="str">
        <f t="shared" si="9"/>
        <v/>
      </c>
      <c r="B295" s="28"/>
      <c r="C295" s="29"/>
      <c r="D295" s="16"/>
      <c r="E295" s="16"/>
      <c r="F295" s="16"/>
      <c r="G295" s="16"/>
      <c r="H295" s="16"/>
      <c r="I295" s="31"/>
      <c r="J295" s="15"/>
      <c r="K295" s="15"/>
      <c r="L295" s="15"/>
      <c r="M295" s="16"/>
      <c r="N295" s="17"/>
      <c r="O295" s="19" t="str">
        <f t="shared" si="5"/>
        <v/>
      </c>
      <c r="P295" s="17"/>
      <c r="Q295" s="17" t="str">
        <f t="shared" ca="1" si="6"/>
        <v/>
      </c>
      <c r="R295" s="21" t="str">
        <f ca="1">IF($Q295="","",IF($Q295&lt;=Settings!$B$8,Settings!$C$8,IF($Q295&lt;=Settings!$B$9,Settings!$C$9,IF($Q295&lt;=Settings!$B$10,Settings!$C$10,IF($Q295&lt;=Settings!$B$11,Settings!$C$11,Settings!$C$12)))))</f>
        <v/>
      </c>
      <c r="S295" s="21" t="str">
        <f>IF($F295="","",IFERROR(VLOOKUP($F295,Settings!$E$8:$F$11,2,FALSE),0))</f>
        <v/>
      </c>
      <c r="T295" s="21">
        <f>IF($G295="",Settings!$B$16,1)</f>
        <v>1</v>
      </c>
      <c r="U295" s="21" t="str">
        <f t="shared" si="7"/>
        <v/>
      </c>
      <c r="V295" s="32" t="str">
        <f>IF($C295="","",IF($Q295&gt;Settings!$B$4,IF($G295="","|","")&amp;"OLD_7D","")&amp;IF($Q295&gt;Settings!$B$5,IF(OR($G295="", $Q295&gt;Settings!$B$4),"|","")&amp;"OLD_30D",""))</f>
        <v/>
      </c>
      <c r="W295" s="21" t="str">
        <f>IF(OR($C295="", $M295&lt;&gt;"APPROVED",$I295="", $U295=0),"",SUMIFS($U$3:$U$502,$H$3:$H$502,$H295,$M$3:$M$502,"APPROVED",$Q$3:$Q$502,"&lt;="&amp;Settings!$B$4,$I$3:$I$502,"&lt;="&amp;$I295))</f>
        <v/>
      </c>
      <c r="X295" s="21" t="str">
        <f>IF(OR($C295="", $M295&lt;&gt;"APPROVED",$I295="", $U295=0),"",SUMIFS($U$3:$U$502,$H$3:$H$502,$H295,$M$3:$M$502,"APPROVED",$Q$3:$Q$502,"&lt;="&amp;Settings!$B$5,$I$3:$I$502,"&lt;="&amp;$I295))</f>
        <v/>
      </c>
      <c r="Y295" s="21" t="str">
        <f>IF($P295="","",IFERROR(MATCH($P295,Lists!$H$2:$H$4,0),""))</f>
        <v/>
      </c>
      <c r="Z295" s="21" t="str">
        <f t="shared" si="8"/>
        <v/>
      </c>
    </row>
    <row r="296" spans="1:26" ht="15.75" customHeight="1" x14ac:dyDescent="0.3">
      <c r="A296" s="16" t="str">
        <f t="shared" si="9"/>
        <v/>
      </c>
      <c r="B296" s="28"/>
      <c r="C296" s="29"/>
      <c r="D296" s="16"/>
      <c r="E296" s="16"/>
      <c r="F296" s="16"/>
      <c r="G296" s="16"/>
      <c r="H296" s="16"/>
      <c r="I296" s="31"/>
      <c r="J296" s="15"/>
      <c r="K296" s="15"/>
      <c r="L296" s="15"/>
      <c r="M296" s="16"/>
      <c r="N296" s="17"/>
      <c r="O296" s="19" t="str">
        <f t="shared" si="5"/>
        <v/>
      </c>
      <c r="P296" s="17"/>
      <c r="Q296" s="17" t="str">
        <f t="shared" ca="1" si="6"/>
        <v/>
      </c>
      <c r="R296" s="21" t="str">
        <f ca="1">IF($Q296="","",IF($Q296&lt;=Settings!$B$8,Settings!$C$8,IF($Q296&lt;=Settings!$B$9,Settings!$C$9,IF($Q296&lt;=Settings!$B$10,Settings!$C$10,IF($Q296&lt;=Settings!$B$11,Settings!$C$11,Settings!$C$12)))))</f>
        <v/>
      </c>
      <c r="S296" s="21" t="str">
        <f>IF($F296="","",IFERROR(VLOOKUP($F296,Settings!$E$8:$F$11,2,FALSE),0))</f>
        <v/>
      </c>
      <c r="T296" s="21">
        <f>IF($G296="",Settings!$B$16,1)</f>
        <v>1</v>
      </c>
      <c r="U296" s="21" t="str">
        <f t="shared" si="7"/>
        <v/>
      </c>
      <c r="V296" s="32" t="str">
        <f>IF($C296="","",IF($Q296&gt;Settings!$B$4,IF($G296="","|","")&amp;"OLD_7D","")&amp;IF($Q296&gt;Settings!$B$5,IF(OR($G296="", $Q296&gt;Settings!$B$4),"|","")&amp;"OLD_30D",""))</f>
        <v/>
      </c>
      <c r="W296" s="21" t="str">
        <f>IF(OR($C296="", $M296&lt;&gt;"APPROVED",$I296="", $U296=0),"",SUMIFS($U$3:$U$502,$H$3:$H$502,$H296,$M$3:$M$502,"APPROVED",$Q$3:$Q$502,"&lt;="&amp;Settings!$B$4,$I$3:$I$502,"&lt;="&amp;$I296))</f>
        <v/>
      </c>
      <c r="X296" s="21" t="str">
        <f>IF(OR($C296="", $M296&lt;&gt;"APPROVED",$I296="", $U296=0),"",SUMIFS($U$3:$U$502,$H$3:$H$502,$H296,$M$3:$M$502,"APPROVED",$Q$3:$Q$502,"&lt;="&amp;Settings!$B$5,$I$3:$I$502,"&lt;="&amp;$I296))</f>
        <v/>
      </c>
      <c r="Y296" s="21" t="str">
        <f>IF($P296="","",IFERROR(MATCH($P296,Lists!$H$2:$H$4,0),""))</f>
        <v/>
      </c>
      <c r="Z296" s="21" t="str">
        <f t="shared" si="8"/>
        <v/>
      </c>
    </row>
    <row r="297" spans="1:26" ht="15.75" customHeight="1" x14ac:dyDescent="0.3">
      <c r="A297" s="16" t="str">
        <f t="shared" si="9"/>
        <v/>
      </c>
      <c r="B297" s="28"/>
      <c r="C297" s="29"/>
      <c r="D297" s="16"/>
      <c r="E297" s="16"/>
      <c r="F297" s="16"/>
      <c r="G297" s="16"/>
      <c r="H297" s="16"/>
      <c r="I297" s="31"/>
      <c r="J297" s="15"/>
      <c r="K297" s="15"/>
      <c r="L297" s="15"/>
      <c r="M297" s="16"/>
      <c r="N297" s="17"/>
      <c r="O297" s="19" t="str">
        <f t="shared" si="5"/>
        <v/>
      </c>
      <c r="P297" s="17"/>
      <c r="Q297" s="17" t="str">
        <f t="shared" ca="1" si="6"/>
        <v/>
      </c>
      <c r="R297" s="21" t="str">
        <f ca="1">IF($Q297="","",IF($Q297&lt;=Settings!$B$8,Settings!$C$8,IF($Q297&lt;=Settings!$B$9,Settings!$C$9,IF($Q297&lt;=Settings!$B$10,Settings!$C$10,IF($Q297&lt;=Settings!$B$11,Settings!$C$11,Settings!$C$12)))))</f>
        <v/>
      </c>
      <c r="S297" s="21" t="str">
        <f>IF($F297="","",IFERROR(VLOOKUP($F297,Settings!$E$8:$F$11,2,FALSE),0))</f>
        <v/>
      </c>
      <c r="T297" s="21">
        <f>IF($G297="",Settings!$B$16,1)</f>
        <v>1</v>
      </c>
      <c r="U297" s="21" t="str">
        <f t="shared" si="7"/>
        <v/>
      </c>
      <c r="V297" s="32" t="str">
        <f>IF($C297="","",IF($Q297&gt;Settings!$B$4,IF($G297="","|","")&amp;"OLD_7D","")&amp;IF($Q297&gt;Settings!$B$5,IF(OR($G297="", $Q297&gt;Settings!$B$4),"|","")&amp;"OLD_30D",""))</f>
        <v/>
      </c>
      <c r="W297" s="21" t="str">
        <f>IF(OR($C297="", $M297&lt;&gt;"APPROVED",$I297="", $U297=0),"",SUMIFS($U$3:$U$502,$H$3:$H$502,$H297,$M$3:$M$502,"APPROVED",$Q$3:$Q$502,"&lt;="&amp;Settings!$B$4,$I$3:$I$502,"&lt;="&amp;$I297))</f>
        <v/>
      </c>
      <c r="X297" s="21" t="str">
        <f>IF(OR($C297="", $M297&lt;&gt;"APPROVED",$I297="", $U297=0),"",SUMIFS($U$3:$U$502,$H$3:$H$502,$H297,$M$3:$M$502,"APPROVED",$Q$3:$Q$502,"&lt;="&amp;Settings!$B$5,$I$3:$I$502,"&lt;="&amp;$I297))</f>
        <v/>
      </c>
      <c r="Y297" s="21" t="str">
        <f>IF($P297="","",IFERROR(MATCH($P297,Lists!$H$2:$H$4,0),""))</f>
        <v/>
      </c>
      <c r="Z297" s="21" t="str">
        <f t="shared" si="8"/>
        <v/>
      </c>
    </row>
    <row r="298" spans="1:26" ht="15.75" customHeight="1" x14ac:dyDescent="0.3">
      <c r="A298" s="16" t="str">
        <f t="shared" si="9"/>
        <v/>
      </c>
      <c r="B298" s="28"/>
      <c r="C298" s="29"/>
      <c r="D298" s="16"/>
      <c r="E298" s="16"/>
      <c r="F298" s="16"/>
      <c r="G298" s="16"/>
      <c r="H298" s="16"/>
      <c r="I298" s="31"/>
      <c r="J298" s="15"/>
      <c r="K298" s="15"/>
      <c r="L298" s="15"/>
      <c r="M298" s="16"/>
      <c r="N298" s="17"/>
      <c r="O298" s="19" t="str">
        <f t="shared" si="5"/>
        <v/>
      </c>
      <c r="P298" s="17"/>
      <c r="Q298" s="17" t="str">
        <f t="shared" ca="1" si="6"/>
        <v/>
      </c>
      <c r="R298" s="21" t="str">
        <f ca="1">IF($Q298="","",IF($Q298&lt;=Settings!$B$8,Settings!$C$8,IF($Q298&lt;=Settings!$B$9,Settings!$C$9,IF($Q298&lt;=Settings!$B$10,Settings!$C$10,IF($Q298&lt;=Settings!$B$11,Settings!$C$11,Settings!$C$12)))))</f>
        <v/>
      </c>
      <c r="S298" s="21" t="str">
        <f>IF($F298="","",IFERROR(VLOOKUP($F298,Settings!$E$8:$F$11,2,FALSE),0))</f>
        <v/>
      </c>
      <c r="T298" s="21">
        <f>IF($G298="",Settings!$B$16,1)</f>
        <v>1</v>
      </c>
      <c r="U298" s="21" t="str">
        <f t="shared" si="7"/>
        <v/>
      </c>
      <c r="V298" s="32" t="str">
        <f>IF($C298="","",IF($Q298&gt;Settings!$B$4,IF($G298="","|","")&amp;"OLD_7D","")&amp;IF($Q298&gt;Settings!$B$5,IF(OR($G298="", $Q298&gt;Settings!$B$4),"|","")&amp;"OLD_30D",""))</f>
        <v/>
      </c>
      <c r="W298" s="21" t="str">
        <f>IF(OR($C298="", $M298&lt;&gt;"APPROVED",$I298="", $U298=0),"",SUMIFS($U$3:$U$502,$H$3:$H$502,$H298,$M$3:$M$502,"APPROVED",$Q$3:$Q$502,"&lt;="&amp;Settings!$B$4,$I$3:$I$502,"&lt;="&amp;$I298))</f>
        <v/>
      </c>
      <c r="X298" s="21" t="str">
        <f>IF(OR($C298="", $M298&lt;&gt;"APPROVED",$I298="", $U298=0),"",SUMIFS($U$3:$U$502,$H$3:$H$502,$H298,$M$3:$M$502,"APPROVED",$Q$3:$Q$502,"&lt;="&amp;Settings!$B$5,$I$3:$I$502,"&lt;="&amp;$I298))</f>
        <v/>
      </c>
      <c r="Y298" s="21" t="str">
        <f>IF($P298="","",IFERROR(MATCH($P298,Lists!$H$2:$H$4,0),""))</f>
        <v/>
      </c>
      <c r="Z298" s="21" t="str">
        <f t="shared" si="8"/>
        <v/>
      </c>
    </row>
    <row r="299" spans="1:26" ht="15.75" customHeight="1" x14ac:dyDescent="0.3">
      <c r="A299" s="16" t="str">
        <f t="shared" si="9"/>
        <v/>
      </c>
      <c r="B299" s="28"/>
      <c r="C299" s="29"/>
      <c r="D299" s="16"/>
      <c r="E299" s="16"/>
      <c r="F299" s="16"/>
      <c r="G299" s="16"/>
      <c r="H299" s="16"/>
      <c r="I299" s="31"/>
      <c r="J299" s="15"/>
      <c r="K299" s="15"/>
      <c r="L299" s="15"/>
      <c r="M299" s="16"/>
      <c r="N299" s="17"/>
      <c r="O299" s="19" t="str">
        <f t="shared" si="5"/>
        <v/>
      </c>
      <c r="P299" s="17"/>
      <c r="Q299" s="17" t="str">
        <f t="shared" ca="1" si="6"/>
        <v/>
      </c>
      <c r="R299" s="21" t="str">
        <f ca="1">IF($Q299="","",IF($Q299&lt;=Settings!$B$8,Settings!$C$8,IF($Q299&lt;=Settings!$B$9,Settings!$C$9,IF($Q299&lt;=Settings!$B$10,Settings!$C$10,IF($Q299&lt;=Settings!$B$11,Settings!$C$11,Settings!$C$12)))))</f>
        <v/>
      </c>
      <c r="S299" s="21" t="str">
        <f>IF($F299="","",IFERROR(VLOOKUP($F299,Settings!$E$8:$F$11,2,FALSE),0))</f>
        <v/>
      </c>
      <c r="T299" s="21">
        <f>IF($G299="",Settings!$B$16,1)</f>
        <v>1</v>
      </c>
      <c r="U299" s="21" t="str">
        <f t="shared" si="7"/>
        <v/>
      </c>
      <c r="V299" s="32" t="str">
        <f>IF($C299="","",IF($Q299&gt;Settings!$B$4,IF($G299="","|","")&amp;"OLD_7D","")&amp;IF($Q299&gt;Settings!$B$5,IF(OR($G299="", $Q299&gt;Settings!$B$4),"|","")&amp;"OLD_30D",""))</f>
        <v/>
      </c>
      <c r="W299" s="21" t="str">
        <f>IF(OR($C299="", $M299&lt;&gt;"APPROVED",$I299="", $U299=0),"",SUMIFS($U$3:$U$502,$H$3:$H$502,$H299,$M$3:$M$502,"APPROVED",$Q$3:$Q$502,"&lt;="&amp;Settings!$B$4,$I$3:$I$502,"&lt;="&amp;$I299))</f>
        <v/>
      </c>
      <c r="X299" s="21" t="str">
        <f>IF(OR($C299="", $M299&lt;&gt;"APPROVED",$I299="", $U299=0),"",SUMIFS($U$3:$U$502,$H$3:$H$502,$H299,$M$3:$M$502,"APPROVED",$Q$3:$Q$502,"&lt;="&amp;Settings!$B$5,$I$3:$I$502,"&lt;="&amp;$I299))</f>
        <v/>
      </c>
      <c r="Y299" s="21" t="str">
        <f>IF($P299="","",IFERROR(MATCH($P299,Lists!$H$2:$H$4,0),""))</f>
        <v/>
      </c>
      <c r="Z299" s="21" t="str">
        <f t="shared" si="8"/>
        <v/>
      </c>
    </row>
    <row r="300" spans="1:26" ht="15.75" customHeight="1" x14ac:dyDescent="0.3">
      <c r="A300" s="16" t="str">
        <f t="shared" si="9"/>
        <v/>
      </c>
      <c r="B300" s="28"/>
      <c r="C300" s="29"/>
      <c r="D300" s="16"/>
      <c r="E300" s="16"/>
      <c r="F300" s="16"/>
      <c r="G300" s="16"/>
      <c r="H300" s="16"/>
      <c r="I300" s="31"/>
      <c r="J300" s="15"/>
      <c r="K300" s="15"/>
      <c r="L300" s="15"/>
      <c r="M300" s="16"/>
      <c r="N300" s="17"/>
      <c r="O300" s="19" t="str">
        <f t="shared" si="5"/>
        <v/>
      </c>
      <c r="P300" s="17"/>
      <c r="Q300" s="17" t="str">
        <f t="shared" ca="1" si="6"/>
        <v/>
      </c>
      <c r="R300" s="21" t="str">
        <f ca="1">IF($Q300="","",IF($Q300&lt;=Settings!$B$8,Settings!$C$8,IF($Q300&lt;=Settings!$B$9,Settings!$C$9,IF($Q300&lt;=Settings!$B$10,Settings!$C$10,IF($Q300&lt;=Settings!$B$11,Settings!$C$11,Settings!$C$12)))))</f>
        <v/>
      </c>
      <c r="S300" s="21" t="str">
        <f>IF($F300="","",IFERROR(VLOOKUP($F300,Settings!$E$8:$F$11,2,FALSE),0))</f>
        <v/>
      </c>
      <c r="T300" s="21">
        <f>IF($G300="",Settings!$B$16,1)</f>
        <v>1</v>
      </c>
      <c r="U300" s="21" t="str">
        <f t="shared" si="7"/>
        <v/>
      </c>
      <c r="V300" s="32" t="str">
        <f>IF($C300="","",IF($Q300&gt;Settings!$B$4,IF($G300="","|","")&amp;"OLD_7D","")&amp;IF($Q300&gt;Settings!$B$5,IF(OR($G300="", $Q300&gt;Settings!$B$4),"|","")&amp;"OLD_30D",""))</f>
        <v/>
      </c>
      <c r="W300" s="21" t="str">
        <f>IF(OR($C300="", $M300&lt;&gt;"APPROVED",$I300="", $U300=0),"",SUMIFS($U$3:$U$502,$H$3:$H$502,$H300,$M$3:$M$502,"APPROVED",$Q$3:$Q$502,"&lt;="&amp;Settings!$B$4,$I$3:$I$502,"&lt;="&amp;$I300))</f>
        <v/>
      </c>
      <c r="X300" s="21" t="str">
        <f>IF(OR($C300="", $M300&lt;&gt;"APPROVED",$I300="", $U300=0),"",SUMIFS($U$3:$U$502,$H$3:$H$502,$H300,$M$3:$M$502,"APPROVED",$Q$3:$Q$502,"&lt;="&amp;Settings!$B$5,$I$3:$I$502,"&lt;="&amp;$I300))</f>
        <v/>
      </c>
      <c r="Y300" s="21" t="str">
        <f>IF($P300="","",IFERROR(MATCH($P300,Lists!$H$2:$H$4,0),""))</f>
        <v/>
      </c>
      <c r="Z300" s="21" t="str">
        <f t="shared" si="8"/>
        <v/>
      </c>
    </row>
    <row r="301" spans="1:26" ht="15.75" customHeight="1" x14ac:dyDescent="0.3">
      <c r="A301" s="16" t="str">
        <f t="shared" si="9"/>
        <v/>
      </c>
      <c r="B301" s="28"/>
      <c r="C301" s="29"/>
      <c r="D301" s="16"/>
      <c r="E301" s="16"/>
      <c r="F301" s="16"/>
      <c r="G301" s="16"/>
      <c r="H301" s="16"/>
      <c r="I301" s="31"/>
      <c r="J301" s="15"/>
      <c r="K301" s="15"/>
      <c r="L301" s="15"/>
      <c r="M301" s="16"/>
      <c r="N301" s="17"/>
      <c r="O301" s="19" t="str">
        <f t="shared" si="5"/>
        <v/>
      </c>
      <c r="P301" s="17"/>
      <c r="Q301" s="17" t="str">
        <f t="shared" ca="1" si="6"/>
        <v/>
      </c>
      <c r="R301" s="21" t="str">
        <f ca="1">IF($Q301="","",IF($Q301&lt;=Settings!$B$8,Settings!$C$8,IF($Q301&lt;=Settings!$B$9,Settings!$C$9,IF($Q301&lt;=Settings!$B$10,Settings!$C$10,IF($Q301&lt;=Settings!$B$11,Settings!$C$11,Settings!$C$12)))))</f>
        <v/>
      </c>
      <c r="S301" s="21" t="str">
        <f>IF($F301="","",IFERROR(VLOOKUP($F301,Settings!$E$8:$F$11,2,FALSE),0))</f>
        <v/>
      </c>
      <c r="T301" s="21">
        <f>IF($G301="",Settings!$B$16,1)</f>
        <v>1</v>
      </c>
      <c r="U301" s="21" t="str">
        <f t="shared" si="7"/>
        <v/>
      </c>
      <c r="V301" s="32" t="str">
        <f>IF($C301="","",IF($Q301&gt;Settings!$B$4,IF($G301="","|","")&amp;"OLD_7D","")&amp;IF($Q301&gt;Settings!$B$5,IF(OR($G301="", $Q301&gt;Settings!$B$4),"|","")&amp;"OLD_30D",""))</f>
        <v/>
      </c>
      <c r="W301" s="21" t="str">
        <f>IF(OR($C301="", $M301&lt;&gt;"APPROVED",$I301="", $U301=0),"",SUMIFS($U$3:$U$502,$H$3:$H$502,$H301,$M$3:$M$502,"APPROVED",$Q$3:$Q$502,"&lt;="&amp;Settings!$B$4,$I$3:$I$502,"&lt;="&amp;$I301))</f>
        <v/>
      </c>
      <c r="X301" s="21" t="str">
        <f>IF(OR($C301="", $M301&lt;&gt;"APPROVED",$I301="", $U301=0),"",SUMIFS($U$3:$U$502,$H$3:$H$502,$H301,$M$3:$M$502,"APPROVED",$Q$3:$Q$502,"&lt;="&amp;Settings!$B$5,$I$3:$I$502,"&lt;="&amp;$I301))</f>
        <v/>
      </c>
      <c r="Y301" s="21" t="str">
        <f>IF($P301="","",IFERROR(MATCH($P301,Lists!$H$2:$H$4,0),""))</f>
        <v/>
      </c>
      <c r="Z301" s="21" t="str">
        <f t="shared" si="8"/>
        <v/>
      </c>
    </row>
    <row r="302" spans="1:26" ht="15.75" customHeight="1" x14ac:dyDescent="0.3">
      <c r="A302" s="16" t="str">
        <f t="shared" si="9"/>
        <v/>
      </c>
      <c r="B302" s="28"/>
      <c r="C302" s="29"/>
      <c r="D302" s="16"/>
      <c r="E302" s="16"/>
      <c r="F302" s="16"/>
      <c r="G302" s="16"/>
      <c r="H302" s="16"/>
      <c r="I302" s="31"/>
      <c r="J302" s="15"/>
      <c r="K302" s="15"/>
      <c r="L302" s="15"/>
      <c r="M302" s="16"/>
      <c r="N302" s="17"/>
      <c r="O302" s="19" t="str">
        <f t="shared" si="5"/>
        <v/>
      </c>
      <c r="P302" s="17"/>
      <c r="Q302" s="17" t="str">
        <f t="shared" ca="1" si="6"/>
        <v/>
      </c>
      <c r="R302" s="21" t="str">
        <f ca="1">IF($Q302="","",IF($Q302&lt;=Settings!$B$8,Settings!$C$8,IF($Q302&lt;=Settings!$B$9,Settings!$C$9,IF($Q302&lt;=Settings!$B$10,Settings!$C$10,IF($Q302&lt;=Settings!$B$11,Settings!$C$11,Settings!$C$12)))))</f>
        <v/>
      </c>
      <c r="S302" s="21" t="str">
        <f>IF($F302="","",IFERROR(VLOOKUP($F302,Settings!$E$8:$F$11,2,FALSE),0))</f>
        <v/>
      </c>
      <c r="T302" s="21">
        <f>IF($G302="",Settings!$B$16,1)</f>
        <v>1</v>
      </c>
      <c r="U302" s="21" t="str">
        <f t="shared" si="7"/>
        <v/>
      </c>
      <c r="V302" s="32" t="str">
        <f>IF($C302="","",IF($Q302&gt;Settings!$B$4,IF($G302="","|","")&amp;"OLD_7D","")&amp;IF($Q302&gt;Settings!$B$5,IF(OR($G302="", $Q302&gt;Settings!$B$4),"|","")&amp;"OLD_30D",""))</f>
        <v/>
      </c>
      <c r="W302" s="21" t="str">
        <f>IF(OR($C302="", $M302&lt;&gt;"APPROVED",$I302="", $U302=0),"",SUMIFS($U$3:$U$502,$H$3:$H$502,$H302,$M$3:$M$502,"APPROVED",$Q$3:$Q$502,"&lt;="&amp;Settings!$B$4,$I$3:$I$502,"&lt;="&amp;$I302))</f>
        <v/>
      </c>
      <c r="X302" s="21" t="str">
        <f>IF(OR($C302="", $M302&lt;&gt;"APPROVED",$I302="", $U302=0),"",SUMIFS($U$3:$U$502,$H$3:$H$502,$H302,$M$3:$M$502,"APPROVED",$Q$3:$Q$502,"&lt;="&amp;Settings!$B$5,$I$3:$I$502,"&lt;="&amp;$I302))</f>
        <v/>
      </c>
      <c r="Y302" s="21" t="str">
        <f>IF($P302="","",IFERROR(MATCH($P302,Lists!$H$2:$H$4,0),""))</f>
        <v/>
      </c>
      <c r="Z302" s="21" t="str">
        <f t="shared" si="8"/>
        <v/>
      </c>
    </row>
    <row r="303" spans="1:26" ht="15.75" customHeight="1" x14ac:dyDescent="0.3">
      <c r="A303" s="16" t="str">
        <f t="shared" si="9"/>
        <v/>
      </c>
      <c r="B303" s="28"/>
      <c r="C303" s="29"/>
      <c r="D303" s="16"/>
      <c r="E303" s="16"/>
      <c r="F303" s="16"/>
      <c r="G303" s="16"/>
      <c r="H303" s="16"/>
      <c r="I303" s="31"/>
      <c r="J303" s="15"/>
      <c r="K303" s="15"/>
      <c r="L303" s="15"/>
      <c r="M303" s="16"/>
      <c r="N303" s="17"/>
      <c r="O303" s="19" t="str">
        <f t="shared" si="5"/>
        <v/>
      </c>
      <c r="P303" s="17"/>
      <c r="Q303" s="17" t="str">
        <f t="shared" ca="1" si="6"/>
        <v/>
      </c>
      <c r="R303" s="21" t="str">
        <f ca="1">IF($Q303="","",IF($Q303&lt;=Settings!$B$8,Settings!$C$8,IF($Q303&lt;=Settings!$B$9,Settings!$C$9,IF($Q303&lt;=Settings!$B$10,Settings!$C$10,IF($Q303&lt;=Settings!$B$11,Settings!$C$11,Settings!$C$12)))))</f>
        <v/>
      </c>
      <c r="S303" s="21" t="str">
        <f>IF($F303="","",IFERROR(VLOOKUP($F303,Settings!$E$8:$F$11,2,FALSE),0))</f>
        <v/>
      </c>
      <c r="T303" s="21">
        <f>IF($G303="",Settings!$B$16,1)</f>
        <v>1</v>
      </c>
      <c r="U303" s="21" t="str">
        <f t="shared" si="7"/>
        <v/>
      </c>
      <c r="V303" s="32" t="str">
        <f>IF($C303="","",IF($Q303&gt;Settings!$B$4,IF($G303="","|","")&amp;"OLD_7D","")&amp;IF($Q303&gt;Settings!$B$5,IF(OR($G303="", $Q303&gt;Settings!$B$4),"|","")&amp;"OLD_30D",""))</f>
        <v/>
      </c>
      <c r="W303" s="21" t="str">
        <f>IF(OR($C303="", $M303&lt;&gt;"APPROVED",$I303="", $U303=0),"",SUMIFS($U$3:$U$502,$H$3:$H$502,$H303,$M$3:$M$502,"APPROVED",$Q$3:$Q$502,"&lt;="&amp;Settings!$B$4,$I$3:$I$502,"&lt;="&amp;$I303))</f>
        <v/>
      </c>
      <c r="X303" s="21" t="str">
        <f>IF(OR($C303="", $M303&lt;&gt;"APPROVED",$I303="", $U303=0),"",SUMIFS($U$3:$U$502,$H$3:$H$502,$H303,$M$3:$M$502,"APPROVED",$Q$3:$Q$502,"&lt;="&amp;Settings!$B$5,$I$3:$I$502,"&lt;="&amp;$I303))</f>
        <v/>
      </c>
      <c r="Y303" s="21" t="str">
        <f>IF($P303="","",IFERROR(MATCH($P303,Lists!$H$2:$H$4,0),""))</f>
        <v/>
      </c>
      <c r="Z303" s="21" t="str">
        <f t="shared" si="8"/>
        <v/>
      </c>
    </row>
    <row r="304" spans="1:26" ht="15.75" customHeight="1" x14ac:dyDescent="0.3">
      <c r="A304" s="16" t="str">
        <f t="shared" si="9"/>
        <v/>
      </c>
      <c r="B304" s="28"/>
      <c r="C304" s="29"/>
      <c r="D304" s="16"/>
      <c r="E304" s="16"/>
      <c r="F304" s="16"/>
      <c r="G304" s="16"/>
      <c r="H304" s="16"/>
      <c r="I304" s="31"/>
      <c r="J304" s="15"/>
      <c r="K304" s="15"/>
      <c r="L304" s="15"/>
      <c r="M304" s="16"/>
      <c r="N304" s="17"/>
      <c r="O304" s="19" t="str">
        <f t="shared" si="5"/>
        <v/>
      </c>
      <c r="P304" s="17"/>
      <c r="Q304" s="17" t="str">
        <f t="shared" ca="1" si="6"/>
        <v/>
      </c>
      <c r="R304" s="21" t="str">
        <f ca="1">IF($Q304="","",IF($Q304&lt;=Settings!$B$8,Settings!$C$8,IF($Q304&lt;=Settings!$B$9,Settings!$C$9,IF($Q304&lt;=Settings!$B$10,Settings!$C$10,IF($Q304&lt;=Settings!$B$11,Settings!$C$11,Settings!$C$12)))))</f>
        <v/>
      </c>
      <c r="S304" s="21" t="str">
        <f>IF($F304="","",IFERROR(VLOOKUP($F304,Settings!$E$8:$F$11,2,FALSE),0))</f>
        <v/>
      </c>
      <c r="T304" s="21">
        <f>IF($G304="",Settings!$B$16,1)</f>
        <v>1</v>
      </c>
      <c r="U304" s="21" t="str">
        <f t="shared" si="7"/>
        <v/>
      </c>
      <c r="V304" s="32" t="str">
        <f>IF($C304="","",IF($Q304&gt;Settings!$B$4,IF($G304="","|","")&amp;"OLD_7D","")&amp;IF($Q304&gt;Settings!$B$5,IF(OR($G304="", $Q304&gt;Settings!$B$4),"|","")&amp;"OLD_30D",""))</f>
        <v/>
      </c>
      <c r="W304" s="21" t="str">
        <f>IF(OR($C304="", $M304&lt;&gt;"APPROVED",$I304="", $U304=0),"",SUMIFS($U$3:$U$502,$H$3:$H$502,$H304,$M$3:$M$502,"APPROVED",$Q$3:$Q$502,"&lt;="&amp;Settings!$B$4,$I$3:$I$502,"&lt;="&amp;$I304))</f>
        <v/>
      </c>
      <c r="X304" s="21" t="str">
        <f>IF(OR($C304="", $M304&lt;&gt;"APPROVED",$I304="", $U304=0),"",SUMIFS($U$3:$U$502,$H$3:$H$502,$H304,$M$3:$M$502,"APPROVED",$Q$3:$Q$502,"&lt;="&amp;Settings!$B$5,$I$3:$I$502,"&lt;="&amp;$I304))</f>
        <v/>
      </c>
      <c r="Y304" s="21" t="str">
        <f>IF($P304="","",IFERROR(MATCH($P304,Lists!$H$2:$H$4,0),""))</f>
        <v/>
      </c>
      <c r="Z304" s="21" t="str">
        <f t="shared" si="8"/>
        <v/>
      </c>
    </row>
    <row r="305" spans="1:26" ht="15.75" customHeight="1" x14ac:dyDescent="0.3">
      <c r="A305" s="16" t="str">
        <f t="shared" si="9"/>
        <v/>
      </c>
      <c r="B305" s="28"/>
      <c r="C305" s="29"/>
      <c r="D305" s="16"/>
      <c r="E305" s="16"/>
      <c r="F305" s="16"/>
      <c r="G305" s="16"/>
      <c r="H305" s="16"/>
      <c r="I305" s="31"/>
      <c r="J305" s="15"/>
      <c r="K305" s="15"/>
      <c r="L305" s="15"/>
      <c r="M305" s="16"/>
      <c r="N305" s="17"/>
      <c r="O305" s="19" t="str">
        <f t="shared" si="5"/>
        <v/>
      </c>
      <c r="P305" s="17"/>
      <c r="Q305" s="17" t="str">
        <f t="shared" ca="1" si="6"/>
        <v/>
      </c>
      <c r="R305" s="21" t="str">
        <f ca="1">IF($Q305="","",IF($Q305&lt;=Settings!$B$8,Settings!$C$8,IF($Q305&lt;=Settings!$B$9,Settings!$C$9,IF($Q305&lt;=Settings!$B$10,Settings!$C$10,IF($Q305&lt;=Settings!$B$11,Settings!$C$11,Settings!$C$12)))))</f>
        <v/>
      </c>
      <c r="S305" s="21" t="str">
        <f>IF($F305="","",IFERROR(VLOOKUP($F305,Settings!$E$8:$F$11,2,FALSE),0))</f>
        <v/>
      </c>
      <c r="T305" s="21">
        <f>IF($G305="",Settings!$B$16,1)</f>
        <v>1</v>
      </c>
      <c r="U305" s="21" t="str">
        <f t="shared" si="7"/>
        <v/>
      </c>
      <c r="V305" s="32" t="str">
        <f>IF($C305="","",IF($Q305&gt;Settings!$B$4,IF($G305="","|","")&amp;"OLD_7D","")&amp;IF($Q305&gt;Settings!$B$5,IF(OR($G305="", $Q305&gt;Settings!$B$4),"|","")&amp;"OLD_30D",""))</f>
        <v/>
      </c>
      <c r="W305" s="21" t="str">
        <f>IF(OR($C305="", $M305&lt;&gt;"APPROVED",$I305="", $U305=0),"",SUMIFS($U$3:$U$502,$H$3:$H$502,$H305,$M$3:$M$502,"APPROVED",$Q$3:$Q$502,"&lt;="&amp;Settings!$B$4,$I$3:$I$502,"&lt;="&amp;$I305))</f>
        <v/>
      </c>
      <c r="X305" s="21" t="str">
        <f>IF(OR($C305="", $M305&lt;&gt;"APPROVED",$I305="", $U305=0),"",SUMIFS($U$3:$U$502,$H$3:$H$502,$H305,$M$3:$M$502,"APPROVED",$Q$3:$Q$502,"&lt;="&amp;Settings!$B$5,$I$3:$I$502,"&lt;="&amp;$I305))</f>
        <v/>
      </c>
      <c r="Y305" s="21" t="str">
        <f>IF($P305="","",IFERROR(MATCH($P305,Lists!$H$2:$H$4,0),""))</f>
        <v/>
      </c>
      <c r="Z305" s="21" t="str">
        <f t="shared" si="8"/>
        <v/>
      </c>
    </row>
    <row r="306" spans="1:26" ht="15.75" customHeight="1" x14ac:dyDescent="0.3">
      <c r="A306" s="16" t="str">
        <f t="shared" si="9"/>
        <v/>
      </c>
      <c r="B306" s="28"/>
      <c r="C306" s="29"/>
      <c r="D306" s="16"/>
      <c r="E306" s="16"/>
      <c r="F306" s="16"/>
      <c r="G306" s="16"/>
      <c r="H306" s="16"/>
      <c r="I306" s="31"/>
      <c r="J306" s="15"/>
      <c r="K306" s="15"/>
      <c r="L306" s="15"/>
      <c r="M306" s="16"/>
      <c r="N306" s="17"/>
      <c r="O306" s="19" t="str">
        <f t="shared" si="5"/>
        <v/>
      </c>
      <c r="P306" s="17"/>
      <c r="Q306" s="17" t="str">
        <f t="shared" ca="1" si="6"/>
        <v/>
      </c>
      <c r="R306" s="21" t="str">
        <f ca="1">IF($Q306="","",IF($Q306&lt;=Settings!$B$8,Settings!$C$8,IF($Q306&lt;=Settings!$B$9,Settings!$C$9,IF($Q306&lt;=Settings!$B$10,Settings!$C$10,IF($Q306&lt;=Settings!$B$11,Settings!$C$11,Settings!$C$12)))))</f>
        <v/>
      </c>
      <c r="S306" s="21" t="str">
        <f>IF($F306="","",IFERROR(VLOOKUP($F306,Settings!$E$8:$F$11,2,FALSE),0))</f>
        <v/>
      </c>
      <c r="T306" s="21">
        <f>IF($G306="",Settings!$B$16,1)</f>
        <v>1</v>
      </c>
      <c r="U306" s="21" t="str">
        <f t="shared" si="7"/>
        <v/>
      </c>
      <c r="V306" s="32" t="str">
        <f>IF($C306="","",IF($Q306&gt;Settings!$B$4,IF($G306="","|","")&amp;"OLD_7D","")&amp;IF($Q306&gt;Settings!$B$5,IF(OR($G306="", $Q306&gt;Settings!$B$4),"|","")&amp;"OLD_30D",""))</f>
        <v/>
      </c>
      <c r="W306" s="21" t="str">
        <f>IF(OR($C306="", $M306&lt;&gt;"APPROVED",$I306="", $U306=0),"",SUMIFS($U$3:$U$502,$H$3:$H$502,$H306,$M$3:$M$502,"APPROVED",$Q$3:$Q$502,"&lt;="&amp;Settings!$B$4,$I$3:$I$502,"&lt;="&amp;$I306))</f>
        <v/>
      </c>
      <c r="X306" s="21" t="str">
        <f>IF(OR($C306="", $M306&lt;&gt;"APPROVED",$I306="", $U306=0),"",SUMIFS($U$3:$U$502,$H$3:$H$502,$H306,$M$3:$M$502,"APPROVED",$Q$3:$Q$502,"&lt;="&amp;Settings!$B$5,$I$3:$I$502,"&lt;="&amp;$I306))</f>
        <v/>
      </c>
      <c r="Y306" s="21" t="str">
        <f>IF($P306="","",IFERROR(MATCH($P306,Lists!$H$2:$H$4,0),""))</f>
        <v/>
      </c>
      <c r="Z306" s="21" t="str">
        <f t="shared" si="8"/>
        <v/>
      </c>
    </row>
    <row r="307" spans="1:26" ht="15.75" customHeight="1" x14ac:dyDescent="0.3">
      <c r="A307" s="16" t="str">
        <f t="shared" si="9"/>
        <v/>
      </c>
      <c r="B307" s="28"/>
      <c r="C307" s="29"/>
      <c r="D307" s="16"/>
      <c r="E307" s="16"/>
      <c r="F307" s="16"/>
      <c r="G307" s="16"/>
      <c r="H307" s="16"/>
      <c r="I307" s="31"/>
      <c r="J307" s="15"/>
      <c r="K307" s="15"/>
      <c r="L307" s="15"/>
      <c r="M307" s="16"/>
      <c r="N307" s="17"/>
      <c r="O307" s="19" t="str">
        <f t="shared" si="5"/>
        <v/>
      </c>
      <c r="P307" s="17"/>
      <c r="Q307" s="17" t="str">
        <f t="shared" ca="1" si="6"/>
        <v/>
      </c>
      <c r="R307" s="21" t="str">
        <f ca="1">IF($Q307="","",IF($Q307&lt;=Settings!$B$8,Settings!$C$8,IF($Q307&lt;=Settings!$B$9,Settings!$C$9,IF($Q307&lt;=Settings!$B$10,Settings!$C$10,IF($Q307&lt;=Settings!$B$11,Settings!$C$11,Settings!$C$12)))))</f>
        <v/>
      </c>
      <c r="S307" s="21" t="str">
        <f>IF($F307="","",IFERROR(VLOOKUP($F307,Settings!$E$8:$F$11,2,FALSE),0))</f>
        <v/>
      </c>
      <c r="T307" s="21">
        <f>IF($G307="",Settings!$B$16,1)</f>
        <v>1</v>
      </c>
      <c r="U307" s="21" t="str">
        <f t="shared" si="7"/>
        <v/>
      </c>
      <c r="V307" s="32" t="str">
        <f>IF($C307="","",IF($Q307&gt;Settings!$B$4,IF($G307="","|","")&amp;"OLD_7D","")&amp;IF($Q307&gt;Settings!$B$5,IF(OR($G307="", $Q307&gt;Settings!$B$4),"|","")&amp;"OLD_30D",""))</f>
        <v/>
      </c>
      <c r="W307" s="21" t="str">
        <f>IF(OR($C307="", $M307&lt;&gt;"APPROVED",$I307="", $U307=0),"",SUMIFS($U$3:$U$502,$H$3:$H$502,$H307,$M$3:$M$502,"APPROVED",$Q$3:$Q$502,"&lt;="&amp;Settings!$B$4,$I$3:$I$502,"&lt;="&amp;$I307))</f>
        <v/>
      </c>
      <c r="X307" s="21" t="str">
        <f>IF(OR($C307="", $M307&lt;&gt;"APPROVED",$I307="", $U307=0),"",SUMIFS($U$3:$U$502,$H$3:$H$502,$H307,$M$3:$M$502,"APPROVED",$Q$3:$Q$502,"&lt;="&amp;Settings!$B$5,$I$3:$I$502,"&lt;="&amp;$I307))</f>
        <v/>
      </c>
      <c r="Y307" s="21" t="str">
        <f>IF($P307="","",IFERROR(MATCH($P307,Lists!$H$2:$H$4,0),""))</f>
        <v/>
      </c>
      <c r="Z307" s="21" t="str">
        <f t="shared" si="8"/>
        <v/>
      </c>
    </row>
    <row r="308" spans="1:26" ht="15.75" customHeight="1" x14ac:dyDescent="0.3">
      <c r="A308" s="16" t="str">
        <f t="shared" si="9"/>
        <v/>
      </c>
      <c r="B308" s="28"/>
      <c r="C308" s="29"/>
      <c r="D308" s="16"/>
      <c r="E308" s="16"/>
      <c r="F308" s="16"/>
      <c r="G308" s="16"/>
      <c r="H308" s="16"/>
      <c r="I308" s="31"/>
      <c r="J308" s="15"/>
      <c r="K308" s="15"/>
      <c r="L308" s="15"/>
      <c r="M308" s="16"/>
      <c r="N308" s="17"/>
      <c r="O308" s="19" t="str">
        <f t="shared" si="5"/>
        <v/>
      </c>
      <c r="P308" s="17"/>
      <c r="Q308" s="17" t="str">
        <f t="shared" ca="1" si="6"/>
        <v/>
      </c>
      <c r="R308" s="21" t="str">
        <f ca="1">IF($Q308="","",IF($Q308&lt;=Settings!$B$8,Settings!$C$8,IF($Q308&lt;=Settings!$B$9,Settings!$C$9,IF($Q308&lt;=Settings!$B$10,Settings!$C$10,IF($Q308&lt;=Settings!$B$11,Settings!$C$11,Settings!$C$12)))))</f>
        <v/>
      </c>
      <c r="S308" s="21" t="str">
        <f>IF($F308="","",IFERROR(VLOOKUP($F308,Settings!$E$8:$F$11,2,FALSE),0))</f>
        <v/>
      </c>
      <c r="T308" s="21">
        <f>IF($G308="",Settings!$B$16,1)</f>
        <v>1</v>
      </c>
      <c r="U308" s="21" t="str">
        <f t="shared" si="7"/>
        <v/>
      </c>
      <c r="V308" s="32" t="str">
        <f>IF($C308="","",IF($Q308&gt;Settings!$B$4,IF($G308="","|","")&amp;"OLD_7D","")&amp;IF($Q308&gt;Settings!$B$5,IF(OR($G308="", $Q308&gt;Settings!$B$4),"|","")&amp;"OLD_30D",""))</f>
        <v/>
      </c>
      <c r="W308" s="21" t="str">
        <f>IF(OR($C308="", $M308&lt;&gt;"APPROVED",$I308="", $U308=0),"",SUMIFS($U$3:$U$502,$H$3:$H$502,$H308,$M$3:$M$502,"APPROVED",$Q$3:$Q$502,"&lt;="&amp;Settings!$B$4,$I$3:$I$502,"&lt;="&amp;$I308))</f>
        <v/>
      </c>
      <c r="X308" s="21" t="str">
        <f>IF(OR($C308="", $M308&lt;&gt;"APPROVED",$I308="", $U308=0),"",SUMIFS($U$3:$U$502,$H$3:$H$502,$H308,$M$3:$M$502,"APPROVED",$Q$3:$Q$502,"&lt;="&amp;Settings!$B$5,$I$3:$I$502,"&lt;="&amp;$I308))</f>
        <v/>
      </c>
      <c r="Y308" s="21" t="str">
        <f>IF($P308="","",IFERROR(MATCH($P308,Lists!$H$2:$H$4,0),""))</f>
        <v/>
      </c>
      <c r="Z308" s="21" t="str">
        <f t="shared" si="8"/>
        <v/>
      </c>
    </row>
    <row r="309" spans="1:26" ht="15.75" customHeight="1" x14ac:dyDescent="0.3">
      <c r="A309" s="16" t="str">
        <f t="shared" si="9"/>
        <v/>
      </c>
      <c r="B309" s="28"/>
      <c r="C309" s="29"/>
      <c r="D309" s="16"/>
      <c r="E309" s="16"/>
      <c r="F309" s="16"/>
      <c r="G309" s="16"/>
      <c r="H309" s="16"/>
      <c r="I309" s="31"/>
      <c r="J309" s="15"/>
      <c r="K309" s="15"/>
      <c r="L309" s="15"/>
      <c r="M309" s="16"/>
      <c r="N309" s="17"/>
      <c r="O309" s="19" t="str">
        <f t="shared" si="5"/>
        <v/>
      </c>
      <c r="P309" s="17"/>
      <c r="Q309" s="17" t="str">
        <f t="shared" ca="1" si="6"/>
        <v/>
      </c>
      <c r="R309" s="21" t="str">
        <f ca="1">IF($Q309="","",IF($Q309&lt;=Settings!$B$8,Settings!$C$8,IF($Q309&lt;=Settings!$B$9,Settings!$C$9,IF($Q309&lt;=Settings!$B$10,Settings!$C$10,IF($Q309&lt;=Settings!$B$11,Settings!$C$11,Settings!$C$12)))))</f>
        <v/>
      </c>
      <c r="S309" s="21" t="str">
        <f>IF($F309="","",IFERROR(VLOOKUP($F309,Settings!$E$8:$F$11,2,FALSE),0))</f>
        <v/>
      </c>
      <c r="T309" s="21">
        <f>IF($G309="",Settings!$B$16,1)</f>
        <v>1</v>
      </c>
      <c r="U309" s="21" t="str">
        <f t="shared" si="7"/>
        <v/>
      </c>
      <c r="V309" s="32" t="str">
        <f>IF($C309="","",IF($Q309&gt;Settings!$B$4,IF($G309="","|","")&amp;"OLD_7D","")&amp;IF($Q309&gt;Settings!$B$5,IF(OR($G309="", $Q309&gt;Settings!$B$4),"|","")&amp;"OLD_30D",""))</f>
        <v/>
      </c>
      <c r="W309" s="21" t="str">
        <f>IF(OR($C309="", $M309&lt;&gt;"APPROVED",$I309="", $U309=0),"",SUMIFS($U$3:$U$502,$H$3:$H$502,$H309,$M$3:$M$502,"APPROVED",$Q$3:$Q$502,"&lt;="&amp;Settings!$B$4,$I$3:$I$502,"&lt;="&amp;$I309))</f>
        <v/>
      </c>
      <c r="X309" s="21" t="str">
        <f>IF(OR($C309="", $M309&lt;&gt;"APPROVED",$I309="", $U309=0),"",SUMIFS($U$3:$U$502,$H$3:$H$502,$H309,$M$3:$M$502,"APPROVED",$Q$3:$Q$502,"&lt;="&amp;Settings!$B$5,$I$3:$I$502,"&lt;="&amp;$I309))</f>
        <v/>
      </c>
      <c r="Y309" s="21" t="str">
        <f>IF($P309="","",IFERROR(MATCH($P309,Lists!$H$2:$H$4,0),""))</f>
        <v/>
      </c>
      <c r="Z309" s="21" t="str">
        <f t="shared" si="8"/>
        <v/>
      </c>
    </row>
    <row r="310" spans="1:26" ht="15.75" customHeight="1" x14ac:dyDescent="0.3">
      <c r="A310" s="16" t="str">
        <f t="shared" si="9"/>
        <v/>
      </c>
      <c r="B310" s="28"/>
      <c r="C310" s="29"/>
      <c r="D310" s="16"/>
      <c r="E310" s="16"/>
      <c r="F310" s="16"/>
      <c r="G310" s="16"/>
      <c r="H310" s="16"/>
      <c r="I310" s="31"/>
      <c r="J310" s="15"/>
      <c r="K310" s="15"/>
      <c r="L310" s="15"/>
      <c r="M310" s="16"/>
      <c r="N310" s="17"/>
      <c r="O310" s="19" t="str">
        <f t="shared" si="5"/>
        <v/>
      </c>
      <c r="P310" s="17"/>
      <c r="Q310" s="17" t="str">
        <f t="shared" ca="1" si="6"/>
        <v/>
      </c>
      <c r="R310" s="21" t="str">
        <f ca="1">IF($Q310="","",IF($Q310&lt;=Settings!$B$8,Settings!$C$8,IF($Q310&lt;=Settings!$B$9,Settings!$C$9,IF($Q310&lt;=Settings!$B$10,Settings!$C$10,IF($Q310&lt;=Settings!$B$11,Settings!$C$11,Settings!$C$12)))))</f>
        <v/>
      </c>
      <c r="S310" s="21" t="str">
        <f>IF($F310="","",IFERROR(VLOOKUP($F310,Settings!$E$8:$F$11,2,FALSE),0))</f>
        <v/>
      </c>
      <c r="T310" s="21">
        <f>IF($G310="",Settings!$B$16,1)</f>
        <v>1</v>
      </c>
      <c r="U310" s="21" t="str">
        <f t="shared" si="7"/>
        <v/>
      </c>
      <c r="V310" s="32" t="str">
        <f>IF($C310="","",IF($Q310&gt;Settings!$B$4,IF($G310="","|","")&amp;"OLD_7D","")&amp;IF($Q310&gt;Settings!$B$5,IF(OR($G310="", $Q310&gt;Settings!$B$4),"|","")&amp;"OLD_30D",""))</f>
        <v/>
      </c>
      <c r="W310" s="21" t="str">
        <f>IF(OR($C310="", $M310&lt;&gt;"APPROVED",$I310="", $U310=0),"",SUMIFS($U$3:$U$502,$H$3:$H$502,$H310,$M$3:$M$502,"APPROVED",$Q$3:$Q$502,"&lt;="&amp;Settings!$B$4,$I$3:$I$502,"&lt;="&amp;$I310))</f>
        <v/>
      </c>
      <c r="X310" s="21" t="str">
        <f>IF(OR($C310="", $M310&lt;&gt;"APPROVED",$I310="", $U310=0),"",SUMIFS($U$3:$U$502,$H$3:$H$502,$H310,$M$3:$M$502,"APPROVED",$Q$3:$Q$502,"&lt;="&amp;Settings!$B$5,$I$3:$I$502,"&lt;="&amp;$I310))</f>
        <v/>
      </c>
      <c r="Y310" s="21" t="str">
        <f>IF($P310="","",IFERROR(MATCH($P310,Lists!$H$2:$H$4,0),""))</f>
        <v/>
      </c>
      <c r="Z310" s="21" t="str">
        <f t="shared" si="8"/>
        <v/>
      </c>
    </row>
    <row r="311" spans="1:26" ht="15.75" customHeight="1" x14ac:dyDescent="0.3">
      <c r="A311" s="16" t="str">
        <f t="shared" si="9"/>
        <v/>
      </c>
      <c r="B311" s="28"/>
      <c r="C311" s="29"/>
      <c r="D311" s="16"/>
      <c r="E311" s="16"/>
      <c r="F311" s="16"/>
      <c r="G311" s="16"/>
      <c r="H311" s="16"/>
      <c r="I311" s="31"/>
      <c r="J311" s="15"/>
      <c r="K311" s="15"/>
      <c r="L311" s="15"/>
      <c r="M311" s="16"/>
      <c r="N311" s="17"/>
      <c r="O311" s="19" t="str">
        <f t="shared" si="5"/>
        <v/>
      </c>
      <c r="P311" s="17"/>
      <c r="Q311" s="17" t="str">
        <f t="shared" ca="1" si="6"/>
        <v/>
      </c>
      <c r="R311" s="21" t="str">
        <f ca="1">IF($Q311="","",IF($Q311&lt;=Settings!$B$8,Settings!$C$8,IF($Q311&lt;=Settings!$B$9,Settings!$C$9,IF($Q311&lt;=Settings!$B$10,Settings!$C$10,IF($Q311&lt;=Settings!$B$11,Settings!$C$11,Settings!$C$12)))))</f>
        <v/>
      </c>
      <c r="S311" s="21" t="str">
        <f>IF($F311="","",IFERROR(VLOOKUP($F311,Settings!$E$8:$F$11,2,FALSE),0))</f>
        <v/>
      </c>
      <c r="T311" s="21">
        <f>IF($G311="",Settings!$B$16,1)</f>
        <v>1</v>
      </c>
      <c r="U311" s="21" t="str">
        <f t="shared" si="7"/>
        <v/>
      </c>
      <c r="V311" s="32" t="str">
        <f>IF($C311="","",IF($Q311&gt;Settings!$B$4,IF($G311="","|","")&amp;"OLD_7D","")&amp;IF($Q311&gt;Settings!$B$5,IF(OR($G311="", $Q311&gt;Settings!$B$4),"|","")&amp;"OLD_30D",""))</f>
        <v/>
      </c>
      <c r="W311" s="21" t="str">
        <f>IF(OR($C311="", $M311&lt;&gt;"APPROVED",$I311="", $U311=0),"",SUMIFS($U$3:$U$502,$H$3:$H$502,$H311,$M$3:$M$502,"APPROVED",$Q$3:$Q$502,"&lt;="&amp;Settings!$B$4,$I$3:$I$502,"&lt;="&amp;$I311))</f>
        <v/>
      </c>
      <c r="X311" s="21" t="str">
        <f>IF(OR($C311="", $M311&lt;&gt;"APPROVED",$I311="", $U311=0),"",SUMIFS($U$3:$U$502,$H$3:$H$502,$H311,$M$3:$M$502,"APPROVED",$Q$3:$Q$502,"&lt;="&amp;Settings!$B$5,$I$3:$I$502,"&lt;="&amp;$I311))</f>
        <v/>
      </c>
      <c r="Y311" s="21" t="str">
        <f>IF($P311="","",IFERROR(MATCH($P311,Lists!$H$2:$H$4,0),""))</f>
        <v/>
      </c>
      <c r="Z311" s="21" t="str">
        <f t="shared" si="8"/>
        <v/>
      </c>
    </row>
    <row r="312" spans="1:26" ht="15.75" customHeight="1" x14ac:dyDescent="0.3">
      <c r="A312" s="16" t="str">
        <f t="shared" si="9"/>
        <v/>
      </c>
      <c r="B312" s="28"/>
      <c r="C312" s="29"/>
      <c r="D312" s="16"/>
      <c r="E312" s="16"/>
      <c r="F312" s="16"/>
      <c r="G312" s="16"/>
      <c r="H312" s="16"/>
      <c r="I312" s="31"/>
      <c r="J312" s="15"/>
      <c r="K312" s="15"/>
      <c r="L312" s="15"/>
      <c r="M312" s="16"/>
      <c r="N312" s="17"/>
      <c r="O312" s="19" t="str">
        <f t="shared" si="5"/>
        <v/>
      </c>
      <c r="P312" s="17"/>
      <c r="Q312" s="17" t="str">
        <f t="shared" ca="1" si="6"/>
        <v/>
      </c>
      <c r="R312" s="21" t="str">
        <f ca="1">IF($Q312="","",IF($Q312&lt;=Settings!$B$8,Settings!$C$8,IF($Q312&lt;=Settings!$B$9,Settings!$C$9,IF($Q312&lt;=Settings!$B$10,Settings!$C$10,IF($Q312&lt;=Settings!$B$11,Settings!$C$11,Settings!$C$12)))))</f>
        <v/>
      </c>
      <c r="S312" s="21" t="str">
        <f>IF($F312="","",IFERROR(VLOOKUP($F312,Settings!$E$8:$F$11,2,FALSE),0))</f>
        <v/>
      </c>
      <c r="T312" s="21">
        <f>IF($G312="",Settings!$B$16,1)</f>
        <v>1</v>
      </c>
      <c r="U312" s="21" t="str">
        <f t="shared" si="7"/>
        <v/>
      </c>
      <c r="V312" s="32" t="str">
        <f>IF($C312="","",IF($Q312&gt;Settings!$B$4,IF($G312="","|","")&amp;"OLD_7D","")&amp;IF($Q312&gt;Settings!$B$5,IF(OR($G312="", $Q312&gt;Settings!$B$4),"|","")&amp;"OLD_30D",""))</f>
        <v/>
      </c>
      <c r="W312" s="21" t="str">
        <f>IF(OR($C312="", $M312&lt;&gt;"APPROVED",$I312="", $U312=0),"",SUMIFS($U$3:$U$502,$H$3:$H$502,$H312,$M$3:$M$502,"APPROVED",$Q$3:$Q$502,"&lt;="&amp;Settings!$B$4,$I$3:$I$502,"&lt;="&amp;$I312))</f>
        <v/>
      </c>
      <c r="X312" s="21" t="str">
        <f>IF(OR($C312="", $M312&lt;&gt;"APPROVED",$I312="", $U312=0),"",SUMIFS($U$3:$U$502,$H$3:$H$502,$H312,$M$3:$M$502,"APPROVED",$Q$3:$Q$502,"&lt;="&amp;Settings!$B$5,$I$3:$I$502,"&lt;="&amp;$I312))</f>
        <v/>
      </c>
      <c r="Y312" s="21" t="str">
        <f>IF($P312="","",IFERROR(MATCH($P312,Lists!$H$2:$H$4,0),""))</f>
        <v/>
      </c>
      <c r="Z312" s="21" t="str">
        <f t="shared" si="8"/>
        <v/>
      </c>
    </row>
    <row r="313" spans="1:26" ht="15.75" customHeight="1" x14ac:dyDescent="0.3">
      <c r="A313" s="16" t="str">
        <f t="shared" si="9"/>
        <v/>
      </c>
      <c r="B313" s="28"/>
      <c r="C313" s="29"/>
      <c r="D313" s="16"/>
      <c r="E313" s="16"/>
      <c r="F313" s="16"/>
      <c r="G313" s="16"/>
      <c r="H313" s="16"/>
      <c r="I313" s="31"/>
      <c r="J313" s="15"/>
      <c r="K313" s="15"/>
      <c r="L313" s="15"/>
      <c r="M313" s="16"/>
      <c r="N313" s="17"/>
      <c r="O313" s="19" t="str">
        <f t="shared" si="5"/>
        <v/>
      </c>
      <c r="P313" s="17"/>
      <c r="Q313" s="17" t="str">
        <f t="shared" ca="1" si="6"/>
        <v/>
      </c>
      <c r="R313" s="21" t="str">
        <f ca="1">IF($Q313="","",IF($Q313&lt;=Settings!$B$8,Settings!$C$8,IF($Q313&lt;=Settings!$B$9,Settings!$C$9,IF($Q313&lt;=Settings!$B$10,Settings!$C$10,IF($Q313&lt;=Settings!$B$11,Settings!$C$11,Settings!$C$12)))))</f>
        <v/>
      </c>
      <c r="S313" s="21" t="str">
        <f>IF($F313="","",IFERROR(VLOOKUP($F313,Settings!$E$8:$F$11,2,FALSE),0))</f>
        <v/>
      </c>
      <c r="T313" s="21">
        <f>IF($G313="",Settings!$B$16,1)</f>
        <v>1</v>
      </c>
      <c r="U313" s="21" t="str">
        <f t="shared" si="7"/>
        <v/>
      </c>
      <c r="V313" s="32" t="str">
        <f>IF($C313="","",IF($Q313&gt;Settings!$B$4,IF($G313="","|","")&amp;"OLD_7D","")&amp;IF($Q313&gt;Settings!$B$5,IF(OR($G313="", $Q313&gt;Settings!$B$4),"|","")&amp;"OLD_30D",""))</f>
        <v/>
      </c>
      <c r="W313" s="21" t="str">
        <f>IF(OR($C313="", $M313&lt;&gt;"APPROVED",$I313="", $U313=0),"",SUMIFS($U$3:$U$502,$H$3:$H$502,$H313,$M$3:$M$502,"APPROVED",$Q$3:$Q$502,"&lt;="&amp;Settings!$B$4,$I$3:$I$502,"&lt;="&amp;$I313))</f>
        <v/>
      </c>
      <c r="X313" s="21" t="str">
        <f>IF(OR($C313="", $M313&lt;&gt;"APPROVED",$I313="", $U313=0),"",SUMIFS($U$3:$U$502,$H$3:$H$502,$H313,$M$3:$M$502,"APPROVED",$Q$3:$Q$502,"&lt;="&amp;Settings!$B$5,$I$3:$I$502,"&lt;="&amp;$I313))</f>
        <v/>
      </c>
      <c r="Y313" s="21" t="str">
        <f>IF($P313="","",IFERROR(MATCH($P313,Lists!$H$2:$H$4,0),""))</f>
        <v/>
      </c>
      <c r="Z313" s="21" t="str">
        <f t="shared" si="8"/>
        <v/>
      </c>
    </row>
    <row r="314" spans="1:26" ht="15.75" customHeight="1" x14ac:dyDescent="0.3">
      <c r="A314" s="16" t="str">
        <f t="shared" si="9"/>
        <v/>
      </c>
      <c r="B314" s="28"/>
      <c r="C314" s="29"/>
      <c r="D314" s="16"/>
      <c r="E314" s="16"/>
      <c r="F314" s="16"/>
      <c r="G314" s="16"/>
      <c r="H314" s="16"/>
      <c r="I314" s="31"/>
      <c r="J314" s="15"/>
      <c r="K314" s="15"/>
      <c r="L314" s="15"/>
      <c r="M314" s="16"/>
      <c r="N314" s="17"/>
      <c r="O314" s="19" t="str">
        <f t="shared" si="5"/>
        <v/>
      </c>
      <c r="P314" s="17"/>
      <c r="Q314" s="17" t="str">
        <f t="shared" ca="1" si="6"/>
        <v/>
      </c>
      <c r="R314" s="21" t="str">
        <f ca="1">IF($Q314="","",IF($Q314&lt;=Settings!$B$8,Settings!$C$8,IF($Q314&lt;=Settings!$B$9,Settings!$C$9,IF($Q314&lt;=Settings!$B$10,Settings!$C$10,IF($Q314&lt;=Settings!$B$11,Settings!$C$11,Settings!$C$12)))))</f>
        <v/>
      </c>
      <c r="S314" s="21" t="str">
        <f>IF($F314="","",IFERROR(VLOOKUP($F314,Settings!$E$8:$F$11,2,FALSE),0))</f>
        <v/>
      </c>
      <c r="T314" s="21">
        <f>IF($G314="",Settings!$B$16,1)</f>
        <v>1</v>
      </c>
      <c r="U314" s="21" t="str">
        <f t="shared" si="7"/>
        <v/>
      </c>
      <c r="V314" s="32" t="str">
        <f>IF($C314="","",IF($Q314&gt;Settings!$B$4,IF($G314="","|","")&amp;"OLD_7D","")&amp;IF($Q314&gt;Settings!$B$5,IF(OR($G314="", $Q314&gt;Settings!$B$4),"|","")&amp;"OLD_30D",""))</f>
        <v/>
      </c>
      <c r="W314" s="21" t="str">
        <f>IF(OR($C314="", $M314&lt;&gt;"APPROVED",$I314="", $U314=0),"",SUMIFS($U$3:$U$502,$H$3:$H$502,$H314,$M$3:$M$502,"APPROVED",$Q$3:$Q$502,"&lt;="&amp;Settings!$B$4,$I$3:$I$502,"&lt;="&amp;$I314))</f>
        <v/>
      </c>
      <c r="X314" s="21" t="str">
        <f>IF(OR($C314="", $M314&lt;&gt;"APPROVED",$I314="", $U314=0),"",SUMIFS($U$3:$U$502,$H$3:$H$502,$H314,$M$3:$M$502,"APPROVED",$Q$3:$Q$502,"&lt;="&amp;Settings!$B$5,$I$3:$I$502,"&lt;="&amp;$I314))</f>
        <v/>
      </c>
      <c r="Y314" s="21" t="str">
        <f>IF($P314="","",IFERROR(MATCH($P314,Lists!$H$2:$H$4,0),""))</f>
        <v/>
      </c>
      <c r="Z314" s="21" t="str">
        <f t="shared" si="8"/>
        <v/>
      </c>
    </row>
    <row r="315" spans="1:26" ht="15.75" customHeight="1" x14ac:dyDescent="0.3">
      <c r="A315" s="16" t="str">
        <f t="shared" si="9"/>
        <v/>
      </c>
      <c r="B315" s="28"/>
      <c r="C315" s="29"/>
      <c r="D315" s="16"/>
      <c r="E315" s="16"/>
      <c r="F315" s="16"/>
      <c r="G315" s="16"/>
      <c r="H315" s="16"/>
      <c r="I315" s="31"/>
      <c r="J315" s="15"/>
      <c r="K315" s="15"/>
      <c r="L315" s="15"/>
      <c r="M315" s="16"/>
      <c r="N315" s="17"/>
      <c r="O315" s="19" t="str">
        <f t="shared" si="5"/>
        <v/>
      </c>
      <c r="P315" s="17"/>
      <c r="Q315" s="17" t="str">
        <f t="shared" ca="1" si="6"/>
        <v/>
      </c>
      <c r="R315" s="21" t="str">
        <f ca="1">IF($Q315="","",IF($Q315&lt;=Settings!$B$8,Settings!$C$8,IF($Q315&lt;=Settings!$B$9,Settings!$C$9,IF($Q315&lt;=Settings!$B$10,Settings!$C$10,IF($Q315&lt;=Settings!$B$11,Settings!$C$11,Settings!$C$12)))))</f>
        <v/>
      </c>
      <c r="S315" s="21" t="str">
        <f>IF($F315="","",IFERROR(VLOOKUP($F315,Settings!$E$8:$F$11,2,FALSE),0))</f>
        <v/>
      </c>
      <c r="T315" s="21">
        <f>IF($G315="",Settings!$B$16,1)</f>
        <v>1</v>
      </c>
      <c r="U315" s="21" t="str">
        <f t="shared" si="7"/>
        <v/>
      </c>
      <c r="V315" s="32" t="str">
        <f>IF($C315="","",IF($Q315&gt;Settings!$B$4,IF($G315="","|","")&amp;"OLD_7D","")&amp;IF($Q315&gt;Settings!$B$5,IF(OR($G315="", $Q315&gt;Settings!$B$4),"|","")&amp;"OLD_30D",""))</f>
        <v/>
      </c>
      <c r="W315" s="21" t="str">
        <f>IF(OR($C315="", $M315&lt;&gt;"APPROVED",$I315="", $U315=0),"",SUMIFS($U$3:$U$502,$H$3:$H$502,$H315,$M$3:$M$502,"APPROVED",$Q$3:$Q$502,"&lt;="&amp;Settings!$B$4,$I$3:$I$502,"&lt;="&amp;$I315))</f>
        <v/>
      </c>
      <c r="X315" s="21" t="str">
        <f>IF(OR($C315="", $M315&lt;&gt;"APPROVED",$I315="", $U315=0),"",SUMIFS($U$3:$U$502,$H$3:$H$502,$H315,$M$3:$M$502,"APPROVED",$Q$3:$Q$502,"&lt;="&amp;Settings!$B$5,$I$3:$I$502,"&lt;="&amp;$I315))</f>
        <v/>
      </c>
      <c r="Y315" s="21" t="str">
        <f>IF($P315="","",IFERROR(MATCH($P315,Lists!$H$2:$H$4,0),""))</f>
        <v/>
      </c>
      <c r="Z315" s="21" t="str">
        <f t="shared" si="8"/>
        <v/>
      </c>
    </row>
    <row r="316" spans="1:26" ht="15.75" customHeight="1" x14ac:dyDescent="0.3">
      <c r="A316" s="16" t="str">
        <f t="shared" si="9"/>
        <v/>
      </c>
      <c r="B316" s="28"/>
      <c r="C316" s="29"/>
      <c r="D316" s="16"/>
      <c r="E316" s="16"/>
      <c r="F316" s="16"/>
      <c r="G316" s="16"/>
      <c r="H316" s="16"/>
      <c r="I316" s="31"/>
      <c r="J316" s="15"/>
      <c r="K316" s="15"/>
      <c r="L316" s="15"/>
      <c r="M316" s="16"/>
      <c r="N316" s="17"/>
      <c r="O316" s="19" t="str">
        <f t="shared" si="5"/>
        <v/>
      </c>
      <c r="P316" s="17"/>
      <c r="Q316" s="17" t="str">
        <f t="shared" ca="1" si="6"/>
        <v/>
      </c>
      <c r="R316" s="21" t="str">
        <f ca="1">IF($Q316="","",IF($Q316&lt;=Settings!$B$8,Settings!$C$8,IF($Q316&lt;=Settings!$B$9,Settings!$C$9,IF($Q316&lt;=Settings!$B$10,Settings!$C$10,IF($Q316&lt;=Settings!$B$11,Settings!$C$11,Settings!$C$12)))))</f>
        <v/>
      </c>
      <c r="S316" s="21" t="str">
        <f>IF($F316="","",IFERROR(VLOOKUP($F316,Settings!$E$8:$F$11,2,FALSE),0))</f>
        <v/>
      </c>
      <c r="T316" s="21">
        <f>IF($G316="",Settings!$B$16,1)</f>
        <v>1</v>
      </c>
      <c r="U316" s="21" t="str">
        <f t="shared" si="7"/>
        <v/>
      </c>
      <c r="V316" s="32" t="str">
        <f>IF($C316="","",IF($Q316&gt;Settings!$B$4,IF($G316="","|","")&amp;"OLD_7D","")&amp;IF($Q316&gt;Settings!$B$5,IF(OR($G316="", $Q316&gt;Settings!$B$4),"|","")&amp;"OLD_30D",""))</f>
        <v/>
      </c>
      <c r="W316" s="21" t="str">
        <f>IF(OR($C316="", $M316&lt;&gt;"APPROVED",$I316="", $U316=0),"",SUMIFS($U$3:$U$502,$H$3:$H$502,$H316,$M$3:$M$502,"APPROVED",$Q$3:$Q$502,"&lt;="&amp;Settings!$B$4,$I$3:$I$502,"&lt;="&amp;$I316))</f>
        <v/>
      </c>
      <c r="X316" s="21" t="str">
        <f>IF(OR($C316="", $M316&lt;&gt;"APPROVED",$I316="", $U316=0),"",SUMIFS($U$3:$U$502,$H$3:$H$502,$H316,$M$3:$M$502,"APPROVED",$Q$3:$Q$502,"&lt;="&amp;Settings!$B$5,$I$3:$I$502,"&lt;="&amp;$I316))</f>
        <v/>
      </c>
      <c r="Y316" s="21" t="str">
        <f>IF($P316="","",IFERROR(MATCH($P316,Lists!$H$2:$H$4,0),""))</f>
        <v/>
      </c>
      <c r="Z316" s="21" t="str">
        <f t="shared" si="8"/>
        <v/>
      </c>
    </row>
    <row r="317" spans="1:26" ht="15.75" customHeight="1" x14ac:dyDescent="0.3">
      <c r="A317" s="16" t="str">
        <f t="shared" si="9"/>
        <v/>
      </c>
      <c r="B317" s="28"/>
      <c r="C317" s="29"/>
      <c r="D317" s="16"/>
      <c r="E317" s="16"/>
      <c r="F317" s="16"/>
      <c r="G317" s="16"/>
      <c r="H317" s="16"/>
      <c r="I317" s="31"/>
      <c r="J317" s="15"/>
      <c r="K317" s="15"/>
      <c r="L317" s="15"/>
      <c r="M317" s="16"/>
      <c r="N317" s="17"/>
      <c r="O317" s="19" t="str">
        <f t="shared" si="5"/>
        <v/>
      </c>
      <c r="P317" s="17"/>
      <c r="Q317" s="17" t="str">
        <f t="shared" ca="1" si="6"/>
        <v/>
      </c>
      <c r="R317" s="21" t="str">
        <f ca="1">IF($Q317="","",IF($Q317&lt;=Settings!$B$8,Settings!$C$8,IF($Q317&lt;=Settings!$B$9,Settings!$C$9,IF($Q317&lt;=Settings!$B$10,Settings!$C$10,IF($Q317&lt;=Settings!$B$11,Settings!$C$11,Settings!$C$12)))))</f>
        <v/>
      </c>
      <c r="S317" s="21" t="str">
        <f>IF($F317="","",IFERROR(VLOOKUP($F317,Settings!$E$8:$F$11,2,FALSE),0))</f>
        <v/>
      </c>
      <c r="T317" s="21">
        <f>IF($G317="",Settings!$B$16,1)</f>
        <v>1</v>
      </c>
      <c r="U317" s="21" t="str">
        <f t="shared" si="7"/>
        <v/>
      </c>
      <c r="V317" s="32" t="str">
        <f>IF($C317="","",IF($Q317&gt;Settings!$B$4,IF($G317="","|","")&amp;"OLD_7D","")&amp;IF($Q317&gt;Settings!$B$5,IF(OR($G317="", $Q317&gt;Settings!$B$4),"|","")&amp;"OLD_30D",""))</f>
        <v/>
      </c>
      <c r="W317" s="21" t="str">
        <f>IF(OR($C317="", $M317&lt;&gt;"APPROVED",$I317="", $U317=0),"",SUMIFS($U$3:$U$502,$H$3:$H$502,$H317,$M$3:$M$502,"APPROVED",$Q$3:$Q$502,"&lt;="&amp;Settings!$B$4,$I$3:$I$502,"&lt;="&amp;$I317))</f>
        <v/>
      </c>
      <c r="X317" s="21" t="str">
        <f>IF(OR($C317="", $M317&lt;&gt;"APPROVED",$I317="", $U317=0),"",SUMIFS($U$3:$U$502,$H$3:$H$502,$H317,$M$3:$M$502,"APPROVED",$Q$3:$Q$502,"&lt;="&amp;Settings!$B$5,$I$3:$I$502,"&lt;="&amp;$I317))</f>
        <v/>
      </c>
      <c r="Y317" s="21" t="str">
        <f>IF($P317="","",IFERROR(MATCH($P317,Lists!$H$2:$H$4,0),""))</f>
        <v/>
      </c>
      <c r="Z317" s="21" t="str">
        <f t="shared" si="8"/>
        <v/>
      </c>
    </row>
    <row r="318" spans="1:26" ht="15.75" customHeight="1" x14ac:dyDescent="0.3">
      <c r="A318" s="16" t="str">
        <f t="shared" si="9"/>
        <v/>
      </c>
      <c r="B318" s="28"/>
      <c r="C318" s="29"/>
      <c r="D318" s="16"/>
      <c r="E318" s="16"/>
      <c r="F318" s="16"/>
      <c r="G318" s="16"/>
      <c r="H318" s="16"/>
      <c r="I318" s="31"/>
      <c r="J318" s="15"/>
      <c r="K318" s="15"/>
      <c r="L318" s="15"/>
      <c r="M318" s="16"/>
      <c r="N318" s="17"/>
      <c r="O318" s="19" t="str">
        <f t="shared" si="5"/>
        <v/>
      </c>
      <c r="P318" s="17"/>
      <c r="Q318" s="17" t="str">
        <f t="shared" ca="1" si="6"/>
        <v/>
      </c>
      <c r="R318" s="21" t="str">
        <f ca="1">IF($Q318="","",IF($Q318&lt;=Settings!$B$8,Settings!$C$8,IF($Q318&lt;=Settings!$B$9,Settings!$C$9,IF($Q318&lt;=Settings!$B$10,Settings!$C$10,IF($Q318&lt;=Settings!$B$11,Settings!$C$11,Settings!$C$12)))))</f>
        <v/>
      </c>
      <c r="S318" s="21" t="str">
        <f>IF($F318="","",IFERROR(VLOOKUP($F318,Settings!$E$8:$F$11,2,FALSE),0))</f>
        <v/>
      </c>
      <c r="T318" s="21">
        <f>IF($G318="",Settings!$B$16,1)</f>
        <v>1</v>
      </c>
      <c r="U318" s="21" t="str">
        <f t="shared" si="7"/>
        <v/>
      </c>
      <c r="V318" s="32" t="str">
        <f>IF($C318="","",IF($Q318&gt;Settings!$B$4,IF($G318="","|","")&amp;"OLD_7D","")&amp;IF($Q318&gt;Settings!$B$5,IF(OR($G318="", $Q318&gt;Settings!$B$4),"|","")&amp;"OLD_30D",""))</f>
        <v/>
      </c>
      <c r="W318" s="21" t="str">
        <f>IF(OR($C318="", $M318&lt;&gt;"APPROVED",$I318="", $U318=0),"",SUMIFS($U$3:$U$502,$H$3:$H$502,$H318,$M$3:$M$502,"APPROVED",$Q$3:$Q$502,"&lt;="&amp;Settings!$B$4,$I$3:$I$502,"&lt;="&amp;$I318))</f>
        <v/>
      </c>
      <c r="X318" s="21" t="str">
        <f>IF(OR($C318="", $M318&lt;&gt;"APPROVED",$I318="", $U318=0),"",SUMIFS($U$3:$U$502,$H$3:$H$502,$H318,$M$3:$M$502,"APPROVED",$Q$3:$Q$502,"&lt;="&amp;Settings!$B$5,$I$3:$I$502,"&lt;="&amp;$I318))</f>
        <v/>
      </c>
      <c r="Y318" s="21" t="str">
        <f>IF($P318="","",IFERROR(MATCH($P318,Lists!$H$2:$H$4,0),""))</f>
        <v/>
      </c>
      <c r="Z318" s="21" t="str">
        <f t="shared" si="8"/>
        <v/>
      </c>
    </row>
    <row r="319" spans="1:26" ht="15.75" customHeight="1" x14ac:dyDescent="0.3">
      <c r="A319" s="16" t="str">
        <f t="shared" si="9"/>
        <v/>
      </c>
      <c r="B319" s="28"/>
      <c r="C319" s="29"/>
      <c r="D319" s="16"/>
      <c r="E319" s="16"/>
      <c r="F319" s="16"/>
      <c r="G319" s="16"/>
      <c r="H319" s="16"/>
      <c r="I319" s="31"/>
      <c r="J319" s="15"/>
      <c r="K319" s="15"/>
      <c r="L319" s="15"/>
      <c r="M319" s="16"/>
      <c r="N319" s="17"/>
      <c r="O319" s="19" t="str">
        <f t="shared" si="5"/>
        <v/>
      </c>
      <c r="P319" s="17"/>
      <c r="Q319" s="17" t="str">
        <f t="shared" ca="1" si="6"/>
        <v/>
      </c>
      <c r="R319" s="21" t="str">
        <f ca="1">IF($Q319="","",IF($Q319&lt;=Settings!$B$8,Settings!$C$8,IF($Q319&lt;=Settings!$B$9,Settings!$C$9,IF($Q319&lt;=Settings!$B$10,Settings!$C$10,IF($Q319&lt;=Settings!$B$11,Settings!$C$11,Settings!$C$12)))))</f>
        <v/>
      </c>
      <c r="S319" s="21" t="str">
        <f>IF($F319="","",IFERROR(VLOOKUP($F319,Settings!$E$8:$F$11,2,FALSE),0))</f>
        <v/>
      </c>
      <c r="T319" s="21">
        <f>IF($G319="",Settings!$B$16,1)</f>
        <v>1</v>
      </c>
      <c r="U319" s="21" t="str">
        <f t="shared" si="7"/>
        <v/>
      </c>
      <c r="V319" s="32" t="str">
        <f>IF($C319="","",IF($Q319&gt;Settings!$B$4,IF($G319="","|","")&amp;"OLD_7D","")&amp;IF($Q319&gt;Settings!$B$5,IF(OR($G319="", $Q319&gt;Settings!$B$4),"|","")&amp;"OLD_30D",""))</f>
        <v/>
      </c>
      <c r="W319" s="21" t="str">
        <f>IF(OR($C319="", $M319&lt;&gt;"APPROVED",$I319="", $U319=0),"",SUMIFS($U$3:$U$502,$H$3:$H$502,$H319,$M$3:$M$502,"APPROVED",$Q$3:$Q$502,"&lt;="&amp;Settings!$B$4,$I$3:$I$502,"&lt;="&amp;$I319))</f>
        <v/>
      </c>
      <c r="X319" s="21" t="str">
        <f>IF(OR($C319="", $M319&lt;&gt;"APPROVED",$I319="", $U319=0),"",SUMIFS($U$3:$U$502,$H$3:$H$502,$H319,$M$3:$M$502,"APPROVED",$Q$3:$Q$502,"&lt;="&amp;Settings!$B$5,$I$3:$I$502,"&lt;="&amp;$I319))</f>
        <v/>
      </c>
      <c r="Y319" s="21" t="str">
        <f>IF($P319="","",IFERROR(MATCH($P319,Lists!$H$2:$H$4,0),""))</f>
        <v/>
      </c>
      <c r="Z319" s="21" t="str">
        <f t="shared" si="8"/>
        <v/>
      </c>
    </row>
    <row r="320" spans="1:26" ht="15.75" customHeight="1" x14ac:dyDescent="0.3">
      <c r="A320" s="16" t="str">
        <f t="shared" si="9"/>
        <v/>
      </c>
      <c r="B320" s="28"/>
      <c r="C320" s="29"/>
      <c r="D320" s="16"/>
      <c r="E320" s="16"/>
      <c r="F320" s="16"/>
      <c r="G320" s="16"/>
      <c r="H320" s="16"/>
      <c r="I320" s="31"/>
      <c r="J320" s="15"/>
      <c r="K320" s="15"/>
      <c r="L320" s="15"/>
      <c r="M320" s="16"/>
      <c r="N320" s="17"/>
      <c r="O320" s="19" t="str">
        <f t="shared" si="5"/>
        <v/>
      </c>
      <c r="P320" s="17"/>
      <c r="Q320" s="17" t="str">
        <f t="shared" ca="1" si="6"/>
        <v/>
      </c>
      <c r="R320" s="21" t="str">
        <f ca="1">IF($Q320="","",IF($Q320&lt;=Settings!$B$8,Settings!$C$8,IF($Q320&lt;=Settings!$B$9,Settings!$C$9,IF($Q320&lt;=Settings!$B$10,Settings!$C$10,IF($Q320&lt;=Settings!$B$11,Settings!$C$11,Settings!$C$12)))))</f>
        <v/>
      </c>
      <c r="S320" s="21" t="str">
        <f>IF($F320="","",IFERROR(VLOOKUP($F320,Settings!$E$8:$F$11,2,FALSE),0))</f>
        <v/>
      </c>
      <c r="T320" s="21">
        <f>IF($G320="",Settings!$B$16,1)</f>
        <v>1</v>
      </c>
      <c r="U320" s="21" t="str">
        <f t="shared" si="7"/>
        <v/>
      </c>
      <c r="V320" s="32" t="str">
        <f>IF($C320="","",IF($Q320&gt;Settings!$B$4,IF($G320="","|","")&amp;"OLD_7D","")&amp;IF($Q320&gt;Settings!$B$5,IF(OR($G320="", $Q320&gt;Settings!$B$4),"|","")&amp;"OLD_30D",""))</f>
        <v/>
      </c>
      <c r="W320" s="21" t="str">
        <f>IF(OR($C320="", $M320&lt;&gt;"APPROVED",$I320="", $U320=0),"",SUMIFS($U$3:$U$502,$H$3:$H$502,$H320,$M$3:$M$502,"APPROVED",$Q$3:$Q$502,"&lt;="&amp;Settings!$B$4,$I$3:$I$502,"&lt;="&amp;$I320))</f>
        <v/>
      </c>
      <c r="X320" s="21" t="str">
        <f>IF(OR($C320="", $M320&lt;&gt;"APPROVED",$I320="", $U320=0),"",SUMIFS($U$3:$U$502,$H$3:$H$502,$H320,$M$3:$M$502,"APPROVED",$Q$3:$Q$502,"&lt;="&amp;Settings!$B$5,$I$3:$I$502,"&lt;="&amp;$I320))</f>
        <v/>
      </c>
      <c r="Y320" s="21" t="str">
        <f>IF($P320="","",IFERROR(MATCH($P320,Lists!$H$2:$H$4,0),""))</f>
        <v/>
      </c>
      <c r="Z320" s="21" t="str">
        <f t="shared" si="8"/>
        <v/>
      </c>
    </row>
    <row r="321" spans="1:26" ht="15.75" customHeight="1" x14ac:dyDescent="0.3">
      <c r="A321" s="16" t="str">
        <f t="shared" si="9"/>
        <v/>
      </c>
      <c r="B321" s="28"/>
      <c r="C321" s="29"/>
      <c r="D321" s="16"/>
      <c r="E321" s="16"/>
      <c r="F321" s="16"/>
      <c r="G321" s="16"/>
      <c r="H321" s="16"/>
      <c r="I321" s="31"/>
      <c r="J321" s="15"/>
      <c r="K321" s="15"/>
      <c r="L321" s="15"/>
      <c r="M321" s="16"/>
      <c r="N321" s="17"/>
      <c r="O321" s="19" t="str">
        <f t="shared" si="5"/>
        <v/>
      </c>
      <c r="P321" s="17"/>
      <c r="Q321" s="17" t="str">
        <f t="shared" ca="1" si="6"/>
        <v/>
      </c>
      <c r="R321" s="21" t="str">
        <f ca="1">IF($Q321="","",IF($Q321&lt;=Settings!$B$8,Settings!$C$8,IF($Q321&lt;=Settings!$B$9,Settings!$C$9,IF($Q321&lt;=Settings!$B$10,Settings!$C$10,IF($Q321&lt;=Settings!$B$11,Settings!$C$11,Settings!$C$12)))))</f>
        <v/>
      </c>
      <c r="S321" s="21" t="str">
        <f>IF($F321="","",IFERROR(VLOOKUP($F321,Settings!$E$8:$F$11,2,FALSE),0))</f>
        <v/>
      </c>
      <c r="T321" s="21">
        <f>IF($G321="",Settings!$B$16,1)</f>
        <v>1</v>
      </c>
      <c r="U321" s="21" t="str">
        <f t="shared" si="7"/>
        <v/>
      </c>
      <c r="V321" s="32" t="str">
        <f>IF($C321="","",IF($Q321&gt;Settings!$B$4,IF($G321="","|","")&amp;"OLD_7D","")&amp;IF($Q321&gt;Settings!$B$5,IF(OR($G321="", $Q321&gt;Settings!$B$4),"|","")&amp;"OLD_30D",""))</f>
        <v/>
      </c>
      <c r="W321" s="21" t="str">
        <f>IF(OR($C321="", $M321&lt;&gt;"APPROVED",$I321="", $U321=0),"",SUMIFS($U$3:$U$502,$H$3:$H$502,$H321,$M$3:$M$502,"APPROVED",$Q$3:$Q$502,"&lt;="&amp;Settings!$B$4,$I$3:$I$502,"&lt;="&amp;$I321))</f>
        <v/>
      </c>
      <c r="X321" s="21" t="str">
        <f>IF(OR($C321="", $M321&lt;&gt;"APPROVED",$I321="", $U321=0),"",SUMIFS($U$3:$U$502,$H$3:$H$502,$H321,$M$3:$M$502,"APPROVED",$Q$3:$Q$502,"&lt;="&amp;Settings!$B$5,$I$3:$I$502,"&lt;="&amp;$I321))</f>
        <v/>
      </c>
      <c r="Y321" s="21" t="str">
        <f>IF($P321="","",IFERROR(MATCH($P321,Lists!$H$2:$H$4,0),""))</f>
        <v/>
      </c>
      <c r="Z321" s="21" t="str">
        <f t="shared" si="8"/>
        <v/>
      </c>
    </row>
    <row r="322" spans="1:26" ht="15.75" customHeight="1" x14ac:dyDescent="0.3">
      <c r="A322" s="16" t="str">
        <f t="shared" si="9"/>
        <v/>
      </c>
      <c r="B322" s="28"/>
      <c r="C322" s="29"/>
      <c r="D322" s="16"/>
      <c r="E322" s="16"/>
      <c r="F322" s="16"/>
      <c r="G322" s="16"/>
      <c r="H322" s="16"/>
      <c r="I322" s="31"/>
      <c r="J322" s="15"/>
      <c r="K322" s="15"/>
      <c r="L322" s="15"/>
      <c r="M322" s="16"/>
      <c r="N322" s="17"/>
      <c r="O322" s="19" t="str">
        <f t="shared" si="5"/>
        <v/>
      </c>
      <c r="P322" s="17"/>
      <c r="Q322" s="17" t="str">
        <f t="shared" ca="1" si="6"/>
        <v/>
      </c>
      <c r="R322" s="21" t="str">
        <f ca="1">IF($Q322="","",IF($Q322&lt;=Settings!$B$8,Settings!$C$8,IF($Q322&lt;=Settings!$B$9,Settings!$C$9,IF($Q322&lt;=Settings!$B$10,Settings!$C$10,IF($Q322&lt;=Settings!$B$11,Settings!$C$11,Settings!$C$12)))))</f>
        <v/>
      </c>
      <c r="S322" s="21" t="str">
        <f>IF($F322="","",IFERROR(VLOOKUP($F322,Settings!$E$8:$F$11,2,FALSE),0))</f>
        <v/>
      </c>
      <c r="T322" s="21">
        <f>IF($G322="",Settings!$B$16,1)</f>
        <v>1</v>
      </c>
      <c r="U322" s="21" t="str">
        <f t="shared" si="7"/>
        <v/>
      </c>
      <c r="V322" s="32" t="str">
        <f>IF($C322="","",IF($Q322&gt;Settings!$B$4,IF($G322="","|","")&amp;"OLD_7D","")&amp;IF($Q322&gt;Settings!$B$5,IF(OR($G322="", $Q322&gt;Settings!$B$4),"|","")&amp;"OLD_30D",""))</f>
        <v/>
      </c>
      <c r="W322" s="21" t="str">
        <f>IF(OR($C322="", $M322&lt;&gt;"APPROVED",$I322="", $U322=0),"",SUMIFS($U$3:$U$502,$H$3:$H$502,$H322,$M$3:$M$502,"APPROVED",$Q$3:$Q$502,"&lt;="&amp;Settings!$B$4,$I$3:$I$502,"&lt;="&amp;$I322))</f>
        <v/>
      </c>
      <c r="X322" s="21" t="str">
        <f>IF(OR($C322="", $M322&lt;&gt;"APPROVED",$I322="", $U322=0),"",SUMIFS($U$3:$U$502,$H$3:$H$502,$H322,$M$3:$M$502,"APPROVED",$Q$3:$Q$502,"&lt;="&amp;Settings!$B$5,$I$3:$I$502,"&lt;="&amp;$I322))</f>
        <v/>
      </c>
      <c r="Y322" s="21" t="str">
        <f>IF($P322="","",IFERROR(MATCH($P322,Lists!$H$2:$H$4,0),""))</f>
        <v/>
      </c>
      <c r="Z322" s="21" t="str">
        <f t="shared" si="8"/>
        <v/>
      </c>
    </row>
    <row r="323" spans="1:26" ht="15.75" customHeight="1" x14ac:dyDescent="0.3">
      <c r="A323" s="16" t="str">
        <f t="shared" si="9"/>
        <v/>
      </c>
      <c r="B323" s="28"/>
      <c r="C323" s="29"/>
      <c r="D323" s="16"/>
      <c r="E323" s="16"/>
      <c r="F323" s="16"/>
      <c r="G323" s="16"/>
      <c r="H323" s="16"/>
      <c r="I323" s="31"/>
      <c r="J323" s="15"/>
      <c r="K323" s="15"/>
      <c r="L323" s="15"/>
      <c r="M323" s="16"/>
      <c r="N323" s="17"/>
      <c r="O323" s="19" t="str">
        <f t="shared" si="5"/>
        <v/>
      </c>
      <c r="P323" s="17"/>
      <c r="Q323" s="17" t="str">
        <f t="shared" ca="1" si="6"/>
        <v/>
      </c>
      <c r="R323" s="21" t="str">
        <f ca="1">IF($Q323="","",IF($Q323&lt;=Settings!$B$8,Settings!$C$8,IF($Q323&lt;=Settings!$B$9,Settings!$C$9,IF($Q323&lt;=Settings!$B$10,Settings!$C$10,IF($Q323&lt;=Settings!$B$11,Settings!$C$11,Settings!$C$12)))))</f>
        <v/>
      </c>
      <c r="S323" s="21" t="str">
        <f>IF($F323="","",IFERROR(VLOOKUP($F323,Settings!$E$8:$F$11,2,FALSE),0))</f>
        <v/>
      </c>
      <c r="T323" s="21">
        <f>IF($G323="",Settings!$B$16,1)</f>
        <v>1</v>
      </c>
      <c r="U323" s="21" t="str">
        <f t="shared" si="7"/>
        <v/>
      </c>
      <c r="V323" s="32" t="str">
        <f>IF($C323="","",IF($Q323&gt;Settings!$B$4,IF($G323="","|","")&amp;"OLD_7D","")&amp;IF($Q323&gt;Settings!$B$5,IF(OR($G323="", $Q323&gt;Settings!$B$4),"|","")&amp;"OLD_30D",""))</f>
        <v/>
      </c>
      <c r="W323" s="21" t="str">
        <f>IF(OR($C323="", $M323&lt;&gt;"APPROVED",$I323="", $U323=0),"",SUMIFS($U$3:$U$502,$H$3:$H$502,$H323,$M$3:$M$502,"APPROVED",$Q$3:$Q$502,"&lt;="&amp;Settings!$B$4,$I$3:$I$502,"&lt;="&amp;$I323))</f>
        <v/>
      </c>
      <c r="X323" s="21" t="str">
        <f>IF(OR($C323="", $M323&lt;&gt;"APPROVED",$I323="", $U323=0),"",SUMIFS($U$3:$U$502,$H$3:$H$502,$H323,$M$3:$M$502,"APPROVED",$Q$3:$Q$502,"&lt;="&amp;Settings!$B$5,$I$3:$I$502,"&lt;="&amp;$I323))</f>
        <v/>
      </c>
      <c r="Y323" s="21" t="str">
        <f>IF($P323="","",IFERROR(MATCH($P323,Lists!$H$2:$H$4,0),""))</f>
        <v/>
      </c>
      <c r="Z323" s="21" t="str">
        <f t="shared" si="8"/>
        <v/>
      </c>
    </row>
    <row r="324" spans="1:26" ht="15.75" customHeight="1" x14ac:dyDescent="0.3">
      <c r="A324" s="16" t="str">
        <f t="shared" si="9"/>
        <v/>
      </c>
      <c r="B324" s="28"/>
      <c r="C324" s="29"/>
      <c r="D324" s="16"/>
      <c r="E324" s="16"/>
      <c r="F324" s="16"/>
      <c r="G324" s="16"/>
      <c r="H324" s="16"/>
      <c r="I324" s="31"/>
      <c r="J324" s="15"/>
      <c r="K324" s="15"/>
      <c r="L324" s="15"/>
      <c r="M324" s="16"/>
      <c r="N324" s="17"/>
      <c r="O324" s="19" t="str">
        <f t="shared" si="5"/>
        <v/>
      </c>
      <c r="P324" s="17"/>
      <c r="Q324" s="17" t="str">
        <f t="shared" ca="1" si="6"/>
        <v/>
      </c>
      <c r="R324" s="21" t="str">
        <f ca="1">IF($Q324="","",IF($Q324&lt;=Settings!$B$8,Settings!$C$8,IF($Q324&lt;=Settings!$B$9,Settings!$C$9,IF($Q324&lt;=Settings!$B$10,Settings!$C$10,IF($Q324&lt;=Settings!$B$11,Settings!$C$11,Settings!$C$12)))))</f>
        <v/>
      </c>
      <c r="S324" s="21" t="str">
        <f>IF($F324="","",IFERROR(VLOOKUP($F324,Settings!$E$8:$F$11,2,FALSE),0))</f>
        <v/>
      </c>
      <c r="T324" s="21">
        <f>IF($G324="",Settings!$B$16,1)</f>
        <v>1</v>
      </c>
      <c r="U324" s="21" t="str">
        <f t="shared" si="7"/>
        <v/>
      </c>
      <c r="V324" s="32" t="str">
        <f>IF($C324="","",IF($Q324&gt;Settings!$B$4,IF($G324="","|","")&amp;"OLD_7D","")&amp;IF($Q324&gt;Settings!$B$5,IF(OR($G324="", $Q324&gt;Settings!$B$4),"|","")&amp;"OLD_30D",""))</f>
        <v/>
      </c>
      <c r="W324" s="21" t="str">
        <f>IF(OR($C324="", $M324&lt;&gt;"APPROVED",$I324="", $U324=0),"",SUMIFS($U$3:$U$502,$H$3:$H$502,$H324,$M$3:$M$502,"APPROVED",$Q$3:$Q$502,"&lt;="&amp;Settings!$B$4,$I$3:$I$502,"&lt;="&amp;$I324))</f>
        <v/>
      </c>
      <c r="X324" s="21" t="str">
        <f>IF(OR($C324="", $M324&lt;&gt;"APPROVED",$I324="", $U324=0),"",SUMIFS($U$3:$U$502,$H$3:$H$502,$H324,$M$3:$M$502,"APPROVED",$Q$3:$Q$502,"&lt;="&amp;Settings!$B$5,$I$3:$I$502,"&lt;="&amp;$I324))</f>
        <v/>
      </c>
      <c r="Y324" s="21" t="str">
        <f>IF($P324="","",IFERROR(MATCH($P324,Lists!$H$2:$H$4,0),""))</f>
        <v/>
      </c>
      <c r="Z324" s="21" t="str">
        <f t="shared" si="8"/>
        <v/>
      </c>
    </row>
    <row r="325" spans="1:26" ht="15.75" customHeight="1" x14ac:dyDescent="0.3">
      <c r="A325" s="16" t="str">
        <f t="shared" si="9"/>
        <v/>
      </c>
      <c r="B325" s="28"/>
      <c r="C325" s="29"/>
      <c r="D325" s="16"/>
      <c r="E325" s="16"/>
      <c r="F325" s="16"/>
      <c r="G325" s="16"/>
      <c r="H325" s="16"/>
      <c r="I325" s="31"/>
      <c r="J325" s="15"/>
      <c r="K325" s="15"/>
      <c r="L325" s="15"/>
      <c r="M325" s="16"/>
      <c r="N325" s="17"/>
      <c r="O325" s="19" t="str">
        <f t="shared" si="5"/>
        <v/>
      </c>
      <c r="P325" s="17"/>
      <c r="Q325" s="17" t="str">
        <f t="shared" ca="1" si="6"/>
        <v/>
      </c>
      <c r="R325" s="21" t="str">
        <f ca="1">IF($Q325="","",IF($Q325&lt;=Settings!$B$8,Settings!$C$8,IF($Q325&lt;=Settings!$B$9,Settings!$C$9,IF($Q325&lt;=Settings!$B$10,Settings!$C$10,IF($Q325&lt;=Settings!$B$11,Settings!$C$11,Settings!$C$12)))))</f>
        <v/>
      </c>
      <c r="S325" s="21" t="str">
        <f>IF($F325="","",IFERROR(VLOOKUP($F325,Settings!$E$8:$F$11,2,FALSE),0))</f>
        <v/>
      </c>
      <c r="T325" s="21">
        <f>IF($G325="",Settings!$B$16,1)</f>
        <v>1</v>
      </c>
      <c r="U325" s="21" t="str">
        <f t="shared" si="7"/>
        <v/>
      </c>
      <c r="V325" s="32" t="str">
        <f>IF($C325="","",IF($Q325&gt;Settings!$B$4,IF($G325="","|","")&amp;"OLD_7D","")&amp;IF($Q325&gt;Settings!$B$5,IF(OR($G325="", $Q325&gt;Settings!$B$4),"|","")&amp;"OLD_30D",""))</f>
        <v/>
      </c>
      <c r="W325" s="21" t="str">
        <f>IF(OR($C325="", $M325&lt;&gt;"APPROVED",$I325="", $U325=0),"",SUMIFS($U$3:$U$502,$H$3:$H$502,$H325,$M$3:$M$502,"APPROVED",$Q$3:$Q$502,"&lt;="&amp;Settings!$B$4,$I$3:$I$502,"&lt;="&amp;$I325))</f>
        <v/>
      </c>
      <c r="X325" s="21" t="str">
        <f>IF(OR($C325="", $M325&lt;&gt;"APPROVED",$I325="", $U325=0),"",SUMIFS($U$3:$U$502,$H$3:$H$502,$H325,$M$3:$M$502,"APPROVED",$Q$3:$Q$502,"&lt;="&amp;Settings!$B$5,$I$3:$I$502,"&lt;="&amp;$I325))</f>
        <v/>
      </c>
      <c r="Y325" s="21" t="str">
        <f>IF($P325="","",IFERROR(MATCH($P325,Lists!$H$2:$H$4,0),""))</f>
        <v/>
      </c>
      <c r="Z325" s="21" t="str">
        <f t="shared" si="8"/>
        <v/>
      </c>
    </row>
    <row r="326" spans="1:26" ht="15.75" customHeight="1" x14ac:dyDescent="0.3">
      <c r="A326" s="16" t="str">
        <f t="shared" si="9"/>
        <v/>
      </c>
      <c r="B326" s="28"/>
      <c r="C326" s="29"/>
      <c r="D326" s="16"/>
      <c r="E326" s="16"/>
      <c r="F326" s="16"/>
      <c r="G326" s="16"/>
      <c r="H326" s="16"/>
      <c r="I326" s="31"/>
      <c r="J326" s="15"/>
      <c r="K326" s="15"/>
      <c r="L326" s="15"/>
      <c r="M326" s="16"/>
      <c r="N326" s="17"/>
      <c r="O326" s="19" t="str">
        <f t="shared" si="5"/>
        <v/>
      </c>
      <c r="P326" s="17"/>
      <c r="Q326" s="17" t="str">
        <f t="shared" ca="1" si="6"/>
        <v/>
      </c>
      <c r="R326" s="21" t="str">
        <f ca="1">IF($Q326="","",IF($Q326&lt;=Settings!$B$8,Settings!$C$8,IF($Q326&lt;=Settings!$B$9,Settings!$C$9,IF($Q326&lt;=Settings!$B$10,Settings!$C$10,IF($Q326&lt;=Settings!$B$11,Settings!$C$11,Settings!$C$12)))))</f>
        <v/>
      </c>
      <c r="S326" s="21" t="str">
        <f>IF($F326="","",IFERROR(VLOOKUP($F326,Settings!$E$8:$F$11,2,FALSE),0))</f>
        <v/>
      </c>
      <c r="T326" s="21">
        <f>IF($G326="",Settings!$B$16,1)</f>
        <v>1</v>
      </c>
      <c r="U326" s="21" t="str">
        <f t="shared" si="7"/>
        <v/>
      </c>
      <c r="V326" s="32" t="str">
        <f>IF($C326="","",IF($Q326&gt;Settings!$B$4,IF($G326="","|","")&amp;"OLD_7D","")&amp;IF($Q326&gt;Settings!$B$5,IF(OR($G326="", $Q326&gt;Settings!$B$4),"|","")&amp;"OLD_30D",""))</f>
        <v/>
      </c>
      <c r="W326" s="21" t="str">
        <f>IF(OR($C326="", $M326&lt;&gt;"APPROVED",$I326="", $U326=0),"",SUMIFS($U$3:$U$502,$H$3:$H$502,$H326,$M$3:$M$502,"APPROVED",$Q$3:$Q$502,"&lt;="&amp;Settings!$B$4,$I$3:$I$502,"&lt;="&amp;$I326))</f>
        <v/>
      </c>
      <c r="X326" s="21" t="str">
        <f>IF(OR($C326="", $M326&lt;&gt;"APPROVED",$I326="", $U326=0),"",SUMIFS($U$3:$U$502,$H$3:$H$502,$H326,$M$3:$M$502,"APPROVED",$Q$3:$Q$502,"&lt;="&amp;Settings!$B$5,$I$3:$I$502,"&lt;="&amp;$I326))</f>
        <v/>
      </c>
      <c r="Y326" s="21" t="str">
        <f>IF($P326="","",IFERROR(MATCH($P326,Lists!$H$2:$H$4,0),""))</f>
        <v/>
      </c>
      <c r="Z326" s="21" t="str">
        <f t="shared" si="8"/>
        <v/>
      </c>
    </row>
    <row r="327" spans="1:26" ht="15.75" customHeight="1" x14ac:dyDescent="0.3">
      <c r="A327" s="16" t="str">
        <f t="shared" si="9"/>
        <v/>
      </c>
      <c r="B327" s="28"/>
      <c r="C327" s="29"/>
      <c r="D327" s="16"/>
      <c r="E327" s="16"/>
      <c r="F327" s="16"/>
      <c r="G327" s="16"/>
      <c r="H327" s="16"/>
      <c r="I327" s="31"/>
      <c r="J327" s="15"/>
      <c r="K327" s="15"/>
      <c r="L327" s="15"/>
      <c r="M327" s="16"/>
      <c r="N327" s="17"/>
      <c r="O327" s="19" t="str">
        <f t="shared" si="5"/>
        <v/>
      </c>
      <c r="P327" s="17"/>
      <c r="Q327" s="17" t="str">
        <f t="shared" ca="1" si="6"/>
        <v/>
      </c>
      <c r="R327" s="21" t="str">
        <f ca="1">IF($Q327="","",IF($Q327&lt;=Settings!$B$8,Settings!$C$8,IF($Q327&lt;=Settings!$B$9,Settings!$C$9,IF($Q327&lt;=Settings!$B$10,Settings!$C$10,IF($Q327&lt;=Settings!$B$11,Settings!$C$11,Settings!$C$12)))))</f>
        <v/>
      </c>
      <c r="S327" s="21" t="str">
        <f>IF($F327="","",IFERROR(VLOOKUP($F327,Settings!$E$8:$F$11,2,FALSE),0))</f>
        <v/>
      </c>
      <c r="T327" s="21">
        <f>IF($G327="",Settings!$B$16,1)</f>
        <v>1</v>
      </c>
      <c r="U327" s="21" t="str">
        <f t="shared" si="7"/>
        <v/>
      </c>
      <c r="V327" s="32" t="str">
        <f>IF($C327="","",IF($Q327&gt;Settings!$B$4,IF($G327="","|","")&amp;"OLD_7D","")&amp;IF($Q327&gt;Settings!$B$5,IF(OR($G327="", $Q327&gt;Settings!$B$4),"|","")&amp;"OLD_30D",""))</f>
        <v/>
      </c>
      <c r="W327" s="21" t="str">
        <f>IF(OR($C327="", $M327&lt;&gt;"APPROVED",$I327="", $U327=0),"",SUMIFS($U$3:$U$502,$H$3:$H$502,$H327,$M$3:$M$502,"APPROVED",$Q$3:$Q$502,"&lt;="&amp;Settings!$B$4,$I$3:$I$502,"&lt;="&amp;$I327))</f>
        <v/>
      </c>
      <c r="X327" s="21" t="str">
        <f>IF(OR($C327="", $M327&lt;&gt;"APPROVED",$I327="", $U327=0),"",SUMIFS($U$3:$U$502,$H$3:$H$502,$H327,$M$3:$M$502,"APPROVED",$Q$3:$Q$502,"&lt;="&amp;Settings!$B$5,$I$3:$I$502,"&lt;="&amp;$I327))</f>
        <v/>
      </c>
      <c r="Y327" s="21" t="str">
        <f>IF($P327="","",IFERROR(MATCH($P327,Lists!$H$2:$H$4,0),""))</f>
        <v/>
      </c>
      <c r="Z327" s="21" t="str">
        <f t="shared" si="8"/>
        <v/>
      </c>
    </row>
    <row r="328" spans="1:26" ht="15.75" customHeight="1" x14ac:dyDescent="0.3">
      <c r="A328" s="16" t="str">
        <f t="shared" si="9"/>
        <v/>
      </c>
      <c r="B328" s="28"/>
      <c r="C328" s="29"/>
      <c r="D328" s="16"/>
      <c r="E328" s="16"/>
      <c r="F328" s="16"/>
      <c r="G328" s="16"/>
      <c r="H328" s="16"/>
      <c r="I328" s="31"/>
      <c r="J328" s="15"/>
      <c r="K328" s="15"/>
      <c r="L328" s="15"/>
      <c r="M328" s="16"/>
      <c r="N328" s="17"/>
      <c r="O328" s="19" t="str">
        <f t="shared" si="5"/>
        <v/>
      </c>
      <c r="P328" s="17"/>
      <c r="Q328" s="17" t="str">
        <f t="shared" ca="1" si="6"/>
        <v/>
      </c>
      <c r="R328" s="21" t="str">
        <f ca="1">IF($Q328="","",IF($Q328&lt;=Settings!$B$8,Settings!$C$8,IF($Q328&lt;=Settings!$B$9,Settings!$C$9,IF($Q328&lt;=Settings!$B$10,Settings!$C$10,IF($Q328&lt;=Settings!$B$11,Settings!$C$11,Settings!$C$12)))))</f>
        <v/>
      </c>
      <c r="S328" s="21" t="str">
        <f>IF($F328="","",IFERROR(VLOOKUP($F328,Settings!$E$8:$F$11,2,FALSE),0))</f>
        <v/>
      </c>
      <c r="T328" s="21">
        <f>IF($G328="",Settings!$B$16,1)</f>
        <v>1</v>
      </c>
      <c r="U328" s="21" t="str">
        <f t="shared" si="7"/>
        <v/>
      </c>
      <c r="V328" s="32" t="str">
        <f>IF($C328="","",IF($Q328&gt;Settings!$B$4,IF($G328="","|","")&amp;"OLD_7D","")&amp;IF($Q328&gt;Settings!$B$5,IF(OR($G328="", $Q328&gt;Settings!$B$4),"|","")&amp;"OLD_30D",""))</f>
        <v/>
      </c>
      <c r="W328" s="21" t="str">
        <f>IF(OR($C328="", $M328&lt;&gt;"APPROVED",$I328="", $U328=0),"",SUMIFS($U$3:$U$502,$H$3:$H$502,$H328,$M$3:$M$502,"APPROVED",$Q$3:$Q$502,"&lt;="&amp;Settings!$B$4,$I$3:$I$502,"&lt;="&amp;$I328))</f>
        <v/>
      </c>
      <c r="X328" s="21" t="str">
        <f>IF(OR($C328="", $M328&lt;&gt;"APPROVED",$I328="", $U328=0),"",SUMIFS($U$3:$U$502,$H$3:$H$502,$H328,$M$3:$M$502,"APPROVED",$Q$3:$Q$502,"&lt;="&amp;Settings!$B$5,$I$3:$I$502,"&lt;="&amp;$I328))</f>
        <v/>
      </c>
      <c r="Y328" s="21" t="str">
        <f>IF($P328="","",IFERROR(MATCH($P328,Lists!$H$2:$H$4,0),""))</f>
        <v/>
      </c>
      <c r="Z328" s="21" t="str">
        <f t="shared" si="8"/>
        <v/>
      </c>
    </row>
    <row r="329" spans="1:26" ht="15.75" customHeight="1" x14ac:dyDescent="0.3">
      <c r="A329" s="16" t="str">
        <f t="shared" si="9"/>
        <v/>
      </c>
      <c r="B329" s="28"/>
      <c r="C329" s="29"/>
      <c r="D329" s="16"/>
      <c r="E329" s="16"/>
      <c r="F329" s="16"/>
      <c r="G329" s="16"/>
      <c r="H329" s="16"/>
      <c r="I329" s="31"/>
      <c r="J329" s="15"/>
      <c r="K329" s="15"/>
      <c r="L329" s="15"/>
      <c r="M329" s="16"/>
      <c r="N329" s="17"/>
      <c r="O329" s="19" t="str">
        <f t="shared" si="5"/>
        <v/>
      </c>
      <c r="P329" s="17"/>
      <c r="Q329" s="17" t="str">
        <f t="shared" ca="1" si="6"/>
        <v/>
      </c>
      <c r="R329" s="21" t="str">
        <f ca="1">IF($Q329="","",IF($Q329&lt;=Settings!$B$8,Settings!$C$8,IF($Q329&lt;=Settings!$B$9,Settings!$C$9,IF($Q329&lt;=Settings!$B$10,Settings!$C$10,IF($Q329&lt;=Settings!$B$11,Settings!$C$11,Settings!$C$12)))))</f>
        <v/>
      </c>
      <c r="S329" s="21" t="str">
        <f>IF($F329="","",IFERROR(VLOOKUP($F329,Settings!$E$8:$F$11,2,FALSE),0))</f>
        <v/>
      </c>
      <c r="T329" s="21">
        <f>IF($G329="",Settings!$B$16,1)</f>
        <v>1</v>
      </c>
      <c r="U329" s="21" t="str">
        <f t="shared" si="7"/>
        <v/>
      </c>
      <c r="V329" s="32" t="str">
        <f>IF($C329="","",IF($Q329&gt;Settings!$B$4,IF($G329="","|","")&amp;"OLD_7D","")&amp;IF($Q329&gt;Settings!$B$5,IF(OR($G329="", $Q329&gt;Settings!$B$4),"|","")&amp;"OLD_30D",""))</f>
        <v/>
      </c>
      <c r="W329" s="21" t="str">
        <f>IF(OR($C329="", $M329&lt;&gt;"APPROVED",$I329="", $U329=0),"",SUMIFS($U$3:$U$502,$H$3:$H$502,$H329,$M$3:$M$502,"APPROVED",$Q$3:$Q$502,"&lt;="&amp;Settings!$B$4,$I$3:$I$502,"&lt;="&amp;$I329))</f>
        <v/>
      </c>
      <c r="X329" s="21" t="str">
        <f>IF(OR($C329="", $M329&lt;&gt;"APPROVED",$I329="", $U329=0),"",SUMIFS($U$3:$U$502,$H$3:$H$502,$H329,$M$3:$M$502,"APPROVED",$Q$3:$Q$502,"&lt;="&amp;Settings!$B$5,$I$3:$I$502,"&lt;="&amp;$I329))</f>
        <v/>
      </c>
      <c r="Y329" s="21" t="str">
        <f>IF($P329="","",IFERROR(MATCH($P329,Lists!$H$2:$H$4,0),""))</f>
        <v/>
      </c>
      <c r="Z329" s="21" t="str">
        <f t="shared" si="8"/>
        <v/>
      </c>
    </row>
    <row r="330" spans="1:26" ht="15.75" customHeight="1" x14ac:dyDescent="0.3">
      <c r="A330" s="16" t="str">
        <f t="shared" si="9"/>
        <v/>
      </c>
      <c r="B330" s="28"/>
      <c r="C330" s="29"/>
      <c r="D330" s="16"/>
      <c r="E330" s="16"/>
      <c r="F330" s="16"/>
      <c r="G330" s="16"/>
      <c r="H330" s="16"/>
      <c r="I330" s="31"/>
      <c r="J330" s="15"/>
      <c r="K330" s="15"/>
      <c r="L330" s="15"/>
      <c r="M330" s="16"/>
      <c r="N330" s="17"/>
      <c r="O330" s="19" t="str">
        <f t="shared" si="5"/>
        <v/>
      </c>
      <c r="P330" s="17"/>
      <c r="Q330" s="17" t="str">
        <f t="shared" ca="1" si="6"/>
        <v/>
      </c>
      <c r="R330" s="21" t="str">
        <f ca="1">IF($Q330="","",IF($Q330&lt;=Settings!$B$8,Settings!$C$8,IF($Q330&lt;=Settings!$B$9,Settings!$C$9,IF($Q330&lt;=Settings!$B$10,Settings!$C$10,IF($Q330&lt;=Settings!$B$11,Settings!$C$11,Settings!$C$12)))))</f>
        <v/>
      </c>
      <c r="S330" s="21" t="str">
        <f>IF($F330="","",IFERROR(VLOOKUP($F330,Settings!$E$8:$F$11,2,FALSE),0))</f>
        <v/>
      </c>
      <c r="T330" s="21">
        <f>IF($G330="",Settings!$B$16,1)</f>
        <v>1</v>
      </c>
      <c r="U330" s="21" t="str">
        <f t="shared" si="7"/>
        <v/>
      </c>
      <c r="V330" s="32" t="str">
        <f>IF($C330="","",IF($Q330&gt;Settings!$B$4,IF($G330="","|","")&amp;"OLD_7D","")&amp;IF($Q330&gt;Settings!$B$5,IF(OR($G330="", $Q330&gt;Settings!$B$4),"|","")&amp;"OLD_30D",""))</f>
        <v/>
      </c>
      <c r="W330" s="21" t="str">
        <f>IF(OR($C330="", $M330&lt;&gt;"APPROVED",$I330="", $U330=0),"",SUMIFS($U$3:$U$502,$H$3:$H$502,$H330,$M$3:$M$502,"APPROVED",$Q$3:$Q$502,"&lt;="&amp;Settings!$B$4,$I$3:$I$502,"&lt;="&amp;$I330))</f>
        <v/>
      </c>
      <c r="X330" s="21" t="str">
        <f>IF(OR($C330="", $M330&lt;&gt;"APPROVED",$I330="", $U330=0),"",SUMIFS($U$3:$U$502,$H$3:$H$502,$H330,$M$3:$M$502,"APPROVED",$Q$3:$Q$502,"&lt;="&amp;Settings!$B$5,$I$3:$I$502,"&lt;="&amp;$I330))</f>
        <v/>
      </c>
      <c r="Y330" s="21" t="str">
        <f>IF($P330="","",IFERROR(MATCH($P330,Lists!$H$2:$H$4,0),""))</f>
        <v/>
      </c>
      <c r="Z330" s="21" t="str">
        <f t="shared" si="8"/>
        <v/>
      </c>
    </row>
    <row r="331" spans="1:26" ht="15.75" customHeight="1" x14ac:dyDescent="0.3">
      <c r="A331" s="16" t="str">
        <f t="shared" si="9"/>
        <v/>
      </c>
      <c r="B331" s="28"/>
      <c r="C331" s="29"/>
      <c r="D331" s="16"/>
      <c r="E331" s="16"/>
      <c r="F331" s="16"/>
      <c r="G331" s="16"/>
      <c r="H331" s="16"/>
      <c r="I331" s="31"/>
      <c r="J331" s="15"/>
      <c r="K331" s="15"/>
      <c r="L331" s="15"/>
      <c r="M331" s="16"/>
      <c r="N331" s="17"/>
      <c r="O331" s="19" t="str">
        <f t="shared" si="5"/>
        <v/>
      </c>
      <c r="P331" s="17"/>
      <c r="Q331" s="17" t="str">
        <f t="shared" ca="1" si="6"/>
        <v/>
      </c>
      <c r="R331" s="21" t="str">
        <f ca="1">IF($Q331="","",IF($Q331&lt;=Settings!$B$8,Settings!$C$8,IF($Q331&lt;=Settings!$B$9,Settings!$C$9,IF($Q331&lt;=Settings!$B$10,Settings!$C$10,IF($Q331&lt;=Settings!$B$11,Settings!$C$11,Settings!$C$12)))))</f>
        <v/>
      </c>
      <c r="S331" s="21" t="str">
        <f>IF($F331="","",IFERROR(VLOOKUP($F331,Settings!$E$8:$F$11,2,FALSE),0))</f>
        <v/>
      </c>
      <c r="T331" s="21">
        <f>IF($G331="",Settings!$B$16,1)</f>
        <v>1</v>
      </c>
      <c r="U331" s="21" t="str">
        <f t="shared" si="7"/>
        <v/>
      </c>
      <c r="V331" s="32" t="str">
        <f>IF($C331="","",IF($Q331&gt;Settings!$B$4,IF($G331="","|","")&amp;"OLD_7D","")&amp;IF($Q331&gt;Settings!$B$5,IF(OR($G331="", $Q331&gt;Settings!$B$4),"|","")&amp;"OLD_30D",""))</f>
        <v/>
      </c>
      <c r="W331" s="21" t="str">
        <f>IF(OR($C331="", $M331&lt;&gt;"APPROVED",$I331="", $U331=0),"",SUMIFS($U$3:$U$502,$H$3:$H$502,$H331,$M$3:$M$502,"APPROVED",$Q$3:$Q$502,"&lt;="&amp;Settings!$B$4,$I$3:$I$502,"&lt;="&amp;$I331))</f>
        <v/>
      </c>
      <c r="X331" s="21" t="str">
        <f>IF(OR($C331="", $M331&lt;&gt;"APPROVED",$I331="", $U331=0),"",SUMIFS($U$3:$U$502,$H$3:$H$502,$H331,$M$3:$M$502,"APPROVED",$Q$3:$Q$502,"&lt;="&amp;Settings!$B$5,$I$3:$I$502,"&lt;="&amp;$I331))</f>
        <v/>
      </c>
      <c r="Y331" s="21" t="str">
        <f>IF($P331="","",IFERROR(MATCH($P331,Lists!$H$2:$H$4,0),""))</f>
        <v/>
      </c>
      <c r="Z331" s="21" t="str">
        <f t="shared" si="8"/>
        <v/>
      </c>
    </row>
    <row r="332" spans="1:26" ht="15.75" customHeight="1" x14ac:dyDescent="0.3">
      <c r="A332" s="16" t="str">
        <f t="shared" si="9"/>
        <v/>
      </c>
      <c r="B332" s="28"/>
      <c r="C332" s="29"/>
      <c r="D332" s="16"/>
      <c r="E332" s="16"/>
      <c r="F332" s="16"/>
      <c r="G332" s="16"/>
      <c r="H332" s="16"/>
      <c r="I332" s="31"/>
      <c r="J332" s="15"/>
      <c r="K332" s="15"/>
      <c r="L332" s="15"/>
      <c r="M332" s="16"/>
      <c r="N332" s="17"/>
      <c r="O332" s="19" t="str">
        <f t="shared" si="5"/>
        <v/>
      </c>
      <c r="P332" s="17"/>
      <c r="Q332" s="17" t="str">
        <f t="shared" ca="1" si="6"/>
        <v/>
      </c>
      <c r="R332" s="21" t="str">
        <f ca="1">IF($Q332="","",IF($Q332&lt;=Settings!$B$8,Settings!$C$8,IF($Q332&lt;=Settings!$B$9,Settings!$C$9,IF($Q332&lt;=Settings!$B$10,Settings!$C$10,IF($Q332&lt;=Settings!$B$11,Settings!$C$11,Settings!$C$12)))))</f>
        <v/>
      </c>
      <c r="S332" s="21" t="str">
        <f>IF($F332="","",IFERROR(VLOOKUP($F332,Settings!$E$8:$F$11,2,FALSE),0))</f>
        <v/>
      </c>
      <c r="T332" s="21">
        <f>IF($G332="",Settings!$B$16,1)</f>
        <v>1</v>
      </c>
      <c r="U332" s="21" t="str">
        <f t="shared" si="7"/>
        <v/>
      </c>
      <c r="V332" s="32" t="str">
        <f>IF($C332="","",IF($Q332&gt;Settings!$B$4,IF($G332="","|","")&amp;"OLD_7D","")&amp;IF($Q332&gt;Settings!$B$5,IF(OR($G332="", $Q332&gt;Settings!$B$4),"|","")&amp;"OLD_30D",""))</f>
        <v/>
      </c>
      <c r="W332" s="21" t="str">
        <f>IF(OR($C332="", $M332&lt;&gt;"APPROVED",$I332="", $U332=0),"",SUMIFS($U$3:$U$502,$H$3:$H$502,$H332,$M$3:$M$502,"APPROVED",$Q$3:$Q$502,"&lt;="&amp;Settings!$B$4,$I$3:$I$502,"&lt;="&amp;$I332))</f>
        <v/>
      </c>
      <c r="X332" s="21" t="str">
        <f>IF(OR($C332="", $M332&lt;&gt;"APPROVED",$I332="", $U332=0),"",SUMIFS($U$3:$U$502,$H$3:$H$502,$H332,$M$3:$M$502,"APPROVED",$Q$3:$Q$502,"&lt;="&amp;Settings!$B$5,$I$3:$I$502,"&lt;="&amp;$I332))</f>
        <v/>
      </c>
      <c r="Y332" s="21" t="str">
        <f>IF($P332="","",IFERROR(MATCH($P332,Lists!$H$2:$H$4,0),""))</f>
        <v/>
      </c>
      <c r="Z332" s="21" t="str">
        <f t="shared" si="8"/>
        <v/>
      </c>
    </row>
    <row r="333" spans="1:26" ht="15.75" customHeight="1" x14ac:dyDescent="0.3">
      <c r="A333" s="16" t="str">
        <f t="shared" si="9"/>
        <v/>
      </c>
      <c r="B333" s="28"/>
      <c r="C333" s="29"/>
      <c r="D333" s="16"/>
      <c r="E333" s="16"/>
      <c r="F333" s="16"/>
      <c r="G333" s="16"/>
      <c r="H333" s="16"/>
      <c r="I333" s="31"/>
      <c r="J333" s="15"/>
      <c r="K333" s="15"/>
      <c r="L333" s="15"/>
      <c r="M333" s="16"/>
      <c r="N333" s="17"/>
      <c r="O333" s="19" t="str">
        <f t="shared" si="5"/>
        <v/>
      </c>
      <c r="P333" s="17"/>
      <c r="Q333" s="17" t="str">
        <f t="shared" ca="1" si="6"/>
        <v/>
      </c>
      <c r="R333" s="21" t="str">
        <f ca="1">IF($Q333="","",IF($Q333&lt;=Settings!$B$8,Settings!$C$8,IF($Q333&lt;=Settings!$B$9,Settings!$C$9,IF($Q333&lt;=Settings!$B$10,Settings!$C$10,IF($Q333&lt;=Settings!$B$11,Settings!$C$11,Settings!$C$12)))))</f>
        <v/>
      </c>
      <c r="S333" s="21" t="str">
        <f>IF($F333="","",IFERROR(VLOOKUP($F333,Settings!$E$8:$F$11,2,FALSE),0))</f>
        <v/>
      </c>
      <c r="T333" s="21">
        <f>IF($G333="",Settings!$B$16,1)</f>
        <v>1</v>
      </c>
      <c r="U333" s="21" t="str">
        <f t="shared" si="7"/>
        <v/>
      </c>
      <c r="V333" s="32" t="str">
        <f>IF($C333="","",IF($Q333&gt;Settings!$B$4,IF($G333="","|","")&amp;"OLD_7D","")&amp;IF($Q333&gt;Settings!$B$5,IF(OR($G333="", $Q333&gt;Settings!$B$4),"|","")&amp;"OLD_30D",""))</f>
        <v/>
      </c>
      <c r="W333" s="21" t="str">
        <f>IF(OR($C333="", $M333&lt;&gt;"APPROVED",$I333="", $U333=0),"",SUMIFS($U$3:$U$502,$H$3:$H$502,$H333,$M$3:$M$502,"APPROVED",$Q$3:$Q$502,"&lt;="&amp;Settings!$B$4,$I$3:$I$502,"&lt;="&amp;$I333))</f>
        <v/>
      </c>
      <c r="X333" s="21" t="str">
        <f>IF(OR($C333="", $M333&lt;&gt;"APPROVED",$I333="", $U333=0),"",SUMIFS($U$3:$U$502,$H$3:$H$502,$H333,$M$3:$M$502,"APPROVED",$Q$3:$Q$502,"&lt;="&amp;Settings!$B$5,$I$3:$I$502,"&lt;="&amp;$I333))</f>
        <v/>
      </c>
      <c r="Y333" s="21" t="str">
        <f>IF($P333="","",IFERROR(MATCH($P333,Lists!$H$2:$H$4,0),""))</f>
        <v/>
      </c>
      <c r="Z333" s="21" t="str">
        <f t="shared" si="8"/>
        <v/>
      </c>
    </row>
    <row r="334" spans="1:26" ht="15.75" customHeight="1" x14ac:dyDescent="0.3">
      <c r="A334" s="16" t="str">
        <f t="shared" si="9"/>
        <v/>
      </c>
      <c r="B334" s="28"/>
      <c r="C334" s="29"/>
      <c r="D334" s="16"/>
      <c r="E334" s="16"/>
      <c r="F334" s="16"/>
      <c r="G334" s="16"/>
      <c r="H334" s="16"/>
      <c r="I334" s="31"/>
      <c r="J334" s="15"/>
      <c r="K334" s="15"/>
      <c r="L334" s="15"/>
      <c r="M334" s="16"/>
      <c r="N334" s="17"/>
      <c r="O334" s="19" t="str">
        <f t="shared" si="5"/>
        <v/>
      </c>
      <c r="P334" s="17"/>
      <c r="Q334" s="17" t="str">
        <f t="shared" ca="1" si="6"/>
        <v/>
      </c>
      <c r="R334" s="21" t="str">
        <f ca="1">IF($Q334="","",IF($Q334&lt;=Settings!$B$8,Settings!$C$8,IF($Q334&lt;=Settings!$B$9,Settings!$C$9,IF($Q334&lt;=Settings!$B$10,Settings!$C$10,IF($Q334&lt;=Settings!$B$11,Settings!$C$11,Settings!$C$12)))))</f>
        <v/>
      </c>
      <c r="S334" s="21" t="str">
        <f>IF($F334="","",IFERROR(VLOOKUP($F334,Settings!$E$8:$F$11,2,FALSE),0))</f>
        <v/>
      </c>
      <c r="T334" s="21">
        <f>IF($G334="",Settings!$B$16,1)</f>
        <v>1</v>
      </c>
      <c r="U334" s="21" t="str">
        <f t="shared" si="7"/>
        <v/>
      </c>
      <c r="V334" s="32" t="str">
        <f>IF($C334="","",IF($Q334&gt;Settings!$B$4,IF($G334="","|","")&amp;"OLD_7D","")&amp;IF($Q334&gt;Settings!$B$5,IF(OR($G334="", $Q334&gt;Settings!$B$4),"|","")&amp;"OLD_30D",""))</f>
        <v/>
      </c>
      <c r="W334" s="21" t="str">
        <f>IF(OR($C334="", $M334&lt;&gt;"APPROVED",$I334="", $U334=0),"",SUMIFS($U$3:$U$502,$H$3:$H$502,$H334,$M$3:$M$502,"APPROVED",$Q$3:$Q$502,"&lt;="&amp;Settings!$B$4,$I$3:$I$502,"&lt;="&amp;$I334))</f>
        <v/>
      </c>
      <c r="X334" s="21" t="str">
        <f>IF(OR($C334="", $M334&lt;&gt;"APPROVED",$I334="", $U334=0),"",SUMIFS($U$3:$U$502,$H$3:$H$502,$H334,$M$3:$M$502,"APPROVED",$Q$3:$Q$502,"&lt;="&amp;Settings!$B$5,$I$3:$I$502,"&lt;="&amp;$I334))</f>
        <v/>
      </c>
      <c r="Y334" s="21" t="str">
        <f>IF($P334="","",IFERROR(MATCH($P334,Lists!$H$2:$H$4,0),""))</f>
        <v/>
      </c>
      <c r="Z334" s="21" t="str">
        <f t="shared" si="8"/>
        <v/>
      </c>
    </row>
    <row r="335" spans="1:26" ht="15.75" customHeight="1" x14ac:dyDescent="0.3">
      <c r="A335" s="16" t="str">
        <f t="shared" si="9"/>
        <v/>
      </c>
      <c r="B335" s="28"/>
      <c r="C335" s="29"/>
      <c r="D335" s="16"/>
      <c r="E335" s="16"/>
      <c r="F335" s="16"/>
      <c r="G335" s="16"/>
      <c r="H335" s="16"/>
      <c r="I335" s="31"/>
      <c r="J335" s="15"/>
      <c r="K335" s="15"/>
      <c r="L335" s="15"/>
      <c r="M335" s="16"/>
      <c r="N335" s="17"/>
      <c r="O335" s="19" t="str">
        <f t="shared" si="5"/>
        <v/>
      </c>
      <c r="P335" s="17"/>
      <c r="Q335" s="17" t="str">
        <f t="shared" ca="1" si="6"/>
        <v/>
      </c>
      <c r="R335" s="21" t="str">
        <f ca="1">IF($Q335="","",IF($Q335&lt;=Settings!$B$8,Settings!$C$8,IF($Q335&lt;=Settings!$B$9,Settings!$C$9,IF($Q335&lt;=Settings!$B$10,Settings!$C$10,IF($Q335&lt;=Settings!$B$11,Settings!$C$11,Settings!$C$12)))))</f>
        <v/>
      </c>
      <c r="S335" s="21" t="str">
        <f>IF($F335="","",IFERROR(VLOOKUP($F335,Settings!$E$8:$F$11,2,FALSE),0))</f>
        <v/>
      </c>
      <c r="T335" s="21">
        <f>IF($G335="",Settings!$B$16,1)</f>
        <v>1</v>
      </c>
      <c r="U335" s="21" t="str">
        <f t="shared" si="7"/>
        <v/>
      </c>
      <c r="V335" s="32" t="str">
        <f>IF($C335="","",IF($Q335&gt;Settings!$B$4,IF($G335="","|","")&amp;"OLD_7D","")&amp;IF($Q335&gt;Settings!$B$5,IF(OR($G335="", $Q335&gt;Settings!$B$4),"|","")&amp;"OLD_30D",""))</f>
        <v/>
      </c>
      <c r="W335" s="21" t="str">
        <f>IF(OR($C335="", $M335&lt;&gt;"APPROVED",$I335="", $U335=0),"",SUMIFS($U$3:$U$502,$H$3:$H$502,$H335,$M$3:$M$502,"APPROVED",$Q$3:$Q$502,"&lt;="&amp;Settings!$B$4,$I$3:$I$502,"&lt;="&amp;$I335))</f>
        <v/>
      </c>
      <c r="X335" s="21" t="str">
        <f>IF(OR($C335="", $M335&lt;&gt;"APPROVED",$I335="", $U335=0),"",SUMIFS($U$3:$U$502,$H$3:$H$502,$H335,$M$3:$M$502,"APPROVED",$Q$3:$Q$502,"&lt;="&amp;Settings!$B$5,$I$3:$I$502,"&lt;="&amp;$I335))</f>
        <v/>
      </c>
      <c r="Y335" s="21" t="str">
        <f>IF($P335="","",IFERROR(MATCH($P335,Lists!$H$2:$H$4,0),""))</f>
        <v/>
      </c>
      <c r="Z335" s="21" t="str">
        <f t="shared" si="8"/>
        <v/>
      </c>
    </row>
    <row r="336" spans="1:26" ht="15.75" customHeight="1" x14ac:dyDescent="0.3">
      <c r="A336" s="16" t="str">
        <f t="shared" si="9"/>
        <v/>
      </c>
      <c r="B336" s="28"/>
      <c r="C336" s="29"/>
      <c r="D336" s="16"/>
      <c r="E336" s="16"/>
      <c r="F336" s="16"/>
      <c r="G336" s="16"/>
      <c r="H336" s="16"/>
      <c r="I336" s="31"/>
      <c r="J336" s="15"/>
      <c r="K336" s="15"/>
      <c r="L336" s="15"/>
      <c r="M336" s="16"/>
      <c r="N336" s="17"/>
      <c r="O336" s="19" t="str">
        <f t="shared" si="5"/>
        <v/>
      </c>
      <c r="P336" s="17"/>
      <c r="Q336" s="17" t="str">
        <f t="shared" ca="1" si="6"/>
        <v/>
      </c>
      <c r="R336" s="21" t="str">
        <f ca="1">IF($Q336="","",IF($Q336&lt;=Settings!$B$8,Settings!$C$8,IF($Q336&lt;=Settings!$B$9,Settings!$C$9,IF($Q336&lt;=Settings!$B$10,Settings!$C$10,IF($Q336&lt;=Settings!$B$11,Settings!$C$11,Settings!$C$12)))))</f>
        <v/>
      </c>
      <c r="S336" s="21" t="str">
        <f>IF($F336="","",IFERROR(VLOOKUP($F336,Settings!$E$8:$F$11,2,FALSE),0))</f>
        <v/>
      </c>
      <c r="T336" s="21">
        <f>IF($G336="",Settings!$B$16,1)</f>
        <v>1</v>
      </c>
      <c r="U336" s="21" t="str">
        <f t="shared" si="7"/>
        <v/>
      </c>
      <c r="V336" s="32" t="str">
        <f>IF($C336="","",IF($Q336&gt;Settings!$B$4,IF($G336="","|","")&amp;"OLD_7D","")&amp;IF($Q336&gt;Settings!$B$5,IF(OR($G336="", $Q336&gt;Settings!$B$4),"|","")&amp;"OLD_30D",""))</f>
        <v/>
      </c>
      <c r="W336" s="21" t="str">
        <f>IF(OR($C336="", $M336&lt;&gt;"APPROVED",$I336="", $U336=0),"",SUMIFS($U$3:$U$502,$H$3:$H$502,$H336,$M$3:$M$502,"APPROVED",$Q$3:$Q$502,"&lt;="&amp;Settings!$B$4,$I$3:$I$502,"&lt;="&amp;$I336))</f>
        <v/>
      </c>
      <c r="X336" s="21" t="str">
        <f>IF(OR($C336="", $M336&lt;&gt;"APPROVED",$I336="", $U336=0),"",SUMIFS($U$3:$U$502,$H$3:$H$502,$H336,$M$3:$M$502,"APPROVED",$Q$3:$Q$502,"&lt;="&amp;Settings!$B$5,$I$3:$I$502,"&lt;="&amp;$I336))</f>
        <v/>
      </c>
      <c r="Y336" s="21" t="str">
        <f>IF($P336="","",IFERROR(MATCH($P336,Lists!$H$2:$H$4,0),""))</f>
        <v/>
      </c>
      <c r="Z336" s="21" t="str">
        <f t="shared" si="8"/>
        <v/>
      </c>
    </row>
    <row r="337" spans="1:26" ht="15.75" customHeight="1" x14ac:dyDescent="0.3">
      <c r="A337" s="16" t="str">
        <f t="shared" si="9"/>
        <v/>
      </c>
      <c r="B337" s="28"/>
      <c r="C337" s="29"/>
      <c r="D337" s="16"/>
      <c r="E337" s="16"/>
      <c r="F337" s="16"/>
      <c r="G337" s="16"/>
      <c r="H337" s="16"/>
      <c r="I337" s="31"/>
      <c r="J337" s="15"/>
      <c r="K337" s="15"/>
      <c r="L337" s="15"/>
      <c r="M337" s="16"/>
      <c r="N337" s="17"/>
      <c r="O337" s="19" t="str">
        <f t="shared" si="5"/>
        <v/>
      </c>
      <c r="P337" s="17"/>
      <c r="Q337" s="17" t="str">
        <f t="shared" ca="1" si="6"/>
        <v/>
      </c>
      <c r="R337" s="21" t="str">
        <f ca="1">IF($Q337="","",IF($Q337&lt;=Settings!$B$8,Settings!$C$8,IF($Q337&lt;=Settings!$B$9,Settings!$C$9,IF($Q337&lt;=Settings!$B$10,Settings!$C$10,IF($Q337&lt;=Settings!$B$11,Settings!$C$11,Settings!$C$12)))))</f>
        <v/>
      </c>
      <c r="S337" s="21" t="str">
        <f>IF($F337="","",IFERROR(VLOOKUP($F337,Settings!$E$8:$F$11,2,FALSE),0))</f>
        <v/>
      </c>
      <c r="T337" s="21">
        <f>IF($G337="",Settings!$B$16,1)</f>
        <v>1</v>
      </c>
      <c r="U337" s="21" t="str">
        <f t="shared" si="7"/>
        <v/>
      </c>
      <c r="V337" s="32" t="str">
        <f>IF($C337="","",IF($Q337&gt;Settings!$B$4,IF($G337="","|","")&amp;"OLD_7D","")&amp;IF($Q337&gt;Settings!$B$5,IF(OR($G337="", $Q337&gt;Settings!$B$4),"|","")&amp;"OLD_30D",""))</f>
        <v/>
      </c>
      <c r="W337" s="21" t="str">
        <f>IF(OR($C337="", $M337&lt;&gt;"APPROVED",$I337="", $U337=0),"",SUMIFS($U$3:$U$502,$H$3:$H$502,$H337,$M$3:$M$502,"APPROVED",$Q$3:$Q$502,"&lt;="&amp;Settings!$B$4,$I$3:$I$502,"&lt;="&amp;$I337))</f>
        <v/>
      </c>
      <c r="X337" s="21" t="str">
        <f>IF(OR($C337="", $M337&lt;&gt;"APPROVED",$I337="", $U337=0),"",SUMIFS($U$3:$U$502,$H$3:$H$502,$H337,$M$3:$M$502,"APPROVED",$Q$3:$Q$502,"&lt;="&amp;Settings!$B$5,$I$3:$I$502,"&lt;="&amp;$I337))</f>
        <v/>
      </c>
      <c r="Y337" s="21" t="str">
        <f>IF($P337="","",IFERROR(MATCH($P337,Lists!$H$2:$H$4,0),""))</f>
        <v/>
      </c>
      <c r="Z337" s="21" t="str">
        <f t="shared" si="8"/>
        <v/>
      </c>
    </row>
    <row r="338" spans="1:26" ht="15.75" customHeight="1" x14ac:dyDescent="0.3">
      <c r="A338" s="16" t="str">
        <f t="shared" si="9"/>
        <v/>
      </c>
      <c r="B338" s="28"/>
      <c r="C338" s="29"/>
      <c r="D338" s="16"/>
      <c r="E338" s="16"/>
      <c r="F338" s="16"/>
      <c r="G338" s="16"/>
      <c r="H338" s="16"/>
      <c r="I338" s="31"/>
      <c r="J338" s="15"/>
      <c r="K338" s="15"/>
      <c r="L338" s="15"/>
      <c r="M338" s="16"/>
      <c r="N338" s="17"/>
      <c r="O338" s="19" t="str">
        <f t="shared" si="5"/>
        <v/>
      </c>
      <c r="P338" s="17"/>
      <c r="Q338" s="17" t="str">
        <f t="shared" ca="1" si="6"/>
        <v/>
      </c>
      <c r="R338" s="21" t="str">
        <f ca="1">IF($Q338="","",IF($Q338&lt;=Settings!$B$8,Settings!$C$8,IF($Q338&lt;=Settings!$B$9,Settings!$C$9,IF($Q338&lt;=Settings!$B$10,Settings!$C$10,IF($Q338&lt;=Settings!$B$11,Settings!$C$11,Settings!$C$12)))))</f>
        <v/>
      </c>
      <c r="S338" s="21" t="str">
        <f>IF($F338="","",IFERROR(VLOOKUP($F338,Settings!$E$8:$F$11,2,FALSE),0))</f>
        <v/>
      </c>
      <c r="T338" s="21">
        <f>IF($G338="",Settings!$B$16,1)</f>
        <v>1</v>
      </c>
      <c r="U338" s="21" t="str">
        <f t="shared" si="7"/>
        <v/>
      </c>
      <c r="V338" s="32" t="str">
        <f>IF($C338="","",IF($Q338&gt;Settings!$B$4,IF($G338="","|","")&amp;"OLD_7D","")&amp;IF($Q338&gt;Settings!$B$5,IF(OR($G338="", $Q338&gt;Settings!$B$4),"|","")&amp;"OLD_30D",""))</f>
        <v/>
      </c>
      <c r="W338" s="21" t="str">
        <f>IF(OR($C338="", $M338&lt;&gt;"APPROVED",$I338="", $U338=0),"",SUMIFS($U$3:$U$502,$H$3:$H$502,$H338,$M$3:$M$502,"APPROVED",$Q$3:$Q$502,"&lt;="&amp;Settings!$B$4,$I$3:$I$502,"&lt;="&amp;$I338))</f>
        <v/>
      </c>
      <c r="X338" s="21" t="str">
        <f>IF(OR($C338="", $M338&lt;&gt;"APPROVED",$I338="", $U338=0),"",SUMIFS($U$3:$U$502,$H$3:$H$502,$H338,$M$3:$M$502,"APPROVED",$Q$3:$Q$502,"&lt;="&amp;Settings!$B$5,$I$3:$I$502,"&lt;="&amp;$I338))</f>
        <v/>
      </c>
      <c r="Y338" s="21" t="str">
        <f>IF($P338="","",IFERROR(MATCH($P338,Lists!$H$2:$H$4,0),""))</f>
        <v/>
      </c>
      <c r="Z338" s="21" t="str">
        <f t="shared" si="8"/>
        <v/>
      </c>
    </row>
    <row r="339" spans="1:26" ht="15.75" customHeight="1" x14ac:dyDescent="0.3">
      <c r="A339" s="16" t="str">
        <f t="shared" si="9"/>
        <v/>
      </c>
      <c r="B339" s="28"/>
      <c r="C339" s="29"/>
      <c r="D339" s="16"/>
      <c r="E339" s="16"/>
      <c r="F339" s="16"/>
      <c r="G339" s="16"/>
      <c r="H339" s="16"/>
      <c r="I339" s="31"/>
      <c r="J339" s="15"/>
      <c r="K339" s="15"/>
      <c r="L339" s="15"/>
      <c r="M339" s="16"/>
      <c r="N339" s="17"/>
      <c r="O339" s="19" t="str">
        <f t="shared" si="5"/>
        <v/>
      </c>
      <c r="P339" s="17"/>
      <c r="Q339" s="17" t="str">
        <f t="shared" ca="1" si="6"/>
        <v/>
      </c>
      <c r="R339" s="21" t="str">
        <f ca="1">IF($Q339="","",IF($Q339&lt;=Settings!$B$8,Settings!$C$8,IF($Q339&lt;=Settings!$B$9,Settings!$C$9,IF($Q339&lt;=Settings!$B$10,Settings!$C$10,IF($Q339&lt;=Settings!$B$11,Settings!$C$11,Settings!$C$12)))))</f>
        <v/>
      </c>
      <c r="S339" s="21" t="str">
        <f>IF($F339="","",IFERROR(VLOOKUP($F339,Settings!$E$8:$F$11,2,FALSE),0))</f>
        <v/>
      </c>
      <c r="T339" s="21">
        <f>IF($G339="",Settings!$B$16,1)</f>
        <v>1</v>
      </c>
      <c r="U339" s="21" t="str">
        <f t="shared" si="7"/>
        <v/>
      </c>
      <c r="V339" s="32" t="str">
        <f>IF($C339="","",IF($Q339&gt;Settings!$B$4,IF($G339="","|","")&amp;"OLD_7D","")&amp;IF($Q339&gt;Settings!$B$5,IF(OR($G339="", $Q339&gt;Settings!$B$4),"|","")&amp;"OLD_30D",""))</f>
        <v/>
      </c>
      <c r="W339" s="21" t="str">
        <f>IF(OR($C339="", $M339&lt;&gt;"APPROVED",$I339="", $U339=0),"",SUMIFS($U$3:$U$502,$H$3:$H$502,$H339,$M$3:$M$502,"APPROVED",$Q$3:$Q$502,"&lt;="&amp;Settings!$B$4,$I$3:$I$502,"&lt;="&amp;$I339))</f>
        <v/>
      </c>
      <c r="X339" s="21" t="str">
        <f>IF(OR($C339="", $M339&lt;&gt;"APPROVED",$I339="", $U339=0),"",SUMIFS($U$3:$U$502,$H$3:$H$502,$H339,$M$3:$M$502,"APPROVED",$Q$3:$Q$502,"&lt;="&amp;Settings!$B$5,$I$3:$I$502,"&lt;="&amp;$I339))</f>
        <v/>
      </c>
      <c r="Y339" s="21" t="str">
        <f>IF($P339="","",IFERROR(MATCH($P339,Lists!$H$2:$H$4,0),""))</f>
        <v/>
      </c>
      <c r="Z339" s="21" t="str">
        <f t="shared" si="8"/>
        <v/>
      </c>
    </row>
    <row r="340" spans="1:26" ht="15.75" customHeight="1" x14ac:dyDescent="0.3">
      <c r="A340" s="16" t="str">
        <f t="shared" si="9"/>
        <v/>
      </c>
      <c r="B340" s="28"/>
      <c r="C340" s="29"/>
      <c r="D340" s="16"/>
      <c r="E340" s="16"/>
      <c r="F340" s="16"/>
      <c r="G340" s="16"/>
      <c r="H340" s="16"/>
      <c r="I340" s="31"/>
      <c r="J340" s="15"/>
      <c r="K340" s="15"/>
      <c r="L340" s="15"/>
      <c r="M340" s="16"/>
      <c r="N340" s="17"/>
      <c r="O340" s="19" t="str">
        <f t="shared" si="5"/>
        <v/>
      </c>
      <c r="P340" s="17"/>
      <c r="Q340" s="17" t="str">
        <f t="shared" ca="1" si="6"/>
        <v/>
      </c>
      <c r="R340" s="21" t="str">
        <f ca="1">IF($Q340="","",IF($Q340&lt;=Settings!$B$8,Settings!$C$8,IF($Q340&lt;=Settings!$B$9,Settings!$C$9,IF($Q340&lt;=Settings!$B$10,Settings!$C$10,IF($Q340&lt;=Settings!$B$11,Settings!$C$11,Settings!$C$12)))))</f>
        <v/>
      </c>
      <c r="S340" s="21" t="str">
        <f>IF($F340="","",IFERROR(VLOOKUP($F340,Settings!$E$8:$F$11,2,FALSE),0))</f>
        <v/>
      </c>
      <c r="T340" s="21">
        <f>IF($G340="",Settings!$B$16,1)</f>
        <v>1</v>
      </c>
      <c r="U340" s="21" t="str">
        <f t="shared" si="7"/>
        <v/>
      </c>
      <c r="V340" s="32" t="str">
        <f>IF($C340="","",IF($Q340&gt;Settings!$B$4,IF($G340="","|","")&amp;"OLD_7D","")&amp;IF($Q340&gt;Settings!$B$5,IF(OR($G340="", $Q340&gt;Settings!$B$4),"|","")&amp;"OLD_30D",""))</f>
        <v/>
      </c>
      <c r="W340" s="21" t="str">
        <f>IF(OR($C340="", $M340&lt;&gt;"APPROVED",$I340="", $U340=0),"",SUMIFS($U$3:$U$502,$H$3:$H$502,$H340,$M$3:$M$502,"APPROVED",$Q$3:$Q$502,"&lt;="&amp;Settings!$B$4,$I$3:$I$502,"&lt;="&amp;$I340))</f>
        <v/>
      </c>
      <c r="X340" s="21" t="str">
        <f>IF(OR($C340="", $M340&lt;&gt;"APPROVED",$I340="", $U340=0),"",SUMIFS($U$3:$U$502,$H$3:$H$502,$H340,$M$3:$M$502,"APPROVED",$Q$3:$Q$502,"&lt;="&amp;Settings!$B$5,$I$3:$I$502,"&lt;="&amp;$I340))</f>
        <v/>
      </c>
      <c r="Y340" s="21" t="str">
        <f>IF($P340="","",IFERROR(MATCH($P340,Lists!$H$2:$H$4,0),""))</f>
        <v/>
      </c>
      <c r="Z340" s="21" t="str">
        <f t="shared" si="8"/>
        <v/>
      </c>
    </row>
    <row r="341" spans="1:26" ht="15.75" customHeight="1" x14ac:dyDescent="0.3">
      <c r="A341" s="16" t="str">
        <f t="shared" si="9"/>
        <v/>
      </c>
      <c r="B341" s="28"/>
      <c r="C341" s="29"/>
      <c r="D341" s="16"/>
      <c r="E341" s="16"/>
      <c r="F341" s="16"/>
      <c r="G341" s="16"/>
      <c r="H341" s="16"/>
      <c r="I341" s="31"/>
      <c r="J341" s="15"/>
      <c r="K341" s="15"/>
      <c r="L341" s="15"/>
      <c r="M341" s="16"/>
      <c r="N341" s="17"/>
      <c r="O341" s="19" t="str">
        <f t="shared" si="5"/>
        <v/>
      </c>
      <c r="P341" s="17"/>
      <c r="Q341" s="17" t="str">
        <f t="shared" ca="1" si="6"/>
        <v/>
      </c>
      <c r="R341" s="21" t="str">
        <f ca="1">IF($Q341="","",IF($Q341&lt;=Settings!$B$8,Settings!$C$8,IF($Q341&lt;=Settings!$B$9,Settings!$C$9,IF($Q341&lt;=Settings!$B$10,Settings!$C$10,IF($Q341&lt;=Settings!$B$11,Settings!$C$11,Settings!$C$12)))))</f>
        <v/>
      </c>
      <c r="S341" s="21" t="str">
        <f>IF($F341="","",IFERROR(VLOOKUP($F341,Settings!$E$8:$F$11,2,FALSE),0))</f>
        <v/>
      </c>
      <c r="T341" s="21">
        <f>IF($G341="",Settings!$B$16,1)</f>
        <v>1</v>
      </c>
      <c r="U341" s="21" t="str">
        <f t="shared" si="7"/>
        <v/>
      </c>
      <c r="V341" s="32" t="str">
        <f>IF($C341="","",IF($Q341&gt;Settings!$B$4,IF($G341="","|","")&amp;"OLD_7D","")&amp;IF($Q341&gt;Settings!$B$5,IF(OR($G341="", $Q341&gt;Settings!$B$4),"|","")&amp;"OLD_30D",""))</f>
        <v/>
      </c>
      <c r="W341" s="21" t="str">
        <f>IF(OR($C341="", $M341&lt;&gt;"APPROVED",$I341="", $U341=0),"",SUMIFS($U$3:$U$502,$H$3:$H$502,$H341,$M$3:$M$502,"APPROVED",$Q$3:$Q$502,"&lt;="&amp;Settings!$B$4,$I$3:$I$502,"&lt;="&amp;$I341))</f>
        <v/>
      </c>
      <c r="X341" s="21" t="str">
        <f>IF(OR($C341="", $M341&lt;&gt;"APPROVED",$I341="", $U341=0),"",SUMIFS($U$3:$U$502,$H$3:$H$502,$H341,$M$3:$M$502,"APPROVED",$Q$3:$Q$502,"&lt;="&amp;Settings!$B$5,$I$3:$I$502,"&lt;="&amp;$I341))</f>
        <v/>
      </c>
      <c r="Y341" s="21" t="str">
        <f>IF($P341="","",IFERROR(MATCH($P341,Lists!$H$2:$H$4,0),""))</f>
        <v/>
      </c>
      <c r="Z341" s="21" t="str">
        <f t="shared" si="8"/>
        <v/>
      </c>
    </row>
    <row r="342" spans="1:26" ht="15.75" customHeight="1" x14ac:dyDescent="0.3">
      <c r="A342" s="16" t="str">
        <f t="shared" si="9"/>
        <v/>
      </c>
      <c r="B342" s="28"/>
      <c r="C342" s="29"/>
      <c r="D342" s="16"/>
      <c r="E342" s="16"/>
      <c r="F342" s="16"/>
      <c r="G342" s="16"/>
      <c r="H342" s="16"/>
      <c r="I342" s="31"/>
      <c r="J342" s="15"/>
      <c r="K342" s="15"/>
      <c r="L342" s="15"/>
      <c r="M342" s="16"/>
      <c r="N342" s="17"/>
      <c r="O342" s="19" t="str">
        <f t="shared" si="5"/>
        <v/>
      </c>
      <c r="P342" s="17"/>
      <c r="Q342" s="17" t="str">
        <f t="shared" ca="1" si="6"/>
        <v/>
      </c>
      <c r="R342" s="21" t="str">
        <f ca="1">IF($Q342="","",IF($Q342&lt;=Settings!$B$8,Settings!$C$8,IF($Q342&lt;=Settings!$B$9,Settings!$C$9,IF($Q342&lt;=Settings!$B$10,Settings!$C$10,IF($Q342&lt;=Settings!$B$11,Settings!$C$11,Settings!$C$12)))))</f>
        <v/>
      </c>
      <c r="S342" s="21" t="str">
        <f>IF($F342="","",IFERROR(VLOOKUP($F342,Settings!$E$8:$F$11,2,FALSE),0))</f>
        <v/>
      </c>
      <c r="T342" s="21">
        <f>IF($G342="",Settings!$B$16,1)</f>
        <v>1</v>
      </c>
      <c r="U342" s="21" t="str">
        <f t="shared" si="7"/>
        <v/>
      </c>
      <c r="V342" s="32" t="str">
        <f>IF($C342="","",IF($Q342&gt;Settings!$B$4,IF($G342="","|","")&amp;"OLD_7D","")&amp;IF($Q342&gt;Settings!$B$5,IF(OR($G342="", $Q342&gt;Settings!$B$4),"|","")&amp;"OLD_30D",""))</f>
        <v/>
      </c>
      <c r="W342" s="21" t="str">
        <f>IF(OR($C342="", $M342&lt;&gt;"APPROVED",$I342="", $U342=0),"",SUMIFS($U$3:$U$502,$H$3:$H$502,$H342,$M$3:$M$502,"APPROVED",$Q$3:$Q$502,"&lt;="&amp;Settings!$B$4,$I$3:$I$502,"&lt;="&amp;$I342))</f>
        <v/>
      </c>
      <c r="X342" s="21" t="str">
        <f>IF(OR($C342="", $M342&lt;&gt;"APPROVED",$I342="", $U342=0),"",SUMIFS($U$3:$U$502,$H$3:$H$502,$H342,$M$3:$M$502,"APPROVED",$Q$3:$Q$502,"&lt;="&amp;Settings!$B$5,$I$3:$I$502,"&lt;="&amp;$I342))</f>
        <v/>
      </c>
      <c r="Y342" s="21" t="str">
        <f>IF($P342="","",IFERROR(MATCH($P342,Lists!$H$2:$H$4,0),""))</f>
        <v/>
      </c>
      <c r="Z342" s="21" t="str">
        <f t="shared" si="8"/>
        <v/>
      </c>
    </row>
    <row r="343" spans="1:26" ht="15.75" customHeight="1" x14ac:dyDescent="0.3">
      <c r="A343" s="16" t="str">
        <f t="shared" si="9"/>
        <v/>
      </c>
      <c r="B343" s="28"/>
      <c r="C343" s="29"/>
      <c r="D343" s="16"/>
      <c r="E343" s="16"/>
      <c r="F343" s="16"/>
      <c r="G343" s="16"/>
      <c r="H343" s="16"/>
      <c r="I343" s="31"/>
      <c r="J343" s="15"/>
      <c r="K343" s="15"/>
      <c r="L343" s="15"/>
      <c r="M343" s="16"/>
      <c r="N343" s="17"/>
      <c r="O343" s="19" t="str">
        <f t="shared" si="5"/>
        <v/>
      </c>
      <c r="P343" s="17"/>
      <c r="Q343" s="17" t="str">
        <f t="shared" ca="1" si="6"/>
        <v/>
      </c>
      <c r="R343" s="21" t="str">
        <f ca="1">IF($Q343="","",IF($Q343&lt;=Settings!$B$8,Settings!$C$8,IF($Q343&lt;=Settings!$B$9,Settings!$C$9,IF($Q343&lt;=Settings!$B$10,Settings!$C$10,IF($Q343&lt;=Settings!$B$11,Settings!$C$11,Settings!$C$12)))))</f>
        <v/>
      </c>
      <c r="S343" s="21" t="str">
        <f>IF($F343="","",IFERROR(VLOOKUP($F343,Settings!$E$8:$F$11,2,FALSE),0))</f>
        <v/>
      </c>
      <c r="T343" s="21">
        <f>IF($G343="",Settings!$B$16,1)</f>
        <v>1</v>
      </c>
      <c r="U343" s="21" t="str">
        <f t="shared" si="7"/>
        <v/>
      </c>
      <c r="V343" s="32" t="str">
        <f>IF($C343="","",IF($Q343&gt;Settings!$B$4,IF($G343="","|","")&amp;"OLD_7D","")&amp;IF($Q343&gt;Settings!$B$5,IF(OR($G343="", $Q343&gt;Settings!$B$4),"|","")&amp;"OLD_30D",""))</f>
        <v/>
      </c>
      <c r="W343" s="21" t="str">
        <f>IF(OR($C343="", $M343&lt;&gt;"APPROVED",$I343="", $U343=0),"",SUMIFS($U$3:$U$502,$H$3:$H$502,$H343,$M$3:$M$502,"APPROVED",$Q$3:$Q$502,"&lt;="&amp;Settings!$B$4,$I$3:$I$502,"&lt;="&amp;$I343))</f>
        <v/>
      </c>
      <c r="X343" s="21" t="str">
        <f>IF(OR($C343="", $M343&lt;&gt;"APPROVED",$I343="", $U343=0),"",SUMIFS($U$3:$U$502,$H$3:$H$502,$H343,$M$3:$M$502,"APPROVED",$Q$3:$Q$502,"&lt;="&amp;Settings!$B$5,$I$3:$I$502,"&lt;="&amp;$I343))</f>
        <v/>
      </c>
      <c r="Y343" s="21" t="str">
        <f>IF($P343="","",IFERROR(MATCH($P343,Lists!$H$2:$H$4,0),""))</f>
        <v/>
      </c>
      <c r="Z343" s="21" t="str">
        <f t="shared" si="8"/>
        <v/>
      </c>
    </row>
    <row r="344" spans="1:26" ht="15.75" customHeight="1" x14ac:dyDescent="0.3">
      <c r="A344" s="16" t="str">
        <f t="shared" si="9"/>
        <v/>
      </c>
      <c r="B344" s="28"/>
      <c r="C344" s="29"/>
      <c r="D344" s="16"/>
      <c r="E344" s="16"/>
      <c r="F344" s="16"/>
      <c r="G344" s="16"/>
      <c r="H344" s="16"/>
      <c r="I344" s="31"/>
      <c r="J344" s="15"/>
      <c r="K344" s="15"/>
      <c r="L344" s="15"/>
      <c r="M344" s="16"/>
      <c r="N344" s="17"/>
      <c r="O344" s="19" t="str">
        <f t="shared" si="5"/>
        <v/>
      </c>
      <c r="P344" s="17"/>
      <c r="Q344" s="17" t="str">
        <f t="shared" ca="1" si="6"/>
        <v/>
      </c>
      <c r="R344" s="21" t="str">
        <f ca="1">IF($Q344="","",IF($Q344&lt;=Settings!$B$8,Settings!$C$8,IF($Q344&lt;=Settings!$B$9,Settings!$C$9,IF($Q344&lt;=Settings!$B$10,Settings!$C$10,IF($Q344&lt;=Settings!$B$11,Settings!$C$11,Settings!$C$12)))))</f>
        <v/>
      </c>
      <c r="S344" s="21" t="str">
        <f>IF($F344="","",IFERROR(VLOOKUP($F344,Settings!$E$8:$F$11,2,FALSE),0))</f>
        <v/>
      </c>
      <c r="T344" s="21">
        <f>IF($G344="",Settings!$B$16,1)</f>
        <v>1</v>
      </c>
      <c r="U344" s="21" t="str">
        <f t="shared" si="7"/>
        <v/>
      </c>
      <c r="V344" s="32" t="str">
        <f>IF($C344="","",IF($Q344&gt;Settings!$B$4,IF($G344="","|","")&amp;"OLD_7D","")&amp;IF($Q344&gt;Settings!$B$5,IF(OR($G344="", $Q344&gt;Settings!$B$4),"|","")&amp;"OLD_30D",""))</f>
        <v/>
      </c>
      <c r="W344" s="21" t="str">
        <f>IF(OR($C344="", $M344&lt;&gt;"APPROVED",$I344="", $U344=0),"",SUMIFS($U$3:$U$502,$H$3:$H$502,$H344,$M$3:$M$502,"APPROVED",$Q$3:$Q$502,"&lt;="&amp;Settings!$B$4,$I$3:$I$502,"&lt;="&amp;$I344))</f>
        <v/>
      </c>
      <c r="X344" s="21" t="str">
        <f>IF(OR($C344="", $M344&lt;&gt;"APPROVED",$I344="", $U344=0),"",SUMIFS($U$3:$U$502,$H$3:$H$502,$H344,$M$3:$M$502,"APPROVED",$Q$3:$Q$502,"&lt;="&amp;Settings!$B$5,$I$3:$I$502,"&lt;="&amp;$I344))</f>
        <v/>
      </c>
      <c r="Y344" s="21" t="str">
        <f>IF($P344="","",IFERROR(MATCH($P344,Lists!$H$2:$H$4,0),""))</f>
        <v/>
      </c>
      <c r="Z344" s="21" t="str">
        <f t="shared" si="8"/>
        <v/>
      </c>
    </row>
    <row r="345" spans="1:26" ht="15.75" customHeight="1" x14ac:dyDescent="0.3">
      <c r="A345" s="16" t="str">
        <f t="shared" si="9"/>
        <v/>
      </c>
      <c r="B345" s="28"/>
      <c r="C345" s="29"/>
      <c r="D345" s="16"/>
      <c r="E345" s="16"/>
      <c r="F345" s="16"/>
      <c r="G345" s="16"/>
      <c r="H345" s="16"/>
      <c r="I345" s="31"/>
      <c r="J345" s="15"/>
      <c r="K345" s="15"/>
      <c r="L345" s="15"/>
      <c r="M345" s="16"/>
      <c r="N345" s="17"/>
      <c r="O345" s="19" t="str">
        <f t="shared" si="5"/>
        <v/>
      </c>
      <c r="P345" s="17"/>
      <c r="Q345" s="17" t="str">
        <f t="shared" ca="1" si="6"/>
        <v/>
      </c>
      <c r="R345" s="21" t="str">
        <f ca="1">IF($Q345="","",IF($Q345&lt;=Settings!$B$8,Settings!$C$8,IF($Q345&lt;=Settings!$B$9,Settings!$C$9,IF($Q345&lt;=Settings!$B$10,Settings!$C$10,IF($Q345&lt;=Settings!$B$11,Settings!$C$11,Settings!$C$12)))))</f>
        <v/>
      </c>
      <c r="S345" s="21" t="str">
        <f>IF($F345="","",IFERROR(VLOOKUP($F345,Settings!$E$8:$F$11,2,FALSE),0))</f>
        <v/>
      </c>
      <c r="T345" s="21">
        <f>IF($G345="",Settings!$B$16,1)</f>
        <v>1</v>
      </c>
      <c r="U345" s="21" t="str">
        <f t="shared" si="7"/>
        <v/>
      </c>
      <c r="V345" s="32" t="str">
        <f>IF($C345="","",IF($Q345&gt;Settings!$B$4,IF($G345="","|","")&amp;"OLD_7D","")&amp;IF($Q345&gt;Settings!$B$5,IF(OR($G345="", $Q345&gt;Settings!$B$4),"|","")&amp;"OLD_30D",""))</f>
        <v/>
      </c>
      <c r="W345" s="21" t="str">
        <f>IF(OR($C345="", $M345&lt;&gt;"APPROVED",$I345="", $U345=0),"",SUMIFS($U$3:$U$502,$H$3:$H$502,$H345,$M$3:$M$502,"APPROVED",$Q$3:$Q$502,"&lt;="&amp;Settings!$B$4,$I$3:$I$502,"&lt;="&amp;$I345))</f>
        <v/>
      </c>
      <c r="X345" s="21" t="str">
        <f>IF(OR($C345="", $M345&lt;&gt;"APPROVED",$I345="", $U345=0),"",SUMIFS($U$3:$U$502,$H$3:$H$502,$H345,$M$3:$M$502,"APPROVED",$Q$3:$Q$502,"&lt;="&amp;Settings!$B$5,$I$3:$I$502,"&lt;="&amp;$I345))</f>
        <v/>
      </c>
      <c r="Y345" s="21" t="str">
        <f>IF($P345="","",IFERROR(MATCH($P345,Lists!$H$2:$H$4,0),""))</f>
        <v/>
      </c>
      <c r="Z345" s="21" t="str">
        <f t="shared" si="8"/>
        <v/>
      </c>
    </row>
    <row r="346" spans="1:26" ht="15.75" customHeight="1" x14ac:dyDescent="0.3">
      <c r="A346" s="16" t="str">
        <f t="shared" si="9"/>
        <v/>
      </c>
      <c r="B346" s="28"/>
      <c r="C346" s="29"/>
      <c r="D346" s="16"/>
      <c r="E346" s="16"/>
      <c r="F346" s="16"/>
      <c r="G346" s="16"/>
      <c r="H346" s="16"/>
      <c r="I346" s="31"/>
      <c r="J346" s="15"/>
      <c r="K346" s="15"/>
      <c r="L346" s="15"/>
      <c r="M346" s="16"/>
      <c r="N346" s="17"/>
      <c r="O346" s="19" t="str">
        <f t="shared" si="5"/>
        <v/>
      </c>
      <c r="P346" s="17"/>
      <c r="Q346" s="17" t="str">
        <f t="shared" ca="1" si="6"/>
        <v/>
      </c>
      <c r="R346" s="21" t="str">
        <f ca="1">IF($Q346="","",IF($Q346&lt;=Settings!$B$8,Settings!$C$8,IF($Q346&lt;=Settings!$B$9,Settings!$C$9,IF($Q346&lt;=Settings!$B$10,Settings!$C$10,IF($Q346&lt;=Settings!$B$11,Settings!$C$11,Settings!$C$12)))))</f>
        <v/>
      </c>
      <c r="S346" s="21" t="str">
        <f>IF($F346="","",IFERROR(VLOOKUP($F346,Settings!$E$8:$F$11,2,FALSE),0))</f>
        <v/>
      </c>
      <c r="T346" s="21">
        <f>IF($G346="",Settings!$B$16,1)</f>
        <v>1</v>
      </c>
      <c r="U346" s="21" t="str">
        <f t="shared" si="7"/>
        <v/>
      </c>
      <c r="V346" s="32" t="str">
        <f>IF($C346="","",IF($Q346&gt;Settings!$B$4,IF($G346="","|","")&amp;"OLD_7D","")&amp;IF($Q346&gt;Settings!$B$5,IF(OR($G346="", $Q346&gt;Settings!$B$4),"|","")&amp;"OLD_30D",""))</f>
        <v/>
      </c>
      <c r="W346" s="21" t="str">
        <f>IF(OR($C346="", $M346&lt;&gt;"APPROVED",$I346="", $U346=0),"",SUMIFS($U$3:$U$502,$H$3:$H$502,$H346,$M$3:$M$502,"APPROVED",$Q$3:$Q$502,"&lt;="&amp;Settings!$B$4,$I$3:$I$502,"&lt;="&amp;$I346))</f>
        <v/>
      </c>
      <c r="X346" s="21" t="str">
        <f>IF(OR($C346="", $M346&lt;&gt;"APPROVED",$I346="", $U346=0),"",SUMIFS($U$3:$U$502,$H$3:$H$502,$H346,$M$3:$M$502,"APPROVED",$Q$3:$Q$502,"&lt;="&amp;Settings!$B$5,$I$3:$I$502,"&lt;="&amp;$I346))</f>
        <v/>
      </c>
      <c r="Y346" s="21" t="str">
        <f>IF($P346="","",IFERROR(MATCH($P346,Lists!$H$2:$H$4,0),""))</f>
        <v/>
      </c>
      <c r="Z346" s="21" t="str">
        <f t="shared" si="8"/>
        <v/>
      </c>
    </row>
    <row r="347" spans="1:26" ht="15.75" customHeight="1" x14ac:dyDescent="0.3">
      <c r="A347" s="16" t="str">
        <f t="shared" si="9"/>
        <v/>
      </c>
      <c r="B347" s="28"/>
      <c r="C347" s="29"/>
      <c r="D347" s="16"/>
      <c r="E347" s="16"/>
      <c r="F347" s="16"/>
      <c r="G347" s="16"/>
      <c r="H347" s="16"/>
      <c r="I347" s="31"/>
      <c r="J347" s="15"/>
      <c r="K347" s="15"/>
      <c r="L347" s="15"/>
      <c r="M347" s="16"/>
      <c r="N347" s="17"/>
      <c r="O347" s="19" t="str">
        <f t="shared" si="5"/>
        <v/>
      </c>
      <c r="P347" s="17"/>
      <c r="Q347" s="17" t="str">
        <f t="shared" ca="1" si="6"/>
        <v/>
      </c>
      <c r="R347" s="21" t="str">
        <f ca="1">IF($Q347="","",IF($Q347&lt;=Settings!$B$8,Settings!$C$8,IF($Q347&lt;=Settings!$B$9,Settings!$C$9,IF($Q347&lt;=Settings!$B$10,Settings!$C$10,IF($Q347&lt;=Settings!$B$11,Settings!$C$11,Settings!$C$12)))))</f>
        <v/>
      </c>
      <c r="S347" s="21" t="str">
        <f>IF($F347="","",IFERROR(VLOOKUP($F347,Settings!$E$8:$F$11,2,FALSE),0))</f>
        <v/>
      </c>
      <c r="T347" s="21">
        <f>IF($G347="",Settings!$B$16,1)</f>
        <v>1</v>
      </c>
      <c r="U347" s="21" t="str">
        <f t="shared" si="7"/>
        <v/>
      </c>
      <c r="V347" s="32" t="str">
        <f>IF($C347="","",IF($Q347&gt;Settings!$B$4,IF($G347="","|","")&amp;"OLD_7D","")&amp;IF($Q347&gt;Settings!$B$5,IF(OR($G347="", $Q347&gt;Settings!$B$4),"|","")&amp;"OLD_30D",""))</f>
        <v/>
      </c>
      <c r="W347" s="21" t="str">
        <f>IF(OR($C347="", $M347&lt;&gt;"APPROVED",$I347="", $U347=0),"",SUMIFS($U$3:$U$502,$H$3:$H$502,$H347,$M$3:$M$502,"APPROVED",$Q$3:$Q$502,"&lt;="&amp;Settings!$B$4,$I$3:$I$502,"&lt;="&amp;$I347))</f>
        <v/>
      </c>
      <c r="X347" s="21" t="str">
        <f>IF(OR($C347="", $M347&lt;&gt;"APPROVED",$I347="", $U347=0),"",SUMIFS($U$3:$U$502,$H$3:$H$502,$H347,$M$3:$M$502,"APPROVED",$Q$3:$Q$502,"&lt;="&amp;Settings!$B$5,$I$3:$I$502,"&lt;="&amp;$I347))</f>
        <v/>
      </c>
      <c r="Y347" s="21" t="str">
        <f>IF($P347="","",IFERROR(MATCH($P347,Lists!$H$2:$H$4,0),""))</f>
        <v/>
      </c>
      <c r="Z347" s="21" t="str">
        <f t="shared" si="8"/>
        <v/>
      </c>
    </row>
    <row r="348" spans="1:26" ht="15.75" customHeight="1" x14ac:dyDescent="0.3">
      <c r="A348" s="16" t="str">
        <f t="shared" si="9"/>
        <v/>
      </c>
      <c r="B348" s="28"/>
      <c r="C348" s="29"/>
      <c r="D348" s="16"/>
      <c r="E348" s="16"/>
      <c r="F348" s="16"/>
      <c r="G348" s="16"/>
      <c r="H348" s="16"/>
      <c r="I348" s="31"/>
      <c r="J348" s="15"/>
      <c r="K348" s="15"/>
      <c r="L348" s="15"/>
      <c r="M348" s="16"/>
      <c r="N348" s="17"/>
      <c r="O348" s="19" t="str">
        <f t="shared" si="5"/>
        <v/>
      </c>
      <c r="P348" s="17"/>
      <c r="Q348" s="17" t="str">
        <f t="shared" ca="1" si="6"/>
        <v/>
      </c>
      <c r="R348" s="21" t="str">
        <f ca="1">IF($Q348="","",IF($Q348&lt;=Settings!$B$8,Settings!$C$8,IF($Q348&lt;=Settings!$B$9,Settings!$C$9,IF($Q348&lt;=Settings!$B$10,Settings!$C$10,IF($Q348&lt;=Settings!$B$11,Settings!$C$11,Settings!$C$12)))))</f>
        <v/>
      </c>
      <c r="S348" s="21" t="str">
        <f>IF($F348="","",IFERROR(VLOOKUP($F348,Settings!$E$8:$F$11,2,FALSE),0))</f>
        <v/>
      </c>
      <c r="T348" s="21">
        <f>IF($G348="",Settings!$B$16,1)</f>
        <v>1</v>
      </c>
      <c r="U348" s="21" t="str">
        <f t="shared" si="7"/>
        <v/>
      </c>
      <c r="V348" s="32" t="str">
        <f>IF($C348="","",IF($Q348&gt;Settings!$B$4,IF($G348="","|","")&amp;"OLD_7D","")&amp;IF($Q348&gt;Settings!$B$5,IF(OR($G348="", $Q348&gt;Settings!$B$4),"|","")&amp;"OLD_30D",""))</f>
        <v/>
      </c>
      <c r="W348" s="21" t="str">
        <f>IF(OR($C348="", $M348&lt;&gt;"APPROVED",$I348="", $U348=0),"",SUMIFS($U$3:$U$502,$H$3:$H$502,$H348,$M$3:$M$502,"APPROVED",$Q$3:$Q$502,"&lt;="&amp;Settings!$B$4,$I$3:$I$502,"&lt;="&amp;$I348))</f>
        <v/>
      </c>
      <c r="X348" s="21" t="str">
        <f>IF(OR($C348="", $M348&lt;&gt;"APPROVED",$I348="", $U348=0),"",SUMIFS($U$3:$U$502,$H$3:$H$502,$H348,$M$3:$M$502,"APPROVED",$Q$3:$Q$502,"&lt;="&amp;Settings!$B$5,$I$3:$I$502,"&lt;="&amp;$I348))</f>
        <v/>
      </c>
      <c r="Y348" s="21" t="str">
        <f>IF($P348="","",IFERROR(MATCH($P348,Lists!$H$2:$H$4,0),""))</f>
        <v/>
      </c>
      <c r="Z348" s="21" t="str">
        <f t="shared" si="8"/>
        <v/>
      </c>
    </row>
    <row r="349" spans="1:26" ht="15.75" customHeight="1" x14ac:dyDescent="0.3">
      <c r="A349" s="16" t="str">
        <f t="shared" si="9"/>
        <v/>
      </c>
      <c r="B349" s="28"/>
      <c r="C349" s="29"/>
      <c r="D349" s="16"/>
      <c r="E349" s="16"/>
      <c r="F349" s="16"/>
      <c r="G349" s="16"/>
      <c r="H349" s="16"/>
      <c r="I349" s="31"/>
      <c r="J349" s="15"/>
      <c r="K349" s="15"/>
      <c r="L349" s="15"/>
      <c r="M349" s="16"/>
      <c r="N349" s="17"/>
      <c r="O349" s="19" t="str">
        <f t="shared" si="5"/>
        <v/>
      </c>
      <c r="P349" s="17"/>
      <c r="Q349" s="17" t="str">
        <f t="shared" ca="1" si="6"/>
        <v/>
      </c>
      <c r="R349" s="21" t="str">
        <f ca="1">IF($Q349="","",IF($Q349&lt;=Settings!$B$8,Settings!$C$8,IF($Q349&lt;=Settings!$B$9,Settings!$C$9,IF($Q349&lt;=Settings!$B$10,Settings!$C$10,IF($Q349&lt;=Settings!$B$11,Settings!$C$11,Settings!$C$12)))))</f>
        <v/>
      </c>
      <c r="S349" s="21" t="str">
        <f>IF($F349="","",IFERROR(VLOOKUP($F349,Settings!$E$8:$F$11,2,FALSE),0))</f>
        <v/>
      </c>
      <c r="T349" s="21">
        <f>IF($G349="",Settings!$B$16,1)</f>
        <v>1</v>
      </c>
      <c r="U349" s="21" t="str">
        <f t="shared" si="7"/>
        <v/>
      </c>
      <c r="V349" s="32" t="str">
        <f>IF($C349="","",IF($Q349&gt;Settings!$B$4,IF($G349="","|","")&amp;"OLD_7D","")&amp;IF($Q349&gt;Settings!$B$5,IF(OR($G349="", $Q349&gt;Settings!$B$4),"|","")&amp;"OLD_30D",""))</f>
        <v/>
      </c>
      <c r="W349" s="21" t="str">
        <f>IF(OR($C349="", $M349&lt;&gt;"APPROVED",$I349="", $U349=0),"",SUMIFS($U$3:$U$502,$H$3:$H$502,$H349,$M$3:$M$502,"APPROVED",$Q$3:$Q$502,"&lt;="&amp;Settings!$B$4,$I$3:$I$502,"&lt;="&amp;$I349))</f>
        <v/>
      </c>
      <c r="X349" s="21" t="str">
        <f>IF(OR($C349="", $M349&lt;&gt;"APPROVED",$I349="", $U349=0),"",SUMIFS($U$3:$U$502,$H$3:$H$502,$H349,$M$3:$M$502,"APPROVED",$Q$3:$Q$502,"&lt;="&amp;Settings!$B$5,$I$3:$I$502,"&lt;="&amp;$I349))</f>
        <v/>
      </c>
      <c r="Y349" s="21" t="str">
        <f>IF($P349="","",IFERROR(MATCH($P349,Lists!$H$2:$H$4,0),""))</f>
        <v/>
      </c>
      <c r="Z349" s="21" t="str">
        <f t="shared" si="8"/>
        <v/>
      </c>
    </row>
    <row r="350" spans="1:26" ht="15.75" customHeight="1" x14ac:dyDescent="0.3">
      <c r="A350" s="16" t="str">
        <f t="shared" si="9"/>
        <v/>
      </c>
      <c r="B350" s="28"/>
      <c r="C350" s="29"/>
      <c r="D350" s="16"/>
      <c r="E350" s="16"/>
      <c r="F350" s="16"/>
      <c r="G350" s="16"/>
      <c r="H350" s="16"/>
      <c r="I350" s="31"/>
      <c r="J350" s="15"/>
      <c r="K350" s="15"/>
      <c r="L350" s="15"/>
      <c r="M350" s="16"/>
      <c r="N350" s="17"/>
      <c r="O350" s="19" t="str">
        <f t="shared" si="5"/>
        <v/>
      </c>
      <c r="P350" s="17"/>
      <c r="Q350" s="17" t="str">
        <f t="shared" ca="1" si="6"/>
        <v/>
      </c>
      <c r="R350" s="21" t="str">
        <f ca="1">IF($Q350="","",IF($Q350&lt;=Settings!$B$8,Settings!$C$8,IF($Q350&lt;=Settings!$B$9,Settings!$C$9,IF($Q350&lt;=Settings!$B$10,Settings!$C$10,IF($Q350&lt;=Settings!$B$11,Settings!$C$11,Settings!$C$12)))))</f>
        <v/>
      </c>
      <c r="S350" s="21" t="str">
        <f>IF($F350="","",IFERROR(VLOOKUP($F350,Settings!$E$8:$F$11,2,FALSE),0))</f>
        <v/>
      </c>
      <c r="T350" s="21">
        <f>IF($G350="",Settings!$B$16,1)</f>
        <v>1</v>
      </c>
      <c r="U350" s="21" t="str">
        <f t="shared" si="7"/>
        <v/>
      </c>
      <c r="V350" s="32" t="str">
        <f>IF($C350="","",IF($Q350&gt;Settings!$B$4,IF($G350="","|","")&amp;"OLD_7D","")&amp;IF($Q350&gt;Settings!$B$5,IF(OR($G350="", $Q350&gt;Settings!$B$4),"|","")&amp;"OLD_30D",""))</f>
        <v/>
      </c>
      <c r="W350" s="21" t="str">
        <f>IF(OR($C350="", $M350&lt;&gt;"APPROVED",$I350="", $U350=0),"",SUMIFS($U$3:$U$502,$H$3:$H$502,$H350,$M$3:$M$502,"APPROVED",$Q$3:$Q$502,"&lt;="&amp;Settings!$B$4,$I$3:$I$502,"&lt;="&amp;$I350))</f>
        <v/>
      </c>
      <c r="X350" s="21" t="str">
        <f>IF(OR($C350="", $M350&lt;&gt;"APPROVED",$I350="", $U350=0),"",SUMIFS($U$3:$U$502,$H$3:$H$502,$H350,$M$3:$M$502,"APPROVED",$Q$3:$Q$502,"&lt;="&amp;Settings!$B$5,$I$3:$I$502,"&lt;="&amp;$I350))</f>
        <v/>
      </c>
      <c r="Y350" s="21" t="str">
        <f>IF($P350="","",IFERROR(MATCH($P350,Lists!$H$2:$H$4,0),""))</f>
        <v/>
      </c>
      <c r="Z350" s="21" t="str">
        <f t="shared" si="8"/>
        <v/>
      </c>
    </row>
    <row r="351" spans="1:26" ht="15.75" customHeight="1" x14ac:dyDescent="0.3">
      <c r="A351" s="16" t="str">
        <f t="shared" si="9"/>
        <v/>
      </c>
      <c r="B351" s="28"/>
      <c r="C351" s="29"/>
      <c r="D351" s="16"/>
      <c r="E351" s="16"/>
      <c r="F351" s="16"/>
      <c r="G351" s="16"/>
      <c r="H351" s="16"/>
      <c r="I351" s="31"/>
      <c r="J351" s="15"/>
      <c r="K351" s="15"/>
      <c r="L351" s="15"/>
      <c r="M351" s="16"/>
      <c r="N351" s="17"/>
      <c r="O351" s="19" t="str">
        <f t="shared" si="5"/>
        <v/>
      </c>
      <c r="P351" s="17"/>
      <c r="Q351" s="17" t="str">
        <f t="shared" ca="1" si="6"/>
        <v/>
      </c>
      <c r="R351" s="21" t="str">
        <f ca="1">IF($Q351="","",IF($Q351&lt;=Settings!$B$8,Settings!$C$8,IF($Q351&lt;=Settings!$B$9,Settings!$C$9,IF($Q351&lt;=Settings!$B$10,Settings!$C$10,IF($Q351&lt;=Settings!$B$11,Settings!$C$11,Settings!$C$12)))))</f>
        <v/>
      </c>
      <c r="S351" s="21" t="str">
        <f>IF($F351="","",IFERROR(VLOOKUP($F351,Settings!$E$8:$F$11,2,FALSE),0))</f>
        <v/>
      </c>
      <c r="T351" s="21">
        <f>IF($G351="",Settings!$B$16,1)</f>
        <v>1</v>
      </c>
      <c r="U351" s="21" t="str">
        <f t="shared" si="7"/>
        <v/>
      </c>
      <c r="V351" s="32" t="str">
        <f>IF($C351="","",IF($Q351&gt;Settings!$B$4,IF($G351="","|","")&amp;"OLD_7D","")&amp;IF($Q351&gt;Settings!$B$5,IF(OR($G351="", $Q351&gt;Settings!$B$4),"|","")&amp;"OLD_30D",""))</f>
        <v/>
      </c>
      <c r="W351" s="21" t="str">
        <f>IF(OR($C351="", $M351&lt;&gt;"APPROVED",$I351="", $U351=0),"",SUMIFS($U$3:$U$502,$H$3:$H$502,$H351,$M$3:$M$502,"APPROVED",$Q$3:$Q$502,"&lt;="&amp;Settings!$B$4,$I$3:$I$502,"&lt;="&amp;$I351))</f>
        <v/>
      </c>
      <c r="X351" s="21" t="str">
        <f>IF(OR($C351="", $M351&lt;&gt;"APPROVED",$I351="", $U351=0),"",SUMIFS($U$3:$U$502,$H$3:$H$502,$H351,$M$3:$M$502,"APPROVED",$Q$3:$Q$502,"&lt;="&amp;Settings!$B$5,$I$3:$I$502,"&lt;="&amp;$I351))</f>
        <v/>
      </c>
      <c r="Y351" s="21" t="str">
        <f>IF($P351="","",IFERROR(MATCH($P351,Lists!$H$2:$H$4,0),""))</f>
        <v/>
      </c>
      <c r="Z351" s="21" t="str">
        <f t="shared" si="8"/>
        <v/>
      </c>
    </row>
    <row r="352" spans="1:26" ht="15.75" customHeight="1" x14ac:dyDescent="0.3">
      <c r="A352" s="16" t="str">
        <f t="shared" si="9"/>
        <v/>
      </c>
      <c r="B352" s="28"/>
      <c r="C352" s="29"/>
      <c r="D352" s="16"/>
      <c r="E352" s="16"/>
      <c r="F352" s="16"/>
      <c r="G352" s="16"/>
      <c r="H352" s="16"/>
      <c r="I352" s="31"/>
      <c r="J352" s="15"/>
      <c r="K352" s="15"/>
      <c r="L352" s="15"/>
      <c r="M352" s="16"/>
      <c r="N352" s="17"/>
      <c r="O352" s="19" t="str">
        <f t="shared" si="5"/>
        <v/>
      </c>
      <c r="P352" s="17"/>
      <c r="Q352" s="17" t="str">
        <f t="shared" ca="1" si="6"/>
        <v/>
      </c>
      <c r="R352" s="21" t="str">
        <f ca="1">IF($Q352="","",IF($Q352&lt;=Settings!$B$8,Settings!$C$8,IF($Q352&lt;=Settings!$B$9,Settings!$C$9,IF($Q352&lt;=Settings!$B$10,Settings!$C$10,IF($Q352&lt;=Settings!$B$11,Settings!$C$11,Settings!$C$12)))))</f>
        <v/>
      </c>
      <c r="S352" s="21" t="str">
        <f>IF($F352="","",IFERROR(VLOOKUP($F352,Settings!$E$8:$F$11,2,FALSE),0))</f>
        <v/>
      </c>
      <c r="T352" s="21">
        <f>IF($G352="",Settings!$B$16,1)</f>
        <v>1</v>
      </c>
      <c r="U352" s="21" t="str">
        <f t="shared" si="7"/>
        <v/>
      </c>
      <c r="V352" s="32" t="str">
        <f>IF($C352="","",IF($Q352&gt;Settings!$B$4,IF($G352="","|","")&amp;"OLD_7D","")&amp;IF($Q352&gt;Settings!$B$5,IF(OR($G352="", $Q352&gt;Settings!$B$4),"|","")&amp;"OLD_30D",""))</f>
        <v/>
      </c>
      <c r="W352" s="21" t="str">
        <f>IF(OR($C352="", $M352&lt;&gt;"APPROVED",$I352="", $U352=0),"",SUMIFS($U$3:$U$502,$H$3:$H$502,$H352,$M$3:$M$502,"APPROVED",$Q$3:$Q$502,"&lt;="&amp;Settings!$B$4,$I$3:$I$502,"&lt;="&amp;$I352))</f>
        <v/>
      </c>
      <c r="X352" s="21" t="str">
        <f>IF(OR($C352="", $M352&lt;&gt;"APPROVED",$I352="", $U352=0),"",SUMIFS($U$3:$U$502,$H$3:$H$502,$H352,$M$3:$M$502,"APPROVED",$Q$3:$Q$502,"&lt;="&amp;Settings!$B$5,$I$3:$I$502,"&lt;="&amp;$I352))</f>
        <v/>
      </c>
      <c r="Y352" s="21" t="str">
        <f>IF($P352="","",IFERROR(MATCH($P352,Lists!$H$2:$H$4,0),""))</f>
        <v/>
      </c>
      <c r="Z352" s="21" t="str">
        <f t="shared" si="8"/>
        <v/>
      </c>
    </row>
    <row r="353" spans="1:26" ht="15.75" customHeight="1" x14ac:dyDescent="0.3">
      <c r="A353" s="16" t="str">
        <f t="shared" si="9"/>
        <v/>
      </c>
      <c r="B353" s="28"/>
      <c r="C353" s="29"/>
      <c r="D353" s="16"/>
      <c r="E353" s="16"/>
      <c r="F353" s="16"/>
      <c r="G353" s="16"/>
      <c r="H353" s="16"/>
      <c r="I353" s="31"/>
      <c r="J353" s="15"/>
      <c r="K353" s="15"/>
      <c r="L353" s="15"/>
      <c r="M353" s="16"/>
      <c r="N353" s="17"/>
      <c r="O353" s="19" t="str">
        <f t="shared" si="5"/>
        <v/>
      </c>
      <c r="P353" s="17"/>
      <c r="Q353" s="17" t="str">
        <f t="shared" ca="1" si="6"/>
        <v/>
      </c>
      <c r="R353" s="21" t="str">
        <f ca="1">IF($Q353="","",IF($Q353&lt;=Settings!$B$8,Settings!$C$8,IF($Q353&lt;=Settings!$B$9,Settings!$C$9,IF($Q353&lt;=Settings!$B$10,Settings!$C$10,IF($Q353&lt;=Settings!$B$11,Settings!$C$11,Settings!$C$12)))))</f>
        <v/>
      </c>
      <c r="S353" s="21" t="str">
        <f>IF($F353="","",IFERROR(VLOOKUP($F353,Settings!$E$8:$F$11,2,FALSE),0))</f>
        <v/>
      </c>
      <c r="T353" s="21">
        <f>IF($G353="",Settings!$B$16,1)</f>
        <v>1</v>
      </c>
      <c r="U353" s="21" t="str">
        <f t="shared" si="7"/>
        <v/>
      </c>
      <c r="V353" s="32" t="str">
        <f>IF($C353="","",IF($Q353&gt;Settings!$B$4,IF($G353="","|","")&amp;"OLD_7D","")&amp;IF($Q353&gt;Settings!$B$5,IF(OR($G353="", $Q353&gt;Settings!$B$4),"|","")&amp;"OLD_30D",""))</f>
        <v/>
      </c>
      <c r="W353" s="21" t="str">
        <f>IF(OR($C353="", $M353&lt;&gt;"APPROVED",$I353="", $U353=0),"",SUMIFS($U$3:$U$502,$H$3:$H$502,$H353,$M$3:$M$502,"APPROVED",$Q$3:$Q$502,"&lt;="&amp;Settings!$B$4,$I$3:$I$502,"&lt;="&amp;$I353))</f>
        <v/>
      </c>
      <c r="X353" s="21" t="str">
        <f>IF(OR($C353="", $M353&lt;&gt;"APPROVED",$I353="", $U353=0),"",SUMIFS($U$3:$U$502,$H$3:$H$502,$H353,$M$3:$M$502,"APPROVED",$Q$3:$Q$502,"&lt;="&amp;Settings!$B$5,$I$3:$I$502,"&lt;="&amp;$I353))</f>
        <v/>
      </c>
      <c r="Y353" s="21" t="str">
        <f>IF($P353="","",IFERROR(MATCH($P353,Lists!$H$2:$H$4,0),""))</f>
        <v/>
      </c>
      <c r="Z353" s="21" t="str">
        <f t="shared" si="8"/>
        <v/>
      </c>
    </row>
    <row r="354" spans="1:26" ht="15.75" customHeight="1" x14ac:dyDescent="0.3">
      <c r="A354" s="16" t="str">
        <f t="shared" si="9"/>
        <v/>
      </c>
      <c r="B354" s="28"/>
      <c r="C354" s="29"/>
      <c r="D354" s="16"/>
      <c r="E354" s="16"/>
      <c r="F354" s="16"/>
      <c r="G354" s="16"/>
      <c r="H354" s="16"/>
      <c r="I354" s="31"/>
      <c r="J354" s="15"/>
      <c r="K354" s="15"/>
      <c r="L354" s="15"/>
      <c r="M354" s="16"/>
      <c r="N354" s="17"/>
      <c r="O354" s="19" t="str">
        <f t="shared" si="5"/>
        <v/>
      </c>
      <c r="P354" s="17"/>
      <c r="Q354" s="17" t="str">
        <f t="shared" ca="1" si="6"/>
        <v/>
      </c>
      <c r="R354" s="21" t="str">
        <f ca="1">IF($Q354="","",IF($Q354&lt;=Settings!$B$8,Settings!$C$8,IF($Q354&lt;=Settings!$B$9,Settings!$C$9,IF($Q354&lt;=Settings!$B$10,Settings!$C$10,IF($Q354&lt;=Settings!$B$11,Settings!$C$11,Settings!$C$12)))))</f>
        <v/>
      </c>
      <c r="S354" s="21" t="str">
        <f>IF($F354="","",IFERROR(VLOOKUP($F354,Settings!$E$8:$F$11,2,FALSE),0))</f>
        <v/>
      </c>
      <c r="T354" s="21">
        <f>IF($G354="",Settings!$B$16,1)</f>
        <v>1</v>
      </c>
      <c r="U354" s="21" t="str">
        <f t="shared" si="7"/>
        <v/>
      </c>
      <c r="V354" s="32" t="str">
        <f>IF($C354="","",IF($Q354&gt;Settings!$B$4,IF($G354="","|","")&amp;"OLD_7D","")&amp;IF($Q354&gt;Settings!$B$5,IF(OR($G354="", $Q354&gt;Settings!$B$4),"|","")&amp;"OLD_30D",""))</f>
        <v/>
      </c>
      <c r="W354" s="21" t="str">
        <f>IF(OR($C354="", $M354&lt;&gt;"APPROVED",$I354="", $U354=0),"",SUMIFS($U$3:$U$502,$H$3:$H$502,$H354,$M$3:$M$502,"APPROVED",$Q$3:$Q$502,"&lt;="&amp;Settings!$B$4,$I$3:$I$502,"&lt;="&amp;$I354))</f>
        <v/>
      </c>
      <c r="X354" s="21" t="str">
        <f>IF(OR($C354="", $M354&lt;&gt;"APPROVED",$I354="", $U354=0),"",SUMIFS($U$3:$U$502,$H$3:$H$502,$H354,$M$3:$M$502,"APPROVED",$Q$3:$Q$502,"&lt;="&amp;Settings!$B$5,$I$3:$I$502,"&lt;="&amp;$I354))</f>
        <v/>
      </c>
      <c r="Y354" s="21" t="str">
        <f>IF($P354="","",IFERROR(MATCH($P354,Lists!$H$2:$H$4,0),""))</f>
        <v/>
      </c>
      <c r="Z354" s="21" t="str">
        <f t="shared" si="8"/>
        <v/>
      </c>
    </row>
    <row r="355" spans="1:26" ht="15.75" customHeight="1" x14ac:dyDescent="0.3">
      <c r="A355" s="16" t="str">
        <f t="shared" si="9"/>
        <v/>
      </c>
      <c r="B355" s="28"/>
      <c r="C355" s="29"/>
      <c r="D355" s="16"/>
      <c r="E355" s="16"/>
      <c r="F355" s="16"/>
      <c r="G355" s="16"/>
      <c r="H355" s="16"/>
      <c r="I355" s="31"/>
      <c r="J355" s="15"/>
      <c r="K355" s="15"/>
      <c r="L355" s="15"/>
      <c r="M355" s="16"/>
      <c r="N355" s="17"/>
      <c r="O355" s="19" t="str">
        <f t="shared" si="5"/>
        <v/>
      </c>
      <c r="P355" s="17"/>
      <c r="Q355" s="17" t="str">
        <f t="shared" ca="1" si="6"/>
        <v/>
      </c>
      <c r="R355" s="21" t="str">
        <f ca="1">IF($Q355="","",IF($Q355&lt;=Settings!$B$8,Settings!$C$8,IF($Q355&lt;=Settings!$B$9,Settings!$C$9,IF($Q355&lt;=Settings!$B$10,Settings!$C$10,IF($Q355&lt;=Settings!$B$11,Settings!$C$11,Settings!$C$12)))))</f>
        <v/>
      </c>
      <c r="S355" s="21" t="str">
        <f>IF($F355="","",IFERROR(VLOOKUP($F355,Settings!$E$8:$F$11,2,FALSE),0))</f>
        <v/>
      </c>
      <c r="T355" s="21">
        <f>IF($G355="",Settings!$B$16,1)</f>
        <v>1</v>
      </c>
      <c r="U355" s="21" t="str">
        <f t="shared" si="7"/>
        <v/>
      </c>
      <c r="V355" s="32" t="str">
        <f>IF($C355="","",IF($Q355&gt;Settings!$B$4,IF($G355="","|","")&amp;"OLD_7D","")&amp;IF($Q355&gt;Settings!$B$5,IF(OR($G355="", $Q355&gt;Settings!$B$4),"|","")&amp;"OLD_30D",""))</f>
        <v/>
      </c>
      <c r="W355" s="21" t="str">
        <f>IF(OR($C355="", $M355&lt;&gt;"APPROVED",$I355="", $U355=0),"",SUMIFS($U$3:$U$502,$H$3:$H$502,$H355,$M$3:$M$502,"APPROVED",$Q$3:$Q$502,"&lt;="&amp;Settings!$B$4,$I$3:$I$502,"&lt;="&amp;$I355))</f>
        <v/>
      </c>
      <c r="X355" s="21" t="str">
        <f>IF(OR($C355="", $M355&lt;&gt;"APPROVED",$I355="", $U355=0),"",SUMIFS($U$3:$U$502,$H$3:$H$502,$H355,$M$3:$M$502,"APPROVED",$Q$3:$Q$502,"&lt;="&amp;Settings!$B$5,$I$3:$I$502,"&lt;="&amp;$I355))</f>
        <v/>
      </c>
      <c r="Y355" s="21" t="str">
        <f>IF($P355="","",IFERROR(MATCH($P355,Lists!$H$2:$H$4,0),""))</f>
        <v/>
      </c>
      <c r="Z355" s="21" t="str">
        <f t="shared" si="8"/>
        <v/>
      </c>
    </row>
    <row r="356" spans="1:26" ht="15.75" customHeight="1" x14ac:dyDescent="0.3">
      <c r="A356" s="16" t="str">
        <f t="shared" si="9"/>
        <v/>
      </c>
      <c r="B356" s="28"/>
      <c r="C356" s="29"/>
      <c r="D356" s="16"/>
      <c r="E356" s="16"/>
      <c r="F356" s="16"/>
      <c r="G356" s="16"/>
      <c r="H356" s="16"/>
      <c r="I356" s="31"/>
      <c r="J356" s="15"/>
      <c r="K356" s="15"/>
      <c r="L356" s="15"/>
      <c r="M356" s="16"/>
      <c r="N356" s="17"/>
      <c r="O356" s="19" t="str">
        <f t="shared" si="5"/>
        <v/>
      </c>
      <c r="P356" s="17"/>
      <c r="Q356" s="17" t="str">
        <f t="shared" ca="1" si="6"/>
        <v/>
      </c>
      <c r="R356" s="21" t="str">
        <f ca="1">IF($Q356="","",IF($Q356&lt;=Settings!$B$8,Settings!$C$8,IF($Q356&lt;=Settings!$B$9,Settings!$C$9,IF($Q356&lt;=Settings!$B$10,Settings!$C$10,IF($Q356&lt;=Settings!$B$11,Settings!$C$11,Settings!$C$12)))))</f>
        <v/>
      </c>
      <c r="S356" s="21" t="str">
        <f>IF($F356="","",IFERROR(VLOOKUP($F356,Settings!$E$8:$F$11,2,FALSE),0))</f>
        <v/>
      </c>
      <c r="T356" s="21">
        <f>IF($G356="",Settings!$B$16,1)</f>
        <v>1</v>
      </c>
      <c r="U356" s="21" t="str">
        <f t="shared" si="7"/>
        <v/>
      </c>
      <c r="V356" s="32" t="str">
        <f>IF($C356="","",IF($Q356&gt;Settings!$B$4,IF($G356="","|","")&amp;"OLD_7D","")&amp;IF($Q356&gt;Settings!$B$5,IF(OR($G356="", $Q356&gt;Settings!$B$4),"|","")&amp;"OLD_30D",""))</f>
        <v/>
      </c>
      <c r="W356" s="21" t="str">
        <f>IF(OR($C356="", $M356&lt;&gt;"APPROVED",$I356="", $U356=0),"",SUMIFS($U$3:$U$502,$H$3:$H$502,$H356,$M$3:$M$502,"APPROVED",$Q$3:$Q$502,"&lt;="&amp;Settings!$B$4,$I$3:$I$502,"&lt;="&amp;$I356))</f>
        <v/>
      </c>
      <c r="X356" s="21" t="str">
        <f>IF(OR($C356="", $M356&lt;&gt;"APPROVED",$I356="", $U356=0),"",SUMIFS($U$3:$U$502,$H$3:$H$502,$H356,$M$3:$M$502,"APPROVED",$Q$3:$Q$502,"&lt;="&amp;Settings!$B$5,$I$3:$I$502,"&lt;="&amp;$I356))</f>
        <v/>
      </c>
      <c r="Y356" s="21" t="str">
        <f>IF($P356="","",IFERROR(MATCH($P356,Lists!$H$2:$H$4,0),""))</f>
        <v/>
      </c>
      <c r="Z356" s="21" t="str">
        <f t="shared" si="8"/>
        <v/>
      </c>
    </row>
    <row r="357" spans="1:26" ht="15.75" customHeight="1" x14ac:dyDescent="0.3">
      <c r="A357" s="16" t="str">
        <f t="shared" si="9"/>
        <v/>
      </c>
      <c r="B357" s="28"/>
      <c r="C357" s="29"/>
      <c r="D357" s="16"/>
      <c r="E357" s="16"/>
      <c r="F357" s="16"/>
      <c r="G357" s="16"/>
      <c r="H357" s="16"/>
      <c r="I357" s="31"/>
      <c r="J357" s="15"/>
      <c r="K357" s="15"/>
      <c r="L357" s="15"/>
      <c r="M357" s="16"/>
      <c r="N357" s="17"/>
      <c r="O357" s="19" t="str">
        <f t="shared" si="5"/>
        <v/>
      </c>
      <c r="P357" s="17"/>
      <c r="Q357" s="17" t="str">
        <f t="shared" ca="1" si="6"/>
        <v/>
      </c>
      <c r="R357" s="21" t="str">
        <f ca="1">IF($Q357="","",IF($Q357&lt;=Settings!$B$8,Settings!$C$8,IF($Q357&lt;=Settings!$B$9,Settings!$C$9,IF($Q357&lt;=Settings!$B$10,Settings!$C$10,IF($Q357&lt;=Settings!$B$11,Settings!$C$11,Settings!$C$12)))))</f>
        <v/>
      </c>
      <c r="S357" s="21" t="str">
        <f>IF($F357="","",IFERROR(VLOOKUP($F357,Settings!$E$8:$F$11,2,FALSE),0))</f>
        <v/>
      </c>
      <c r="T357" s="21">
        <f>IF($G357="",Settings!$B$16,1)</f>
        <v>1</v>
      </c>
      <c r="U357" s="21" t="str">
        <f t="shared" si="7"/>
        <v/>
      </c>
      <c r="V357" s="32" t="str">
        <f>IF($C357="","",IF($Q357&gt;Settings!$B$4,IF($G357="","|","")&amp;"OLD_7D","")&amp;IF($Q357&gt;Settings!$B$5,IF(OR($G357="", $Q357&gt;Settings!$B$4),"|","")&amp;"OLD_30D",""))</f>
        <v/>
      </c>
      <c r="W357" s="21" t="str">
        <f>IF(OR($C357="", $M357&lt;&gt;"APPROVED",$I357="", $U357=0),"",SUMIFS($U$3:$U$502,$H$3:$H$502,$H357,$M$3:$M$502,"APPROVED",$Q$3:$Q$502,"&lt;="&amp;Settings!$B$4,$I$3:$I$502,"&lt;="&amp;$I357))</f>
        <v/>
      </c>
      <c r="X357" s="21" t="str">
        <f>IF(OR($C357="", $M357&lt;&gt;"APPROVED",$I357="", $U357=0),"",SUMIFS($U$3:$U$502,$H$3:$H$502,$H357,$M$3:$M$502,"APPROVED",$Q$3:$Q$502,"&lt;="&amp;Settings!$B$5,$I$3:$I$502,"&lt;="&amp;$I357))</f>
        <v/>
      </c>
      <c r="Y357" s="21" t="str">
        <f>IF($P357="","",IFERROR(MATCH($P357,Lists!$H$2:$H$4,0),""))</f>
        <v/>
      </c>
      <c r="Z357" s="21" t="str">
        <f t="shared" si="8"/>
        <v/>
      </c>
    </row>
    <row r="358" spans="1:26" ht="15.75" customHeight="1" x14ac:dyDescent="0.3">
      <c r="A358" s="16" t="str">
        <f t="shared" si="9"/>
        <v/>
      </c>
      <c r="B358" s="28"/>
      <c r="C358" s="29"/>
      <c r="D358" s="16"/>
      <c r="E358" s="16"/>
      <c r="F358" s="16"/>
      <c r="G358" s="16"/>
      <c r="H358" s="16"/>
      <c r="I358" s="31"/>
      <c r="J358" s="15"/>
      <c r="K358" s="15"/>
      <c r="L358" s="15"/>
      <c r="M358" s="16"/>
      <c r="N358" s="17"/>
      <c r="O358" s="19" t="str">
        <f t="shared" si="5"/>
        <v/>
      </c>
      <c r="P358" s="17"/>
      <c r="Q358" s="17" t="str">
        <f t="shared" ca="1" si="6"/>
        <v/>
      </c>
      <c r="R358" s="21" t="str">
        <f ca="1">IF($Q358="","",IF($Q358&lt;=Settings!$B$8,Settings!$C$8,IF($Q358&lt;=Settings!$B$9,Settings!$C$9,IF($Q358&lt;=Settings!$B$10,Settings!$C$10,IF($Q358&lt;=Settings!$B$11,Settings!$C$11,Settings!$C$12)))))</f>
        <v/>
      </c>
      <c r="S358" s="21" t="str">
        <f>IF($F358="","",IFERROR(VLOOKUP($F358,Settings!$E$8:$F$11,2,FALSE),0))</f>
        <v/>
      </c>
      <c r="T358" s="21">
        <f>IF($G358="",Settings!$B$16,1)</f>
        <v>1</v>
      </c>
      <c r="U358" s="21" t="str">
        <f t="shared" si="7"/>
        <v/>
      </c>
      <c r="V358" s="32" t="str">
        <f>IF($C358="","",IF($Q358&gt;Settings!$B$4,IF($G358="","|","")&amp;"OLD_7D","")&amp;IF($Q358&gt;Settings!$B$5,IF(OR($G358="", $Q358&gt;Settings!$B$4),"|","")&amp;"OLD_30D",""))</f>
        <v/>
      </c>
      <c r="W358" s="21" t="str">
        <f>IF(OR($C358="", $M358&lt;&gt;"APPROVED",$I358="", $U358=0),"",SUMIFS($U$3:$U$502,$H$3:$H$502,$H358,$M$3:$M$502,"APPROVED",$Q$3:$Q$502,"&lt;="&amp;Settings!$B$4,$I$3:$I$502,"&lt;="&amp;$I358))</f>
        <v/>
      </c>
      <c r="X358" s="21" t="str">
        <f>IF(OR($C358="", $M358&lt;&gt;"APPROVED",$I358="", $U358=0),"",SUMIFS($U$3:$U$502,$H$3:$H$502,$H358,$M$3:$M$502,"APPROVED",$Q$3:$Q$502,"&lt;="&amp;Settings!$B$5,$I$3:$I$502,"&lt;="&amp;$I358))</f>
        <v/>
      </c>
      <c r="Y358" s="21" t="str">
        <f>IF($P358="","",IFERROR(MATCH($P358,Lists!$H$2:$H$4,0),""))</f>
        <v/>
      </c>
      <c r="Z358" s="21" t="str">
        <f t="shared" si="8"/>
        <v/>
      </c>
    </row>
    <row r="359" spans="1:26" ht="15.75" customHeight="1" x14ac:dyDescent="0.3">
      <c r="A359" s="16" t="str">
        <f t="shared" si="9"/>
        <v/>
      </c>
      <c r="B359" s="28"/>
      <c r="C359" s="29"/>
      <c r="D359" s="16"/>
      <c r="E359" s="16"/>
      <c r="F359" s="16"/>
      <c r="G359" s="16"/>
      <c r="H359" s="16"/>
      <c r="I359" s="31"/>
      <c r="J359" s="15"/>
      <c r="K359" s="15"/>
      <c r="L359" s="15"/>
      <c r="M359" s="16"/>
      <c r="N359" s="17"/>
      <c r="O359" s="19" t="str">
        <f t="shared" si="5"/>
        <v/>
      </c>
      <c r="P359" s="17"/>
      <c r="Q359" s="17" t="str">
        <f t="shared" ca="1" si="6"/>
        <v/>
      </c>
      <c r="R359" s="21" t="str">
        <f ca="1">IF($Q359="","",IF($Q359&lt;=Settings!$B$8,Settings!$C$8,IF($Q359&lt;=Settings!$B$9,Settings!$C$9,IF($Q359&lt;=Settings!$B$10,Settings!$C$10,IF($Q359&lt;=Settings!$B$11,Settings!$C$11,Settings!$C$12)))))</f>
        <v/>
      </c>
      <c r="S359" s="21" t="str">
        <f>IF($F359="","",IFERROR(VLOOKUP($F359,Settings!$E$8:$F$11,2,FALSE),0))</f>
        <v/>
      </c>
      <c r="T359" s="21">
        <f>IF($G359="",Settings!$B$16,1)</f>
        <v>1</v>
      </c>
      <c r="U359" s="21" t="str">
        <f t="shared" si="7"/>
        <v/>
      </c>
      <c r="V359" s="32" t="str">
        <f>IF($C359="","",IF($Q359&gt;Settings!$B$4,IF($G359="","|","")&amp;"OLD_7D","")&amp;IF($Q359&gt;Settings!$B$5,IF(OR($G359="", $Q359&gt;Settings!$B$4),"|","")&amp;"OLD_30D",""))</f>
        <v/>
      </c>
      <c r="W359" s="21" t="str">
        <f>IF(OR($C359="", $M359&lt;&gt;"APPROVED",$I359="", $U359=0),"",SUMIFS($U$3:$U$502,$H$3:$H$502,$H359,$M$3:$M$502,"APPROVED",$Q$3:$Q$502,"&lt;="&amp;Settings!$B$4,$I$3:$I$502,"&lt;="&amp;$I359))</f>
        <v/>
      </c>
      <c r="X359" s="21" t="str">
        <f>IF(OR($C359="", $M359&lt;&gt;"APPROVED",$I359="", $U359=0),"",SUMIFS($U$3:$U$502,$H$3:$H$502,$H359,$M$3:$M$502,"APPROVED",$Q$3:$Q$502,"&lt;="&amp;Settings!$B$5,$I$3:$I$502,"&lt;="&amp;$I359))</f>
        <v/>
      </c>
      <c r="Y359" s="21" t="str">
        <f>IF($P359="","",IFERROR(MATCH($P359,Lists!$H$2:$H$4,0),""))</f>
        <v/>
      </c>
      <c r="Z359" s="21" t="str">
        <f t="shared" si="8"/>
        <v/>
      </c>
    </row>
    <row r="360" spans="1:26" ht="15.75" customHeight="1" x14ac:dyDescent="0.3">
      <c r="A360" s="16" t="str">
        <f t="shared" si="9"/>
        <v/>
      </c>
      <c r="B360" s="28"/>
      <c r="C360" s="29"/>
      <c r="D360" s="16"/>
      <c r="E360" s="16"/>
      <c r="F360" s="16"/>
      <c r="G360" s="16"/>
      <c r="H360" s="16"/>
      <c r="I360" s="31"/>
      <c r="J360" s="15"/>
      <c r="K360" s="15"/>
      <c r="L360" s="15"/>
      <c r="M360" s="16"/>
      <c r="N360" s="17"/>
      <c r="O360" s="19" t="str">
        <f t="shared" si="5"/>
        <v/>
      </c>
      <c r="P360" s="17"/>
      <c r="Q360" s="17" t="str">
        <f t="shared" ca="1" si="6"/>
        <v/>
      </c>
      <c r="R360" s="21" t="str">
        <f ca="1">IF($Q360="","",IF($Q360&lt;=Settings!$B$8,Settings!$C$8,IF($Q360&lt;=Settings!$B$9,Settings!$C$9,IF($Q360&lt;=Settings!$B$10,Settings!$C$10,IF($Q360&lt;=Settings!$B$11,Settings!$C$11,Settings!$C$12)))))</f>
        <v/>
      </c>
      <c r="S360" s="21" t="str">
        <f>IF($F360="","",IFERROR(VLOOKUP($F360,Settings!$E$8:$F$11,2,FALSE),0))</f>
        <v/>
      </c>
      <c r="T360" s="21">
        <f>IF($G360="",Settings!$B$16,1)</f>
        <v>1</v>
      </c>
      <c r="U360" s="21" t="str">
        <f t="shared" si="7"/>
        <v/>
      </c>
      <c r="V360" s="32" t="str">
        <f>IF($C360="","",IF($Q360&gt;Settings!$B$4,IF($G360="","|","")&amp;"OLD_7D","")&amp;IF($Q360&gt;Settings!$B$5,IF(OR($G360="", $Q360&gt;Settings!$B$4),"|","")&amp;"OLD_30D",""))</f>
        <v/>
      </c>
      <c r="W360" s="21" t="str">
        <f>IF(OR($C360="", $M360&lt;&gt;"APPROVED",$I360="", $U360=0),"",SUMIFS($U$3:$U$502,$H$3:$H$502,$H360,$M$3:$M$502,"APPROVED",$Q$3:$Q$502,"&lt;="&amp;Settings!$B$4,$I$3:$I$502,"&lt;="&amp;$I360))</f>
        <v/>
      </c>
      <c r="X360" s="21" t="str">
        <f>IF(OR($C360="", $M360&lt;&gt;"APPROVED",$I360="", $U360=0),"",SUMIFS($U$3:$U$502,$H$3:$H$502,$H360,$M$3:$M$502,"APPROVED",$Q$3:$Q$502,"&lt;="&amp;Settings!$B$5,$I$3:$I$502,"&lt;="&amp;$I360))</f>
        <v/>
      </c>
      <c r="Y360" s="21" t="str">
        <f>IF($P360="","",IFERROR(MATCH($P360,Lists!$H$2:$H$4,0),""))</f>
        <v/>
      </c>
      <c r="Z360" s="21" t="str">
        <f t="shared" si="8"/>
        <v/>
      </c>
    </row>
    <row r="361" spans="1:26" ht="15.75" customHeight="1" x14ac:dyDescent="0.3">
      <c r="A361" s="16" t="str">
        <f t="shared" si="9"/>
        <v/>
      </c>
      <c r="B361" s="28"/>
      <c r="C361" s="29"/>
      <c r="D361" s="16"/>
      <c r="E361" s="16"/>
      <c r="F361" s="16"/>
      <c r="G361" s="16"/>
      <c r="H361" s="16"/>
      <c r="I361" s="31"/>
      <c r="J361" s="15"/>
      <c r="K361" s="15"/>
      <c r="L361" s="15"/>
      <c r="M361" s="16"/>
      <c r="N361" s="17"/>
      <c r="O361" s="19" t="str">
        <f t="shared" si="5"/>
        <v/>
      </c>
      <c r="P361" s="17"/>
      <c r="Q361" s="17" t="str">
        <f t="shared" ca="1" si="6"/>
        <v/>
      </c>
      <c r="R361" s="21" t="str">
        <f ca="1">IF($Q361="","",IF($Q361&lt;=Settings!$B$8,Settings!$C$8,IF($Q361&lt;=Settings!$B$9,Settings!$C$9,IF($Q361&lt;=Settings!$B$10,Settings!$C$10,IF($Q361&lt;=Settings!$B$11,Settings!$C$11,Settings!$C$12)))))</f>
        <v/>
      </c>
      <c r="S361" s="21" t="str">
        <f>IF($F361="","",IFERROR(VLOOKUP($F361,Settings!$E$8:$F$11,2,FALSE),0))</f>
        <v/>
      </c>
      <c r="T361" s="21">
        <f>IF($G361="",Settings!$B$16,1)</f>
        <v>1</v>
      </c>
      <c r="U361" s="21" t="str">
        <f t="shared" si="7"/>
        <v/>
      </c>
      <c r="V361" s="32" t="str">
        <f>IF($C361="","",IF($Q361&gt;Settings!$B$4,IF($G361="","|","")&amp;"OLD_7D","")&amp;IF($Q361&gt;Settings!$B$5,IF(OR($G361="", $Q361&gt;Settings!$B$4),"|","")&amp;"OLD_30D",""))</f>
        <v/>
      </c>
      <c r="W361" s="21" t="str">
        <f>IF(OR($C361="", $M361&lt;&gt;"APPROVED",$I361="", $U361=0),"",SUMIFS($U$3:$U$502,$H$3:$H$502,$H361,$M$3:$M$502,"APPROVED",$Q$3:$Q$502,"&lt;="&amp;Settings!$B$4,$I$3:$I$502,"&lt;="&amp;$I361))</f>
        <v/>
      </c>
      <c r="X361" s="21" t="str">
        <f>IF(OR($C361="", $M361&lt;&gt;"APPROVED",$I361="", $U361=0),"",SUMIFS($U$3:$U$502,$H$3:$H$502,$H361,$M$3:$M$502,"APPROVED",$Q$3:$Q$502,"&lt;="&amp;Settings!$B$5,$I$3:$I$502,"&lt;="&amp;$I361))</f>
        <v/>
      </c>
      <c r="Y361" s="21" t="str">
        <f>IF($P361="","",IFERROR(MATCH($P361,Lists!$H$2:$H$4,0),""))</f>
        <v/>
      </c>
      <c r="Z361" s="21" t="str">
        <f t="shared" si="8"/>
        <v/>
      </c>
    </row>
    <row r="362" spans="1:26" ht="15.75" customHeight="1" x14ac:dyDescent="0.3">
      <c r="A362" s="16" t="str">
        <f t="shared" si="9"/>
        <v/>
      </c>
      <c r="B362" s="28"/>
      <c r="C362" s="29"/>
      <c r="D362" s="16"/>
      <c r="E362" s="16"/>
      <c r="F362" s="16"/>
      <c r="G362" s="16"/>
      <c r="H362" s="16"/>
      <c r="I362" s="31"/>
      <c r="J362" s="15"/>
      <c r="K362" s="15"/>
      <c r="L362" s="15"/>
      <c r="M362" s="16"/>
      <c r="N362" s="17"/>
      <c r="O362" s="19" t="str">
        <f t="shared" si="5"/>
        <v/>
      </c>
      <c r="P362" s="17"/>
      <c r="Q362" s="17" t="str">
        <f t="shared" ca="1" si="6"/>
        <v/>
      </c>
      <c r="R362" s="21" t="str">
        <f ca="1">IF($Q362="","",IF($Q362&lt;=Settings!$B$8,Settings!$C$8,IF($Q362&lt;=Settings!$B$9,Settings!$C$9,IF($Q362&lt;=Settings!$B$10,Settings!$C$10,IF($Q362&lt;=Settings!$B$11,Settings!$C$11,Settings!$C$12)))))</f>
        <v/>
      </c>
      <c r="S362" s="21" t="str">
        <f>IF($F362="","",IFERROR(VLOOKUP($F362,Settings!$E$8:$F$11,2,FALSE),0))</f>
        <v/>
      </c>
      <c r="T362" s="21">
        <f>IF($G362="",Settings!$B$16,1)</f>
        <v>1</v>
      </c>
      <c r="U362" s="21" t="str">
        <f t="shared" si="7"/>
        <v/>
      </c>
      <c r="V362" s="32" t="str">
        <f>IF($C362="","",IF($Q362&gt;Settings!$B$4,IF($G362="","|","")&amp;"OLD_7D","")&amp;IF($Q362&gt;Settings!$B$5,IF(OR($G362="", $Q362&gt;Settings!$B$4),"|","")&amp;"OLD_30D",""))</f>
        <v/>
      </c>
      <c r="W362" s="21" t="str">
        <f>IF(OR($C362="", $M362&lt;&gt;"APPROVED",$I362="", $U362=0),"",SUMIFS($U$3:$U$502,$H$3:$H$502,$H362,$M$3:$M$502,"APPROVED",$Q$3:$Q$502,"&lt;="&amp;Settings!$B$4,$I$3:$I$502,"&lt;="&amp;$I362))</f>
        <v/>
      </c>
      <c r="X362" s="21" t="str">
        <f>IF(OR($C362="", $M362&lt;&gt;"APPROVED",$I362="", $U362=0),"",SUMIFS($U$3:$U$502,$H$3:$H$502,$H362,$M$3:$M$502,"APPROVED",$Q$3:$Q$502,"&lt;="&amp;Settings!$B$5,$I$3:$I$502,"&lt;="&amp;$I362))</f>
        <v/>
      </c>
      <c r="Y362" s="21" t="str">
        <f>IF($P362="","",IFERROR(MATCH($P362,Lists!$H$2:$H$4,0),""))</f>
        <v/>
      </c>
      <c r="Z362" s="21" t="str">
        <f t="shared" si="8"/>
        <v/>
      </c>
    </row>
    <row r="363" spans="1:26" ht="15.75" customHeight="1" x14ac:dyDescent="0.3">
      <c r="A363" s="16" t="str">
        <f t="shared" si="9"/>
        <v/>
      </c>
      <c r="B363" s="28"/>
      <c r="C363" s="29"/>
      <c r="D363" s="16"/>
      <c r="E363" s="16"/>
      <c r="F363" s="16"/>
      <c r="G363" s="16"/>
      <c r="H363" s="16"/>
      <c r="I363" s="31"/>
      <c r="J363" s="15"/>
      <c r="K363" s="15"/>
      <c r="L363" s="15"/>
      <c r="M363" s="16"/>
      <c r="N363" s="17"/>
      <c r="O363" s="19" t="str">
        <f t="shared" si="5"/>
        <v/>
      </c>
      <c r="P363" s="17"/>
      <c r="Q363" s="17" t="str">
        <f t="shared" ca="1" si="6"/>
        <v/>
      </c>
      <c r="R363" s="21" t="str">
        <f ca="1">IF($Q363="","",IF($Q363&lt;=Settings!$B$8,Settings!$C$8,IF($Q363&lt;=Settings!$B$9,Settings!$C$9,IF($Q363&lt;=Settings!$B$10,Settings!$C$10,IF($Q363&lt;=Settings!$B$11,Settings!$C$11,Settings!$C$12)))))</f>
        <v/>
      </c>
      <c r="S363" s="21" t="str">
        <f>IF($F363="","",IFERROR(VLOOKUP($F363,Settings!$E$8:$F$11,2,FALSE),0))</f>
        <v/>
      </c>
      <c r="T363" s="21">
        <f>IF($G363="",Settings!$B$16,1)</f>
        <v>1</v>
      </c>
      <c r="U363" s="21" t="str">
        <f t="shared" si="7"/>
        <v/>
      </c>
      <c r="V363" s="32" t="str">
        <f>IF($C363="","",IF($Q363&gt;Settings!$B$4,IF($G363="","|","")&amp;"OLD_7D","")&amp;IF($Q363&gt;Settings!$B$5,IF(OR($G363="", $Q363&gt;Settings!$B$4),"|","")&amp;"OLD_30D",""))</f>
        <v/>
      </c>
      <c r="W363" s="21" t="str">
        <f>IF(OR($C363="", $M363&lt;&gt;"APPROVED",$I363="", $U363=0),"",SUMIFS($U$3:$U$502,$H$3:$H$502,$H363,$M$3:$M$502,"APPROVED",$Q$3:$Q$502,"&lt;="&amp;Settings!$B$4,$I$3:$I$502,"&lt;="&amp;$I363))</f>
        <v/>
      </c>
      <c r="X363" s="21" t="str">
        <f>IF(OR($C363="", $M363&lt;&gt;"APPROVED",$I363="", $U363=0),"",SUMIFS($U$3:$U$502,$H$3:$H$502,$H363,$M$3:$M$502,"APPROVED",$Q$3:$Q$502,"&lt;="&amp;Settings!$B$5,$I$3:$I$502,"&lt;="&amp;$I363))</f>
        <v/>
      </c>
      <c r="Y363" s="21" t="str">
        <f>IF($P363="","",IFERROR(MATCH($P363,Lists!$H$2:$H$4,0),""))</f>
        <v/>
      </c>
      <c r="Z363" s="21" t="str">
        <f t="shared" si="8"/>
        <v/>
      </c>
    </row>
    <row r="364" spans="1:26" ht="15.75" customHeight="1" x14ac:dyDescent="0.3">
      <c r="A364" s="16" t="str">
        <f t="shared" si="9"/>
        <v/>
      </c>
      <c r="B364" s="28"/>
      <c r="C364" s="29"/>
      <c r="D364" s="16"/>
      <c r="E364" s="16"/>
      <c r="F364" s="16"/>
      <c r="G364" s="16"/>
      <c r="H364" s="16"/>
      <c r="I364" s="31"/>
      <c r="J364" s="15"/>
      <c r="K364" s="15"/>
      <c r="L364" s="15"/>
      <c r="M364" s="16"/>
      <c r="N364" s="17"/>
      <c r="O364" s="19" t="str">
        <f t="shared" si="5"/>
        <v/>
      </c>
      <c r="P364" s="17"/>
      <c r="Q364" s="17" t="str">
        <f t="shared" ca="1" si="6"/>
        <v/>
      </c>
      <c r="R364" s="21" t="str">
        <f ca="1">IF($Q364="","",IF($Q364&lt;=Settings!$B$8,Settings!$C$8,IF($Q364&lt;=Settings!$B$9,Settings!$C$9,IF($Q364&lt;=Settings!$B$10,Settings!$C$10,IF($Q364&lt;=Settings!$B$11,Settings!$C$11,Settings!$C$12)))))</f>
        <v/>
      </c>
      <c r="S364" s="21" t="str">
        <f>IF($F364="","",IFERROR(VLOOKUP($F364,Settings!$E$8:$F$11,2,FALSE),0))</f>
        <v/>
      </c>
      <c r="T364" s="21">
        <f>IF($G364="",Settings!$B$16,1)</f>
        <v>1</v>
      </c>
      <c r="U364" s="21" t="str">
        <f t="shared" si="7"/>
        <v/>
      </c>
      <c r="V364" s="32" t="str">
        <f>IF($C364="","",IF($Q364&gt;Settings!$B$4,IF($G364="","|","")&amp;"OLD_7D","")&amp;IF($Q364&gt;Settings!$B$5,IF(OR($G364="", $Q364&gt;Settings!$B$4),"|","")&amp;"OLD_30D",""))</f>
        <v/>
      </c>
      <c r="W364" s="21" t="str">
        <f>IF(OR($C364="", $M364&lt;&gt;"APPROVED",$I364="", $U364=0),"",SUMIFS($U$3:$U$502,$H$3:$H$502,$H364,$M$3:$M$502,"APPROVED",$Q$3:$Q$502,"&lt;="&amp;Settings!$B$4,$I$3:$I$502,"&lt;="&amp;$I364))</f>
        <v/>
      </c>
      <c r="X364" s="21" t="str">
        <f>IF(OR($C364="", $M364&lt;&gt;"APPROVED",$I364="", $U364=0),"",SUMIFS($U$3:$U$502,$H$3:$H$502,$H364,$M$3:$M$502,"APPROVED",$Q$3:$Q$502,"&lt;="&amp;Settings!$B$5,$I$3:$I$502,"&lt;="&amp;$I364))</f>
        <v/>
      </c>
      <c r="Y364" s="21" t="str">
        <f>IF($P364="","",IFERROR(MATCH($P364,Lists!$H$2:$H$4,0),""))</f>
        <v/>
      </c>
      <c r="Z364" s="21" t="str">
        <f t="shared" si="8"/>
        <v/>
      </c>
    </row>
    <row r="365" spans="1:26" ht="15.75" customHeight="1" x14ac:dyDescent="0.3">
      <c r="A365" s="16" t="str">
        <f t="shared" si="9"/>
        <v/>
      </c>
      <c r="B365" s="28"/>
      <c r="C365" s="29"/>
      <c r="D365" s="16"/>
      <c r="E365" s="16"/>
      <c r="F365" s="16"/>
      <c r="G365" s="16"/>
      <c r="H365" s="16"/>
      <c r="I365" s="31"/>
      <c r="J365" s="15"/>
      <c r="K365" s="15"/>
      <c r="L365" s="15"/>
      <c r="M365" s="16"/>
      <c r="N365" s="17"/>
      <c r="O365" s="19" t="str">
        <f t="shared" si="5"/>
        <v/>
      </c>
      <c r="P365" s="17"/>
      <c r="Q365" s="17" t="str">
        <f t="shared" ca="1" si="6"/>
        <v/>
      </c>
      <c r="R365" s="21" t="str">
        <f ca="1">IF($Q365="","",IF($Q365&lt;=Settings!$B$8,Settings!$C$8,IF($Q365&lt;=Settings!$B$9,Settings!$C$9,IF($Q365&lt;=Settings!$B$10,Settings!$C$10,IF($Q365&lt;=Settings!$B$11,Settings!$C$11,Settings!$C$12)))))</f>
        <v/>
      </c>
      <c r="S365" s="21" t="str">
        <f>IF($F365="","",IFERROR(VLOOKUP($F365,Settings!$E$8:$F$11,2,FALSE),0))</f>
        <v/>
      </c>
      <c r="T365" s="21">
        <f>IF($G365="",Settings!$B$16,1)</f>
        <v>1</v>
      </c>
      <c r="U365" s="21" t="str">
        <f t="shared" si="7"/>
        <v/>
      </c>
      <c r="V365" s="32" t="str">
        <f>IF($C365="","",IF($Q365&gt;Settings!$B$4,IF($G365="","|","")&amp;"OLD_7D","")&amp;IF($Q365&gt;Settings!$B$5,IF(OR($G365="", $Q365&gt;Settings!$B$4),"|","")&amp;"OLD_30D",""))</f>
        <v/>
      </c>
      <c r="W365" s="21" t="str">
        <f>IF(OR($C365="", $M365&lt;&gt;"APPROVED",$I365="", $U365=0),"",SUMIFS($U$3:$U$502,$H$3:$H$502,$H365,$M$3:$M$502,"APPROVED",$Q$3:$Q$502,"&lt;="&amp;Settings!$B$4,$I$3:$I$502,"&lt;="&amp;$I365))</f>
        <v/>
      </c>
      <c r="X365" s="21" t="str">
        <f>IF(OR($C365="", $M365&lt;&gt;"APPROVED",$I365="", $U365=0),"",SUMIFS($U$3:$U$502,$H$3:$H$502,$H365,$M$3:$M$502,"APPROVED",$Q$3:$Q$502,"&lt;="&amp;Settings!$B$5,$I$3:$I$502,"&lt;="&amp;$I365))</f>
        <v/>
      </c>
      <c r="Y365" s="21" t="str">
        <f>IF($P365="","",IFERROR(MATCH($P365,Lists!$H$2:$H$4,0),""))</f>
        <v/>
      </c>
      <c r="Z365" s="21" t="str">
        <f t="shared" si="8"/>
        <v/>
      </c>
    </row>
    <row r="366" spans="1:26" ht="15.75" customHeight="1" x14ac:dyDescent="0.3">
      <c r="A366" s="16" t="str">
        <f t="shared" si="9"/>
        <v/>
      </c>
      <c r="B366" s="28"/>
      <c r="C366" s="29"/>
      <c r="D366" s="16"/>
      <c r="E366" s="16"/>
      <c r="F366" s="16"/>
      <c r="G366" s="16"/>
      <c r="H366" s="16"/>
      <c r="I366" s="31"/>
      <c r="J366" s="15"/>
      <c r="K366" s="15"/>
      <c r="L366" s="15"/>
      <c r="M366" s="16"/>
      <c r="N366" s="17"/>
      <c r="O366" s="19" t="str">
        <f t="shared" si="5"/>
        <v/>
      </c>
      <c r="P366" s="17"/>
      <c r="Q366" s="17" t="str">
        <f t="shared" ca="1" si="6"/>
        <v/>
      </c>
      <c r="R366" s="21" t="str">
        <f ca="1">IF($Q366="","",IF($Q366&lt;=Settings!$B$8,Settings!$C$8,IF($Q366&lt;=Settings!$B$9,Settings!$C$9,IF($Q366&lt;=Settings!$B$10,Settings!$C$10,IF($Q366&lt;=Settings!$B$11,Settings!$C$11,Settings!$C$12)))))</f>
        <v/>
      </c>
      <c r="S366" s="21" t="str">
        <f>IF($F366="","",IFERROR(VLOOKUP($F366,Settings!$E$8:$F$11,2,FALSE),0))</f>
        <v/>
      </c>
      <c r="T366" s="21">
        <f>IF($G366="",Settings!$B$16,1)</f>
        <v>1</v>
      </c>
      <c r="U366" s="21" t="str">
        <f t="shared" si="7"/>
        <v/>
      </c>
      <c r="V366" s="32" t="str">
        <f>IF($C366="","",IF($Q366&gt;Settings!$B$4,IF($G366="","|","")&amp;"OLD_7D","")&amp;IF($Q366&gt;Settings!$B$5,IF(OR($G366="", $Q366&gt;Settings!$B$4),"|","")&amp;"OLD_30D",""))</f>
        <v/>
      </c>
      <c r="W366" s="21" t="str">
        <f>IF(OR($C366="", $M366&lt;&gt;"APPROVED",$I366="", $U366=0),"",SUMIFS($U$3:$U$502,$H$3:$H$502,$H366,$M$3:$M$502,"APPROVED",$Q$3:$Q$502,"&lt;="&amp;Settings!$B$4,$I$3:$I$502,"&lt;="&amp;$I366))</f>
        <v/>
      </c>
      <c r="X366" s="21" t="str">
        <f>IF(OR($C366="", $M366&lt;&gt;"APPROVED",$I366="", $U366=0),"",SUMIFS($U$3:$U$502,$H$3:$H$502,$H366,$M$3:$M$502,"APPROVED",$Q$3:$Q$502,"&lt;="&amp;Settings!$B$5,$I$3:$I$502,"&lt;="&amp;$I366))</f>
        <v/>
      </c>
      <c r="Y366" s="21" t="str">
        <f>IF($P366="","",IFERROR(MATCH($P366,Lists!$H$2:$H$4,0),""))</f>
        <v/>
      </c>
      <c r="Z366" s="21" t="str">
        <f t="shared" si="8"/>
        <v/>
      </c>
    </row>
    <row r="367" spans="1:26" ht="15.75" customHeight="1" x14ac:dyDescent="0.3">
      <c r="A367" s="16" t="str">
        <f t="shared" si="9"/>
        <v/>
      </c>
      <c r="B367" s="28"/>
      <c r="C367" s="29"/>
      <c r="D367" s="16"/>
      <c r="E367" s="16"/>
      <c r="F367" s="16"/>
      <c r="G367" s="16"/>
      <c r="H367" s="16"/>
      <c r="I367" s="31"/>
      <c r="J367" s="15"/>
      <c r="K367" s="15"/>
      <c r="L367" s="15"/>
      <c r="M367" s="16"/>
      <c r="N367" s="17"/>
      <c r="O367" s="19" t="str">
        <f t="shared" si="5"/>
        <v/>
      </c>
      <c r="P367" s="17"/>
      <c r="Q367" s="17" t="str">
        <f t="shared" ca="1" si="6"/>
        <v/>
      </c>
      <c r="R367" s="21" t="str">
        <f ca="1">IF($Q367="","",IF($Q367&lt;=Settings!$B$8,Settings!$C$8,IF($Q367&lt;=Settings!$B$9,Settings!$C$9,IF($Q367&lt;=Settings!$B$10,Settings!$C$10,IF($Q367&lt;=Settings!$B$11,Settings!$C$11,Settings!$C$12)))))</f>
        <v/>
      </c>
      <c r="S367" s="21" t="str">
        <f>IF($F367="","",IFERROR(VLOOKUP($F367,Settings!$E$8:$F$11,2,FALSE),0))</f>
        <v/>
      </c>
      <c r="T367" s="21">
        <f>IF($G367="",Settings!$B$16,1)</f>
        <v>1</v>
      </c>
      <c r="U367" s="21" t="str">
        <f t="shared" si="7"/>
        <v/>
      </c>
      <c r="V367" s="32" t="str">
        <f>IF($C367="","",IF($Q367&gt;Settings!$B$4,IF($G367="","|","")&amp;"OLD_7D","")&amp;IF($Q367&gt;Settings!$B$5,IF(OR($G367="", $Q367&gt;Settings!$B$4),"|","")&amp;"OLD_30D",""))</f>
        <v/>
      </c>
      <c r="W367" s="21" t="str">
        <f>IF(OR($C367="", $M367&lt;&gt;"APPROVED",$I367="", $U367=0),"",SUMIFS($U$3:$U$502,$H$3:$H$502,$H367,$M$3:$M$502,"APPROVED",$Q$3:$Q$502,"&lt;="&amp;Settings!$B$4,$I$3:$I$502,"&lt;="&amp;$I367))</f>
        <v/>
      </c>
      <c r="X367" s="21" t="str">
        <f>IF(OR($C367="", $M367&lt;&gt;"APPROVED",$I367="", $U367=0),"",SUMIFS($U$3:$U$502,$H$3:$H$502,$H367,$M$3:$M$502,"APPROVED",$Q$3:$Q$502,"&lt;="&amp;Settings!$B$5,$I$3:$I$502,"&lt;="&amp;$I367))</f>
        <v/>
      </c>
      <c r="Y367" s="21" t="str">
        <f>IF($P367="","",IFERROR(MATCH($P367,Lists!$H$2:$H$4,0),""))</f>
        <v/>
      </c>
      <c r="Z367" s="21" t="str">
        <f t="shared" si="8"/>
        <v/>
      </c>
    </row>
    <row r="368" spans="1:26" ht="15.75" customHeight="1" x14ac:dyDescent="0.3">
      <c r="A368" s="16" t="str">
        <f t="shared" si="9"/>
        <v/>
      </c>
      <c r="B368" s="28"/>
      <c r="C368" s="29"/>
      <c r="D368" s="16"/>
      <c r="E368" s="16"/>
      <c r="F368" s="16"/>
      <c r="G368" s="16"/>
      <c r="H368" s="16"/>
      <c r="I368" s="31"/>
      <c r="J368" s="15"/>
      <c r="K368" s="15"/>
      <c r="L368" s="15"/>
      <c r="M368" s="16"/>
      <c r="N368" s="17"/>
      <c r="O368" s="19" t="str">
        <f t="shared" si="5"/>
        <v/>
      </c>
      <c r="P368" s="17"/>
      <c r="Q368" s="17" t="str">
        <f t="shared" ca="1" si="6"/>
        <v/>
      </c>
      <c r="R368" s="21" t="str">
        <f ca="1">IF($Q368="","",IF($Q368&lt;=Settings!$B$8,Settings!$C$8,IF($Q368&lt;=Settings!$B$9,Settings!$C$9,IF($Q368&lt;=Settings!$B$10,Settings!$C$10,IF($Q368&lt;=Settings!$B$11,Settings!$C$11,Settings!$C$12)))))</f>
        <v/>
      </c>
      <c r="S368" s="21" t="str">
        <f>IF($F368="","",IFERROR(VLOOKUP($F368,Settings!$E$8:$F$11,2,FALSE),0))</f>
        <v/>
      </c>
      <c r="T368" s="21">
        <f>IF($G368="",Settings!$B$16,1)</f>
        <v>1</v>
      </c>
      <c r="U368" s="21" t="str">
        <f t="shared" si="7"/>
        <v/>
      </c>
      <c r="V368" s="32" t="str">
        <f>IF($C368="","",IF($Q368&gt;Settings!$B$4,IF($G368="","|","")&amp;"OLD_7D","")&amp;IF($Q368&gt;Settings!$B$5,IF(OR($G368="", $Q368&gt;Settings!$B$4),"|","")&amp;"OLD_30D",""))</f>
        <v/>
      </c>
      <c r="W368" s="21" t="str">
        <f>IF(OR($C368="", $M368&lt;&gt;"APPROVED",$I368="", $U368=0),"",SUMIFS($U$3:$U$502,$H$3:$H$502,$H368,$M$3:$M$502,"APPROVED",$Q$3:$Q$502,"&lt;="&amp;Settings!$B$4,$I$3:$I$502,"&lt;="&amp;$I368))</f>
        <v/>
      </c>
      <c r="X368" s="21" t="str">
        <f>IF(OR($C368="", $M368&lt;&gt;"APPROVED",$I368="", $U368=0),"",SUMIFS($U$3:$U$502,$H$3:$H$502,$H368,$M$3:$M$502,"APPROVED",$Q$3:$Q$502,"&lt;="&amp;Settings!$B$5,$I$3:$I$502,"&lt;="&amp;$I368))</f>
        <v/>
      </c>
      <c r="Y368" s="21" t="str">
        <f>IF($P368="","",IFERROR(MATCH($P368,Lists!$H$2:$H$4,0),""))</f>
        <v/>
      </c>
      <c r="Z368" s="21" t="str">
        <f t="shared" si="8"/>
        <v/>
      </c>
    </row>
    <row r="369" spans="1:26" ht="15.75" customHeight="1" x14ac:dyDescent="0.3">
      <c r="A369" s="16" t="str">
        <f t="shared" si="9"/>
        <v/>
      </c>
      <c r="B369" s="28"/>
      <c r="C369" s="29"/>
      <c r="D369" s="16"/>
      <c r="E369" s="16"/>
      <c r="F369" s="16"/>
      <c r="G369" s="16"/>
      <c r="H369" s="16"/>
      <c r="I369" s="31"/>
      <c r="J369" s="15"/>
      <c r="K369" s="15"/>
      <c r="L369" s="15"/>
      <c r="M369" s="16"/>
      <c r="N369" s="17"/>
      <c r="O369" s="19" t="str">
        <f t="shared" si="5"/>
        <v/>
      </c>
      <c r="P369" s="17"/>
      <c r="Q369" s="17" t="str">
        <f t="shared" ca="1" si="6"/>
        <v/>
      </c>
      <c r="R369" s="21" t="str">
        <f ca="1">IF($Q369="","",IF($Q369&lt;=Settings!$B$8,Settings!$C$8,IF($Q369&lt;=Settings!$B$9,Settings!$C$9,IF($Q369&lt;=Settings!$B$10,Settings!$C$10,IF($Q369&lt;=Settings!$B$11,Settings!$C$11,Settings!$C$12)))))</f>
        <v/>
      </c>
      <c r="S369" s="21" t="str">
        <f>IF($F369="","",IFERROR(VLOOKUP($F369,Settings!$E$8:$F$11,2,FALSE),0))</f>
        <v/>
      </c>
      <c r="T369" s="21">
        <f>IF($G369="",Settings!$B$16,1)</f>
        <v>1</v>
      </c>
      <c r="U369" s="21" t="str">
        <f t="shared" si="7"/>
        <v/>
      </c>
      <c r="V369" s="32" t="str">
        <f>IF($C369="","",IF($Q369&gt;Settings!$B$4,IF($G369="","|","")&amp;"OLD_7D","")&amp;IF($Q369&gt;Settings!$B$5,IF(OR($G369="", $Q369&gt;Settings!$B$4),"|","")&amp;"OLD_30D",""))</f>
        <v/>
      </c>
      <c r="W369" s="21" t="str">
        <f>IF(OR($C369="", $M369&lt;&gt;"APPROVED",$I369="", $U369=0),"",SUMIFS($U$3:$U$502,$H$3:$H$502,$H369,$M$3:$M$502,"APPROVED",$Q$3:$Q$502,"&lt;="&amp;Settings!$B$4,$I$3:$I$502,"&lt;="&amp;$I369))</f>
        <v/>
      </c>
      <c r="X369" s="21" t="str">
        <f>IF(OR($C369="", $M369&lt;&gt;"APPROVED",$I369="", $U369=0),"",SUMIFS($U$3:$U$502,$H$3:$H$502,$H369,$M$3:$M$502,"APPROVED",$Q$3:$Q$502,"&lt;="&amp;Settings!$B$5,$I$3:$I$502,"&lt;="&amp;$I369))</f>
        <v/>
      </c>
      <c r="Y369" s="21" t="str">
        <f>IF($P369="","",IFERROR(MATCH($P369,Lists!$H$2:$H$4,0),""))</f>
        <v/>
      </c>
      <c r="Z369" s="21" t="str">
        <f t="shared" si="8"/>
        <v/>
      </c>
    </row>
    <row r="370" spans="1:26" ht="15.75" customHeight="1" x14ac:dyDescent="0.3">
      <c r="A370" s="16" t="str">
        <f t="shared" si="9"/>
        <v/>
      </c>
      <c r="B370" s="28"/>
      <c r="C370" s="29"/>
      <c r="D370" s="16"/>
      <c r="E370" s="16"/>
      <c r="F370" s="16"/>
      <c r="G370" s="16"/>
      <c r="H370" s="16"/>
      <c r="I370" s="31"/>
      <c r="J370" s="15"/>
      <c r="K370" s="15"/>
      <c r="L370" s="15"/>
      <c r="M370" s="16"/>
      <c r="N370" s="17"/>
      <c r="O370" s="19" t="str">
        <f t="shared" si="5"/>
        <v/>
      </c>
      <c r="P370" s="17"/>
      <c r="Q370" s="17" t="str">
        <f t="shared" ca="1" si="6"/>
        <v/>
      </c>
      <c r="R370" s="21" t="str">
        <f ca="1">IF($Q370="","",IF($Q370&lt;=Settings!$B$8,Settings!$C$8,IF($Q370&lt;=Settings!$B$9,Settings!$C$9,IF($Q370&lt;=Settings!$B$10,Settings!$C$10,IF($Q370&lt;=Settings!$B$11,Settings!$C$11,Settings!$C$12)))))</f>
        <v/>
      </c>
      <c r="S370" s="21" t="str">
        <f>IF($F370="","",IFERROR(VLOOKUP($F370,Settings!$E$8:$F$11,2,FALSE),0))</f>
        <v/>
      </c>
      <c r="T370" s="21">
        <f>IF($G370="",Settings!$B$16,1)</f>
        <v>1</v>
      </c>
      <c r="U370" s="21" t="str">
        <f t="shared" si="7"/>
        <v/>
      </c>
      <c r="V370" s="32" t="str">
        <f>IF($C370="","",IF($Q370&gt;Settings!$B$4,IF($G370="","|","")&amp;"OLD_7D","")&amp;IF($Q370&gt;Settings!$B$5,IF(OR($G370="", $Q370&gt;Settings!$B$4),"|","")&amp;"OLD_30D",""))</f>
        <v/>
      </c>
      <c r="W370" s="21" t="str">
        <f>IF(OR($C370="", $M370&lt;&gt;"APPROVED",$I370="", $U370=0),"",SUMIFS($U$3:$U$502,$H$3:$H$502,$H370,$M$3:$M$502,"APPROVED",$Q$3:$Q$502,"&lt;="&amp;Settings!$B$4,$I$3:$I$502,"&lt;="&amp;$I370))</f>
        <v/>
      </c>
      <c r="X370" s="21" t="str">
        <f>IF(OR($C370="", $M370&lt;&gt;"APPROVED",$I370="", $U370=0),"",SUMIFS($U$3:$U$502,$H$3:$H$502,$H370,$M$3:$M$502,"APPROVED",$Q$3:$Q$502,"&lt;="&amp;Settings!$B$5,$I$3:$I$502,"&lt;="&amp;$I370))</f>
        <v/>
      </c>
      <c r="Y370" s="21" t="str">
        <f>IF($P370="","",IFERROR(MATCH($P370,Lists!$H$2:$H$4,0),""))</f>
        <v/>
      </c>
      <c r="Z370" s="21" t="str">
        <f t="shared" si="8"/>
        <v/>
      </c>
    </row>
    <row r="371" spans="1:26" ht="15.75" customHeight="1" x14ac:dyDescent="0.3">
      <c r="A371" s="16" t="str">
        <f t="shared" si="9"/>
        <v/>
      </c>
      <c r="B371" s="28"/>
      <c r="C371" s="29"/>
      <c r="D371" s="16"/>
      <c r="E371" s="16"/>
      <c r="F371" s="16"/>
      <c r="G371" s="16"/>
      <c r="H371" s="16"/>
      <c r="I371" s="31"/>
      <c r="J371" s="15"/>
      <c r="K371" s="15"/>
      <c r="L371" s="15"/>
      <c r="M371" s="16"/>
      <c r="N371" s="17"/>
      <c r="O371" s="19" t="str">
        <f t="shared" si="5"/>
        <v/>
      </c>
      <c r="P371" s="17"/>
      <c r="Q371" s="17" t="str">
        <f t="shared" ca="1" si="6"/>
        <v/>
      </c>
      <c r="R371" s="21" t="str">
        <f ca="1">IF($Q371="","",IF($Q371&lt;=Settings!$B$8,Settings!$C$8,IF($Q371&lt;=Settings!$B$9,Settings!$C$9,IF($Q371&lt;=Settings!$B$10,Settings!$C$10,IF($Q371&lt;=Settings!$B$11,Settings!$C$11,Settings!$C$12)))))</f>
        <v/>
      </c>
      <c r="S371" s="21" t="str">
        <f>IF($F371="","",IFERROR(VLOOKUP($F371,Settings!$E$8:$F$11,2,FALSE),0))</f>
        <v/>
      </c>
      <c r="T371" s="21">
        <f>IF($G371="",Settings!$B$16,1)</f>
        <v>1</v>
      </c>
      <c r="U371" s="21" t="str">
        <f t="shared" si="7"/>
        <v/>
      </c>
      <c r="V371" s="32" t="str">
        <f>IF($C371="","",IF($Q371&gt;Settings!$B$4,IF($G371="","|","")&amp;"OLD_7D","")&amp;IF($Q371&gt;Settings!$B$5,IF(OR($G371="", $Q371&gt;Settings!$B$4),"|","")&amp;"OLD_30D",""))</f>
        <v/>
      </c>
      <c r="W371" s="21" t="str">
        <f>IF(OR($C371="", $M371&lt;&gt;"APPROVED",$I371="", $U371=0),"",SUMIFS($U$3:$U$502,$H$3:$H$502,$H371,$M$3:$M$502,"APPROVED",$Q$3:$Q$502,"&lt;="&amp;Settings!$B$4,$I$3:$I$502,"&lt;="&amp;$I371))</f>
        <v/>
      </c>
      <c r="X371" s="21" t="str">
        <f>IF(OR($C371="", $M371&lt;&gt;"APPROVED",$I371="", $U371=0),"",SUMIFS($U$3:$U$502,$H$3:$H$502,$H371,$M$3:$M$502,"APPROVED",$Q$3:$Q$502,"&lt;="&amp;Settings!$B$5,$I$3:$I$502,"&lt;="&amp;$I371))</f>
        <v/>
      </c>
      <c r="Y371" s="21" t="str">
        <f>IF($P371="","",IFERROR(MATCH($P371,Lists!$H$2:$H$4,0),""))</f>
        <v/>
      </c>
      <c r="Z371" s="21" t="str">
        <f t="shared" si="8"/>
        <v/>
      </c>
    </row>
    <row r="372" spans="1:26" ht="15.75" customHeight="1" x14ac:dyDescent="0.3">
      <c r="A372" s="16" t="str">
        <f t="shared" si="9"/>
        <v/>
      </c>
      <c r="B372" s="28"/>
      <c r="C372" s="29"/>
      <c r="D372" s="16"/>
      <c r="E372" s="16"/>
      <c r="F372" s="16"/>
      <c r="G372" s="16"/>
      <c r="H372" s="16"/>
      <c r="I372" s="31"/>
      <c r="J372" s="15"/>
      <c r="K372" s="15"/>
      <c r="L372" s="15"/>
      <c r="M372" s="16"/>
      <c r="N372" s="17"/>
      <c r="O372" s="19" t="str">
        <f t="shared" si="5"/>
        <v/>
      </c>
      <c r="P372" s="17"/>
      <c r="Q372" s="17" t="str">
        <f t="shared" ca="1" si="6"/>
        <v/>
      </c>
      <c r="R372" s="21" t="str">
        <f ca="1">IF($Q372="","",IF($Q372&lt;=Settings!$B$8,Settings!$C$8,IF($Q372&lt;=Settings!$B$9,Settings!$C$9,IF($Q372&lt;=Settings!$B$10,Settings!$C$10,IF($Q372&lt;=Settings!$B$11,Settings!$C$11,Settings!$C$12)))))</f>
        <v/>
      </c>
      <c r="S372" s="21" t="str">
        <f>IF($F372="","",IFERROR(VLOOKUP($F372,Settings!$E$8:$F$11,2,FALSE),0))</f>
        <v/>
      </c>
      <c r="T372" s="21">
        <f>IF($G372="",Settings!$B$16,1)</f>
        <v>1</v>
      </c>
      <c r="U372" s="21" t="str">
        <f t="shared" si="7"/>
        <v/>
      </c>
      <c r="V372" s="32" t="str">
        <f>IF($C372="","",IF($Q372&gt;Settings!$B$4,IF($G372="","|","")&amp;"OLD_7D","")&amp;IF($Q372&gt;Settings!$B$5,IF(OR($G372="", $Q372&gt;Settings!$B$4),"|","")&amp;"OLD_30D",""))</f>
        <v/>
      </c>
      <c r="W372" s="21" t="str">
        <f>IF(OR($C372="", $M372&lt;&gt;"APPROVED",$I372="", $U372=0),"",SUMIFS($U$3:$U$502,$H$3:$H$502,$H372,$M$3:$M$502,"APPROVED",$Q$3:$Q$502,"&lt;="&amp;Settings!$B$4,$I$3:$I$502,"&lt;="&amp;$I372))</f>
        <v/>
      </c>
      <c r="X372" s="21" t="str">
        <f>IF(OR($C372="", $M372&lt;&gt;"APPROVED",$I372="", $U372=0),"",SUMIFS($U$3:$U$502,$H$3:$H$502,$H372,$M$3:$M$502,"APPROVED",$Q$3:$Q$502,"&lt;="&amp;Settings!$B$5,$I$3:$I$502,"&lt;="&amp;$I372))</f>
        <v/>
      </c>
      <c r="Y372" s="21" t="str">
        <f>IF($P372="","",IFERROR(MATCH($P372,Lists!$H$2:$H$4,0),""))</f>
        <v/>
      </c>
      <c r="Z372" s="21" t="str">
        <f t="shared" si="8"/>
        <v/>
      </c>
    </row>
    <row r="373" spans="1:26" ht="15.75" customHeight="1" x14ac:dyDescent="0.3">
      <c r="A373" s="16" t="str">
        <f t="shared" si="9"/>
        <v/>
      </c>
      <c r="B373" s="28"/>
      <c r="C373" s="29"/>
      <c r="D373" s="16"/>
      <c r="E373" s="16"/>
      <c r="F373" s="16"/>
      <c r="G373" s="16"/>
      <c r="H373" s="16"/>
      <c r="I373" s="31"/>
      <c r="J373" s="15"/>
      <c r="K373" s="15"/>
      <c r="L373" s="15"/>
      <c r="M373" s="16"/>
      <c r="N373" s="17"/>
      <c r="O373" s="19" t="str">
        <f t="shared" si="5"/>
        <v/>
      </c>
      <c r="P373" s="17"/>
      <c r="Q373" s="17" t="str">
        <f t="shared" ca="1" si="6"/>
        <v/>
      </c>
      <c r="R373" s="21" t="str">
        <f ca="1">IF($Q373="","",IF($Q373&lt;=Settings!$B$8,Settings!$C$8,IF($Q373&lt;=Settings!$B$9,Settings!$C$9,IF($Q373&lt;=Settings!$B$10,Settings!$C$10,IF($Q373&lt;=Settings!$B$11,Settings!$C$11,Settings!$C$12)))))</f>
        <v/>
      </c>
      <c r="S373" s="21" t="str">
        <f>IF($F373="","",IFERROR(VLOOKUP($F373,Settings!$E$8:$F$11,2,FALSE),0))</f>
        <v/>
      </c>
      <c r="T373" s="21">
        <f>IF($G373="",Settings!$B$16,1)</f>
        <v>1</v>
      </c>
      <c r="U373" s="21" t="str">
        <f t="shared" si="7"/>
        <v/>
      </c>
      <c r="V373" s="32" t="str">
        <f>IF($C373="","",IF($Q373&gt;Settings!$B$4,IF($G373="","|","")&amp;"OLD_7D","")&amp;IF($Q373&gt;Settings!$B$5,IF(OR($G373="", $Q373&gt;Settings!$B$4),"|","")&amp;"OLD_30D",""))</f>
        <v/>
      </c>
      <c r="W373" s="21" t="str">
        <f>IF(OR($C373="", $M373&lt;&gt;"APPROVED",$I373="", $U373=0),"",SUMIFS($U$3:$U$502,$H$3:$H$502,$H373,$M$3:$M$502,"APPROVED",$Q$3:$Q$502,"&lt;="&amp;Settings!$B$4,$I$3:$I$502,"&lt;="&amp;$I373))</f>
        <v/>
      </c>
      <c r="X373" s="21" t="str">
        <f>IF(OR($C373="", $M373&lt;&gt;"APPROVED",$I373="", $U373=0),"",SUMIFS($U$3:$U$502,$H$3:$H$502,$H373,$M$3:$M$502,"APPROVED",$Q$3:$Q$502,"&lt;="&amp;Settings!$B$5,$I$3:$I$502,"&lt;="&amp;$I373))</f>
        <v/>
      </c>
      <c r="Y373" s="21" t="str">
        <f>IF($P373="","",IFERROR(MATCH($P373,Lists!$H$2:$H$4,0),""))</f>
        <v/>
      </c>
      <c r="Z373" s="21" t="str">
        <f t="shared" si="8"/>
        <v/>
      </c>
    </row>
    <row r="374" spans="1:26" ht="15.75" customHeight="1" x14ac:dyDescent="0.3">
      <c r="A374" s="16" t="str">
        <f t="shared" si="9"/>
        <v/>
      </c>
      <c r="B374" s="28"/>
      <c r="C374" s="29"/>
      <c r="D374" s="16"/>
      <c r="E374" s="16"/>
      <c r="F374" s="16"/>
      <c r="G374" s="16"/>
      <c r="H374" s="16"/>
      <c r="I374" s="31"/>
      <c r="J374" s="15"/>
      <c r="K374" s="15"/>
      <c r="L374" s="15"/>
      <c r="M374" s="16"/>
      <c r="N374" s="17"/>
      <c r="O374" s="19" t="str">
        <f t="shared" si="5"/>
        <v/>
      </c>
      <c r="P374" s="17"/>
      <c r="Q374" s="17" t="str">
        <f t="shared" ca="1" si="6"/>
        <v/>
      </c>
      <c r="R374" s="21" t="str">
        <f ca="1">IF($Q374="","",IF($Q374&lt;=Settings!$B$8,Settings!$C$8,IF($Q374&lt;=Settings!$B$9,Settings!$C$9,IF($Q374&lt;=Settings!$B$10,Settings!$C$10,IF($Q374&lt;=Settings!$B$11,Settings!$C$11,Settings!$C$12)))))</f>
        <v/>
      </c>
      <c r="S374" s="21" t="str">
        <f>IF($F374="","",IFERROR(VLOOKUP($F374,Settings!$E$8:$F$11,2,FALSE),0))</f>
        <v/>
      </c>
      <c r="T374" s="21">
        <f>IF($G374="",Settings!$B$16,1)</f>
        <v>1</v>
      </c>
      <c r="U374" s="21" t="str">
        <f t="shared" si="7"/>
        <v/>
      </c>
      <c r="V374" s="32" t="str">
        <f>IF($C374="","",IF($Q374&gt;Settings!$B$4,IF($G374="","|","")&amp;"OLD_7D","")&amp;IF($Q374&gt;Settings!$B$5,IF(OR($G374="", $Q374&gt;Settings!$B$4),"|","")&amp;"OLD_30D",""))</f>
        <v/>
      </c>
      <c r="W374" s="21" t="str">
        <f>IF(OR($C374="", $M374&lt;&gt;"APPROVED",$I374="", $U374=0),"",SUMIFS($U$3:$U$502,$H$3:$H$502,$H374,$M$3:$M$502,"APPROVED",$Q$3:$Q$502,"&lt;="&amp;Settings!$B$4,$I$3:$I$502,"&lt;="&amp;$I374))</f>
        <v/>
      </c>
      <c r="X374" s="21" t="str">
        <f>IF(OR($C374="", $M374&lt;&gt;"APPROVED",$I374="", $U374=0),"",SUMIFS($U$3:$U$502,$H$3:$H$502,$H374,$M$3:$M$502,"APPROVED",$Q$3:$Q$502,"&lt;="&amp;Settings!$B$5,$I$3:$I$502,"&lt;="&amp;$I374))</f>
        <v/>
      </c>
      <c r="Y374" s="21" t="str">
        <f>IF($P374="","",IFERROR(MATCH($P374,Lists!$H$2:$H$4,0),""))</f>
        <v/>
      </c>
      <c r="Z374" s="21" t="str">
        <f t="shared" si="8"/>
        <v/>
      </c>
    </row>
    <row r="375" spans="1:26" ht="15.75" customHeight="1" x14ac:dyDescent="0.3">
      <c r="A375" s="16" t="str">
        <f t="shared" si="9"/>
        <v/>
      </c>
      <c r="B375" s="28"/>
      <c r="C375" s="29"/>
      <c r="D375" s="16"/>
      <c r="E375" s="16"/>
      <c r="F375" s="16"/>
      <c r="G375" s="16"/>
      <c r="H375" s="16"/>
      <c r="I375" s="31"/>
      <c r="J375" s="15"/>
      <c r="K375" s="15"/>
      <c r="L375" s="15"/>
      <c r="M375" s="16"/>
      <c r="N375" s="17"/>
      <c r="O375" s="19" t="str">
        <f t="shared" si="5"/>
        <v/>
      </c>
      <c r="P375" s="17"/>
      <c r="Q375" s="17" t="str">
        <f t="shared" ca="1" si="6"/>
        <v/>
      </c>
      <c r="R375" s="21" t="str">
        <f ca="1">IF($Q375="","",IF($Q375&lt;=Settings!$B$8,Settings!$C$8,IF($Q375&lt;=Settings!$B$9,Settings!$C$9,IF($Q375&lt;=Settings!$B$10,Settings!$C$10,IF($Q375&lt;=Settings!$B$11,Settings!$C$11,Settings!$C$12)))))</f>
        <v/>
      </c>
      <c r="S375" s="21" t="str">
        <f>IF($F375="","",IFERROR(VLOOKUP($F375,Settings!$E$8:$F$11,2,FALSE),0))</f>
        <v/>
      </c>
      <c r="T375" s="21">
        <f>IF($G375="",Settings!$B$16,1)</f>
        <v>1</v>
      </c>
      <c r="U375" s="21" t="str">
        <f t="shared" si="7"/>
        <v/>
      </c>
      <c r="V375" s="32" t="str">
        <f>IF($C375="","",IF($Q375&gt;Settings!$B$4,IF($G375="","|","")&amp;"OLD_7D","")&amp;IF($Q375&gt;Settings!$B$5,IF(OR($G375="", $Q375&gt;Settings!$B$4),"|","")&amp;"OLD_30D",""))</f>
        <v/>
      </c>
      <c r="W375" s="21" t="str">
        <f>IF(OR($C375="", $M375&lt;&gt;"APPROVED",$I375="", $U375=0),"",SUMIFS($U$3:$U$502,$H$3:$H$502,$H375,$M$3:$M$502,"APPROVED",$Q$3:$Q$502,"&lt;="&amp;Settings!$B$4,$I$3:$I$502,"&lt;="&amp;$I375))</f>
        <v/>
      </c>
      <c r="X375" s="21" t="str">
        <f>IF(OR($C375="", $M375&lt;&gt;"APPROVED",$I375="", $U375=0),"",SUMIFS($U$3:$U$502,$H$3:$H$502,$H375,$M$3:$M$502,"APPROVED",$Q$3:$Q$502,"&lt;="&amp;Settings!$B$5,$I$3:$I$502,"&lt;="&amp;$I375))</f>
        <v/>
      </c>
      <c r="Y375" s="21" t="str">
        <f>IF($P375="","",IFERROR(MATCH($P375,Lists!$H$2:$H$4,0),""))</f>
        <v/>
      </c>
      <c r="Z375" s="21" t="str">
        <f t="shared" si="8"/>
        <v/>
      </c>
    </row>
    <row r="376" spans="1:26" ht="15.75" customHeight="1" x14ac:dyDescent="0.3">
      <c r="A376" s="16" t="str">
        <f t="shared" si="9"/>
        <v/>
      </c>
      <c r="B376" s="28"/>
      <c r="C376" s="29"/>
      <c r="D376" s="16"/>
      <c r="E376" s="16"/>
      <c r="F376" s="16"/>
      <c r="G376" s="16"/>
      <c r="H376" s="16"/>
      <c r="I376" s="31"/>
      <c r="J376" s="15"/>
      <c r="K376" s="15"/>
      <c r="L376" s="15"/>
      <c r="M376" s="16"/>
      <c r="N376" s="17"/>
      <c r="O376" s="19" t="str">
        <f t="shared" si="5"/>
        <v/>
      </c>
      <c r="P376" s="17"/>
      <c r="Q376" s="17" t="str">
        <f t="shared" ca="1" si="6"/>
        <v/>
      </c>
      <c r="R376" s="21" t="str">
        <f ca="1">IF($Q376="","",IF($Q376&lt;=Settings!$B$8,Settings!$C$8,IF($Q376&lt;=Settings!$B$9,Settings!$C$9,IF($Q376&lt;=Settings!$B$10,Settings!$C$10,IF($Q376&lt;=Settings!$B$11,Settings!$C$11,Settings!$C$12)))))</f>
        <v/>
      </c>
      <c r="S376" s="21" t="str">
        <f>IF($F376="","",IFERROR(VLOOKUP($F376,Settings!$E$8:$F$11,2,FALSE),0))</f>
        <v/>
      </c>
      <c r="T376" s="21">
        <f>IF($G376="",Settings!$B$16,1)</f>
        <v>1</v>
      </c>
      <c r="U376" s="21" t="str">
        <f t="shared" si="7"/>
        <v/>
      </c>
      <c r="V376" s="32" t="str">
        <f>IF($C376="","",IF($Q376&gt;Settings!$B$4,IF($G376="","|","")&amp;"OLD_7D","")&amp;IF($Q376&gt;Settings!$B$5,IF(OR($G376="", $Q376&gt;Settings!$B$4),"|","")&amp;"OLD_30D",""))</f>
        <v/>
      </c>
      <c r="W376" s="21" t="str">
        <f>IF(OR($C376="", $M376&lt;&gt;"APPROVED",$I376="", $U376=0),"",SUMIFS($U$3:$U$502,$H$3:$H$502,$H376,$M$3:$M$502,"APPROVED",$Q$3:$Q$502,"&lt;="&amp;Settings!$B$4,$I$3:$I$502,"&lt;="&amp;$I376))</f>
        <v/>
      </c>
      <c r="X376" s="21" t="str">
        <f>IF(OR($C376="", $M376&lt;&gt;"APPROVED",$I376="", $U376=0),"",SUMIFS($U$3:$U$502,$H$3:$H$502,$H376,$M$3:$M$502,"APPROVED",$Q$3:$Q$502,"&lt;="&amp;Settings!$B$5,$I$3:$I$502,"&lt;="&amp;$I376))</f>
        <v/>
      </c>
      <c r="Y376" s="21" t="str">
        <f>IF($P376="","",IFERROR(MATCH($P376,Lists!$H$2:$H$4,0),""))</f>
        <v/>
      </c>
      <c r="Z376" s="21" t="str">
        <f t="shared" si="8"/>
        <v/>
      </c>
    </row>
    <row r="377" spans="1:26" ht="15.75" customHeight="1" x14ac:dyDescent="0.3">
      <c r="A377" s="16" t="str">
        <f t="shared" si="9"/>
        <v/>
      </c>
      <c r="B377" s="28"/>
      <c r="C377" s="29"/>
      <c r="D377" s="16"/>
      <c r="E377" s="16"/>
      <c r="F377" s="16"/>
      <c r="G377" s="16"/>
      <c r="H377" s="16"/>
      <c r="I377" s="31"/>
      <c r="J377" s="15"/>
      <c r="K377" s="15"/>
      <c r="L377" s="15"/>
      <c r="M377" s="16"/>
      <c r="N377" s="17"/>
      <c r="O377" s="19" t="str">
        <f t="shared" si="5"/>
        <v/>
      </c>
      <c r="P377" s="17"/>
      <c r="Q377" s="17" t="str">
        <f t="shared" ca="1" si="6"/>
        <v/>
      </c>
      <c r="R377" s="21" t="str">
        <f ca="1">IF($Q377="","",IF($Q377&lt;=Settings!$B$8,Settings!$C$8,IF($Q377&lt;=Settings!$B$9,Settings!$C$9,IF($Q377&lt;=Settings!$B$10,Settings!$C$10,IF($Q377&lt;=Settings!$B$11,Settings!$C$11,Settings!$C$12)))))</f>
        <v/>
      </c>
      <c r="S377" s="21" t="str">
        <f>IF($F377="","",IFERROR(VLOOKUP($F377,Settings!$E$8:$F$11,2,FALSE),0))</f>
        <v/>
      </c>
      <c r="T377" s="21">
        <f>IF($G377="",Settings!$B$16,1)</f>
        <v>1</v>
      </c>
      <c r="U377" s="21" t="str">
        <f t="shared" si="7"/>
        <v/>
      </c>
      <c r="V377" s="32" t="str">
        <f>IF($C377="","",IF($Q377&gt;Settings!$B$4,IF($G377="","|","")&amp;"OLD_7D","")&amp;IF($Q377&gt;Settings!$B$5,IF(OR($G377="", $Q377&gt;Settings!$B$4),"|","")&amp;"OLD_30D",""))</f>
        <v/>
      </c>
      <c r="W377" s="21" t="str">
        <f>IF(OR($C377="", $M377&lt;&gt;"APPROVED",$I377="", $U377=0),"",SUMIFS($U$3:$U$502,$H$3:$H$502,$H377,$M$3:$M$502,"APPROVED",$Q$3:$Q$502,"&lt;="&amp;Settings!$B$4,$I$3:$I$502,"&lt;="&amp;$I377))</f>
        <v/>
      </c>
      <c r="X377" s="21" t="str">
        <f>IF(OR($C377="", $M377&lt;&gt;"APPROVED",$I377="", $U377=0),"",SUMIFS($U$3:$U$502,$H$3:$H$502,$H377,$M$3:$M$502,"APPROVED",$Q$3:$Q$502,"&lt;="&amp;Settings!$B$5,$I$3:$I$502,"&lt;="&amp;$I377))</f>
        <v/>
      </c>
      <c r="Y377" s="21" t="str">
        <f>IF($P377="","",IFERROR(MATCH($P377,Lists!$H$2:$H$4,0),""))</f>
        <v/>
      </c>
      <c r="Z377" s="21" t="str">
        <f t="shared" si="8"/>
        <v/>
      </c>
    </row>
    <row r="378" spans="1:26" ht="15.75" customHeight="1" x14ac:dyDescent="0.3">
      <c r="A378" s="16" t="str">
        <f t="shared" si="9"/>
        <v/>
      </c>
      <c r="B378" s="28"/>
      <c r="C378" s="29"/>
      <c r="D378" s="16"/>
      <c r="E378" s="16"/>
      <c r="F378" s="16"/>
      <c r="G378" s="16"/>
      <c r="H378" s="16"/>
      <c r="I378" s="31"/>
      <c r="J378" s="15"/>
      <c r="K378" s="15"/>
      <c r="L378" s="15"/>
      <c r="M378" s="16"/>
      <c r="N378" s="17"/>
      <c r="O378" s="19" t="str">
        <f t="shared" si="5"/>
        <v/>
      </c>
      <c r="P378" s="17"/>
      <c r="Q378" s="17" t="str">
        <f t="shared" ca="1" si="6"/>
        <v/>
      </c>
      <c r="R378" s="21" t="str">
        <f ca="1">IF($Q378="","",IF($Q378&lt;=Settings!$B$8,Settings!$C$8,IF($Q378&lt;=Settings!$B$9,Settings!$C$9,IF($Q378&lt;=Settings!$B$10,Settings!$C$10,IF($Q378&lt;=Settings!$B$11,Settings!$C$11,Settings!$C$12)))))</f>
        <v/>
      </c>
      <c r="S378" s="21" t="str">
        <f>IF($F378="","",IFERROR(VLOOKUP($F378,Settings!$E$8:$F$11,2,FALSE),0))</f>
        <v/>
      </c>
      <c r="T378" s="21">
        <f>IF($G378="",Settings!$B$16,1)</f>
        <v>1</v>
      </c>
      <c r="U378" s="21" t="str">
        <f t="shared" si="7"/>
        <v/>
      </c>
      <c r="V378" s="32" t="str">
        <f>IF($C378="","",IF($Q378&gt;Settings!$B$4,IF($G378="","|","")&amp;"OLD_7D","")&amp;IF($Q378&gt;Settings!$B$5,IF(OR($G378="", $Q378&gt;Settings!$B$4),"|","")&amp;"OLD_30D",""))</f>
        <v/>
      </c>
      <c r="W378" s="21" t="str">
        <f>IF(OR($C378="", $M378&lt;&gt;"APPROVED",$I378="", $U378=0),"",SUMIFS($U$3:$U$502,$H$3:$H$502,$H378,$M$3:$M$502,"APPROVED",$Q$3:$Q$502,"&lt;="&amp;Settings!$B$4,$I$3:$I$502,"&lt;="&amp;$I378))</f>
        <v/>
      </c>
      <c r="X378" s="21" t="str">
        <f>IF(OR($C378="", $M378&lt;&gt;"APPROVED",$I378="", $U378=0),"",SUMIFS($U$3:$U$502,$H$3:$H$502,$H378,$M$3:$M$502,"APPROVED",$Q$3:$Q$502,"&lt;="&amp;Settings!$B$5,$I$3:$I$502,"&lt;="&amp;$I378))</f>
        <v/>
      </c>
      <c r="Y378" s="21" t="str">
        <f>IF($P378="","",IFERROR(MATCH($P378,Lists!$H$2:$H$4,0),""))</f>
        <v/>
      </c>
      <c r="Z378" s="21" t="str">
        <f t="shared" si="8"/>
        <v/>
      </c>
    </row>
    <row r="379" spans="1:26" ht="15.75" customHeight="1" x14ac:dyDescent="0.3">
      <c r="A379" s="16" t="str">
        <f t="shared" si="9"/>
        <v/>
      </c>
      <c r="B379" s="28"/>
      <c r="C379" s="29"/>
      <c r="D379" s="16"/>
      <c r="E379" s="16"/>
      <c r="F379" s="16"/>
      <c r="G379" s="16"/>
      <c r="H379" s="16"/>
      <c r="I379" s="31"/>
      <c r="J379" s="15"/>
      <c r="K379" s="15"/>
      <c r="L379" s="15"/>
      <c r="M379" s="16"/>
      <c r="N379" s="17"/>
      <c r="O379" s="19" t="str">
        <f t="shared" si="5"/>
        <v/>
      </c>
      <c r="P379" s="17"/>
      <c r="Q379" s="17" t="str">
        <f t="shared" ca="1" si="6"/>
        <v/>
      </c>
      <c r="R379" s="21" t="str">
        <f ca="1">IF($Q379="","",IF($Q379&lt;=Settings!$B$8,Settings!$C$8,IF($Q379&lt;=Settings!$B$9,Settings!$C$9,IF($Q379&lt;=Settings!$B$10,Settings!$C$10,IF($Q379&lt;=Settings!$B$11,Settings!$C$11,Settings!$C$12)))))</f>
        <v/>
      </c>
      <c r="S379" s="21" t="str">
        <f>IF($F379="","",IFERROR(VLOOKUP($F379,Settings!$E$8:$F$11,2,FALSE),0))</f>
        <v/>
      </c>
      <c r="T379" s="21">
        <f>IF($G379="",Settings!$B$16,1)</f>
        <v>1</v>
      </c>
      <c r="U379" s="21" t="str">
        <f t="shared" si="7"/>
        <v/>
      </c>
      <c r="V379" s="32" t="str">
        <f>IF($C379="","",IF($Q379&gt;Settings!$B$4,IF($G379="","|","")&amp;"OLD_7D","")&amp;IF($Q379&gt;Settings!$B$5,IF(OR($G379="", $Q379&gt;Settings!$B$4),"|","")&amp;"OLD_30D",""))</f>
        <v/>
      </c>
      <c r="W379" s="21" t="str">
        <f>IF(OR($C379="", $M379&lt;&gt;"APPROVED",$I379="", $U379=0),"",SUMIFS($U$3:$U$502,$H$3:$H$502,$H379,$M$3:$M$502,"APPROVED",$Q$3:$Q$502,"&lt;="&amp;Settings!$B$4,$I$3:$I$502,"&lt;="&amp;$I379))</f>
        <v/>
      </c>
      <c r="X379" s="21" t="str">
        <f>IF(OR($C379="", $M379&lt;&gt;"APPROVED",$I379="", $U379=0),"",SUMIFS($U$3:$U$502,$H$3:$H$502,$H379,$M$3:$M$502,"APPROVED",$Q$3:$Q$502,"&lt;="&amp;Settings!$B$5,$I$3:$I$502,"&lt;="&amp;$I379))</f>
        <v/>
      </c>
      <c r="Y379" s="21" t="str">
        <f>IF($P379="","",IFERROR(MATCH($P379,Lists!$H$2:$H$4,0),""))</f>
        <v/>
      </c>
      <c r="Z379" s="21" t="str">
        <f t="shared" si="8"/>
        <v/>
      </c>
    </row>
    <row r="380" spans="1:26" ht="15.75" customHeight="1" x14ac:dyDescent="0.3">
      <c r="A380" s="16" t="str">
        <f t="shared" si="9"/>
        <v/>
      </c>
      <c r="B380" s="28"/>
      <c r="C380" s="29"/>
      <c r="D380" s="16"/>
      <c r="E380" s="16"/>
      <c r="F380" s="16"/>
      <c r="G380" s="16"/>
      <c r="H380" s="16"/>
      <c r="I380" s="31"/>
      <c r="J380" s="15"/>
      <c r="K380" s="15"/>
      <c r="L380" s="15"/>
      <c r="M380" s="16"/>
      <c r="N380" s="17"/>
      <c r="O380" s="19" t="str">
        <f t="shared" si="5"/>
        <v/>
      </c>
      <c r="P380" s="17"/>
      <c r="Q380" s="17" t="str">
        <f t="shared" ca="1" si="6"/>
        <v/>
      </c>
      <c r="R380" s="21" t="str">
        <f ca="1">IF($Q380="","",IF($Q380&lt;=Settings!$B$8,Settings!$C$8,IF($Q380&lt;=Settings!$B$9,Settings!$C$9,IF($Q380&lt;=Settings!$B$10,Settings!$C$10,IF($Q380&lt;=Settings!$B$11,Settings!$C$11,Settings!$C$12)))))</f>
        <v/>
      </c>
      <c r="S380" s="21" t="str">
        <f>IF($F380="","",IFERROR(VLOOKUP($F380,Settings!$E$8:$F$11,2,FALSE),0))</f>
        <v/>
      </c>
      <c r="T380" s="21">
        <f>IF($G380="",Settings!$B$16,1)</f>
        <v>1</v>
      </c>
      <c r="U380" s="21" t="str">
        <f t="shared" si="7"/>
        <v/>
      </c>
      <c r="V380" s="32" t="str">
        <f>IF($C380="","",IF($Q380&gt;Settings!$B$4,IF($G380="","|","")&amp;"OLD_7D","")&amp;IF($Q380&gt;Settings!$B$5,IF(OR($G380="", $Q380&gt;Settings!$B$4),"|","")&amp;"OLD_30D",""))</f>
        <v/>
      </c>
      <c r="W380" s="21" t="str">
        <f>IF(OR($C380="", $M380&lt;&gt;"APPROVED",$I380="", $U380=0),"",SUMIFS($U$3:$U$502,$H$3:$H$502,$H380,$M$3:$M$502,"APPROVED",$Q$3:$Q$502,"&lt;="&amp;Settings!$B$4,$I$3:$I$502,"&lt;="&amp;$I380))</f>
        <v/>
      </c>
      <c r="X380" s="21" t="str">
        <f>IF(OR($C380="", $M380&lt;&gt;"APPROVED",$I380="", $U380=0),"",SUMIFS($U$3:$U$502,$H$3:$H$502,$H380,$M$3:$M$502,"APPROVED",$Q$3:$Q$502,"&lt;="&amp;Settings!$B$5,$I$3:$I$502,"&lt;="&amp;$I380))</f>
        <v/>
      </c>
      <c r="Y380" s="21" t="str">
        <f>IF($P380="","",IFERROR(MATCH($P380,Lists!$H$2:$H$4,0),""))</f>
        <v/>
      </c>
      <c r="Z380" s="21" t="str">
        <f t="shared" si="8"/>
        <v/>
      </c>
    </row>
    <row r="381" spans="1:26" ht="15.75" customHeight="1" x14ac:dyDescent="0.3">
      <c r="A381" s="16" t="str">
        <f t="shared" si="9"/>
        <v/>
      </c>
      <c r="B381" s="28"/>
      <c r="C381" s="29"/>
      <c r="D381" s="16"/>
      <c r="E381" s="16"/>
      <c r="F381" s="16"/>
      <c r="G381" s="16"/>
      <c r="H381" s="16"/>
      <c r="I381" s="31"/>
      <c r="J381" s="15"/>
      <c r="K381" s="15"/>
      <c r="L381" s="15"/>
      <c r="M381" s="16"/>
      <c r="N381" s="17"/>
      <c r="O381" s="19" t="str">
        <f t="shared" si="5"/>
        <v/>
      </c>
      <c r="P381" s="17"/>
      <c r="Q381" s="17" t="str">
        <f t="shared" ca="1" si="6"/>
        <v/>
      </c>
      <c r="R381" s="21" t="str">
        <f ca="1">IF($Q381="","",IF($Q381&lt;=Settings!$B$8,Settings!$C$8,IF($Q381&lt;=Settings!$B$9,Settings!$C$9,IF($Q381&lt;=Settings!$B$10,Settings!$C$10,IF($Q381&lt;=Settings!$B$11,Settings!$C$11,Settings!$C$12)))))</f>
        <v/>
      </c>
      <c r="S381" s="21" t="str">
        <f>IF($F381="","",IFERROR(VLOOKUP($F381,Settings!$E$8:$F$11,2,FALSE),0))</f>
        <v/>
      </c>
      <c r="T381" s="21">
        <f>IF($G381="",Settings!$B$16,1)</f>
        <v>1</v>
      </c>
      <c r="U381" s="21" t="str">
        <f t="shared" si="7"/>
        <v/>
      </c>
      <c r="V381" s="32" t="str">
        <f>IF($C381="","",IF($Q381&gt;Settings!$B$4,IF($G381="","|","")&amp;"OLD_7D","")&amp;IF($Q381&gt;Settings!$B$5,IF(OR($G381="", $Q381&gt;Settings!$B$4),"|","")&amp;"OLD_30D",""))</f>
        <v/>
      </c>
      <c r="W381" s="21" t="str">
        <f>IF(OR($C381="", $M381&lt;&gt;"APPROVED",$I381="", $U381=0),"",SUMIFS($U$3:$U$502,$H$3:$H$502,$H381,$M$3:$M$502,"APPROVED",$Q$3:$Q$502,"&lt;="&amp;Settings!$B$4,$I$3:$I$502,"&lt;="&amp;$I381))</f>
        <v/>
      </c>
      <c r="X381" s="21" t="str">
        <f>IF(OR($C381="", $M381&lt;&gt;"APPROVED",$I381="", $U381=0),"",SUMIFS($U$3:$U$502,$H$3:$H$502,$H381,$M$3:$M$502,"APPROVED",$Q$3:$Q$502,"&lt;="&amp;Settings!$B$5,$I$3:$I$502,"&lt;="&amp;$I381))</f>
        <v/>
      </c>
      <c r="Y381" s="21" t="str">
        <f>IF($P381="","",IFERROR(MATCH($P381,Lists!$H$2:$H$4,0),""))</f>
        <v/>
      </c>
      <c r="Z381" s="21" t="str">
        <f t="shared" si="8"/>
        <v/>
      </c>
    </row>
    <row r="382" spans="1:26" ht="15.75" customHeight="1" x14ac:dyDescent="0.3">
      <c r="A382" s="16" t="str">
        <f t="shared" si="9"/>
        <v/>
      </c>
      <c r="B382" s="28"/>
      <c r="C382" s="29"/>
      <c r="D382" s="16"/>
      <c r="E382" s="16"/>
      <c r="F382" s="16"/>
      <c r="G382" s="16"/>
      <c r="H382" s="16"/>
      <c r="I382" s="31"/>
      <c r="J382" s="15"/>
      <c r="K382" s="15"/>
      <c r="L382" s="15"/>
      <c r="M382" s="16"/>
      <c r="N382" s="17"/>
      <c r="O382" s="19" t="str">
        <f t="shared" si="5"/>
        <v/>
      </c>
      <c r="P382" s="17"/>
      <c r="Q382" s="17" t="str">
        <f t="shared" ca="1" si="6"/>
        <v/>
      </c>
      <c r="R382" s="21" t="str">
        <f ca="1">IF($Q382="","",IF($Q382&lt;=Settings!$B$8,Settings!$C$8,IF($Q382&lt;=Settings!$B$9,Settings!$C$9,IF($Q382&lt;=Settings!$B$10,Settings!$C$10,IF($Q382&lt;=Settings!$B$11,Settings!$C$11,Settings!$C$12)))))</f>
        <v/>
      </c>
      <c r="S382" s="21" t="str">
        <f>IF($F382="","",IFERROR(VLOOKUP($F382,Settings!$E$8:$F$11,2,FALSE),0))</f>
        <v/>
      </c>
      <c r="T382" s="21">
        <f>IF($G382="",Settings!$B$16,1)</f>
        <v>1</v>
      </c>
      <c r="U382" s="21" t="str">
        <f t="shared" si="7"/>
        <v/>
      </c>
      <c r="V382" s="32" t="str">
        <f>IF($C382="","",IF($Q382&gt;Settings!$B$4,IF($G382="","|","")&amp;"OLD_7D","")&amp;IF($Q382&gt;Settings!$B$5,IF(OR($G382="", $Q382&gt;Settings!$B$4),"|","")&amp;"OLD_30D",""))</f>
        <v/>
      </c>
      <c r="W382" s="21" t="str">
        <f>IF(OR($C382="", $M382&lt;&gt;"APPROVED",$I382="", $U382=0),"",SUMIFS($U$3:$U$502,$H$3:$H$502,$H382,$M$3:$M$502,"APPROVED",$Q$3:$Q$502,"&lt;="&amp;Settings!$B$4,$I$3:$I$502,"&lt;="&amp;$I382))</f>
        <v/>
      </c>
      <c r="X382" s="21" t="str">
        <f>IF(OR($C382="", $M382&lt;&gt;"APPROVED",$I382="", $U382=0),"",SUMIFS($U$3:$U$502,$H$3:$H$502,$H382,$M$3:$M$502,"APPROVED",$Q$3:$Q$502,"&lt;="&amp;Settings!$B$5,$I$3:$I$502,"&lt;="&amp;$I382))</f>
        <v/>
      </c>
      <c r="Y382" s="21" t="str">
        <f>IF($P382="","",IFERROR(MATCH($P382,Lists!$H$2:$H$4,0),""))</f>
        <v/>
      </c>
      <c r="Z382" s="21" t="str">
        <f t="shared" si="8"/>
        <v/>
      </c>
    </row>
    <row r="383" spans="1:26" ht="15.75" customHeight="1" x14ac:dyDescent="0.3">
      <c r="A383" s="16" t="str">
        <f t="shared" si="9"/>
        <v/>
      </c>
      <c r="B383" s="28"/>
      <c r="C383" s="29"/>
      <c r="D383" s="16"/>
      <c r="E383" s="16"/>
      <c r="F383" s="16"/>
      <c r="G383" s="16"/>
      <c r="H383" s="16"/>
      <c r="I383" s="31"/>
      <c r="J383" s="15"/>
      <c r="K383" s="15"/>
      <c r="L383" s="15"/>
      <c r="M383" s="16"/>
      <c r="N383" s="17"/>
      <c r="O383" s="19" t="str">
        <f t="shared" si="5"/>
        <v/>
      </c>
      <c r="P383" s="17"/>
      <c r="Q383" s="17" t="str">
        <f t="shared" ca="1" si="6"/>
        <v/>
      </c>
      <c r="R383" s="21" t="str">
        <f ca="1">IF($Q383="","",IF($Q383&lt;=Settings!$B$8,Settings!$C$8,IF($Q383&lt;=Settings!$B$9,Settings!$C$9,IF($Q383&lt;=Settings!$B$10,Settings!$C$10,IF($Q383&lt;=Settings!$B$11,Settings!$C$11,Settings!$C$12)))))</f>
        <v/>
      </c>
      <c r="S383" s="21" t="str">
        <f>IF($F383="","",IFERROR(VLOOKUP($F383,Settings!$E$8:$F$11,2,FALSE),0))</f>
        <v/>
      </c>
      <c r="T383" s="21">
        <f>IF($G383="",Settings!$B$16,1)</f>
        <v>1</v>
      </c>
      <c r="U383" s="21" t="str">
        <f t="shared" si="7"/>
        <v/>
      </c>
      <c r="V383" s="32" t="str">
        <f>IF($C383="","",IF($Q383&gt;Settings!$B$4,IF($G383="","|","")&amp;"OLD_7D","")&amp;IF($Q383&gt;Settings!$B$5,IF(OR($G383="", $Q383&gt;Settings!$B$4),"|","")&amp;"OLD_30D",""))</f>
        <v/>
      </c>
      <c r="W383" s="21" t="str">
        <f>IF(OR($C383="", $M383&lt;&gt;"APPROVED",$I383="", $U383=0),"",SUMIFS($U$3:$U$502,$H$3:$H$502,$H383,$M$3:$M$502,"APPROVED",$Q$3:$Q$502,"&lt;="&amp;Settings!$B$4,$I$3:$I$502,"&lt;="&amp;$I383))</f>
        <v/>
      </c>
      <c r="X383" s="21" t="str">
        <f>IF(OR($C383="", $M383&lt;&gt;"APPROVED",$I383="", $U383=0),"",SUMIFS($U$3:$U$502,$H$3:$H$502,$H383,$M$3:$M$502,"APPROVED",$Q$3:$Q$502,"&lt;="&amp;Settings!$B$5,$I$3:$I$502,"&lt;="&amp;$I383))</f>
        <v/>
      </c>
      <c r="Y383" s="21" t="str">
        <f>IF($P383="","",IFERROR(MATCH($P383,Lists!$H$2:$H$4,0),""))</f>
        <v/>
      </c>
      <c r="Z383" s="21" t="str">
        <f t="shared" si="8"/>
        <v/>
      </c>
    </row>
    <row r="384" spans="1:26" ht="15.75" customHeight="1" x14ac:dyDescent="0.3">
      <c r="A384" s="16" t="str">
        <f t="shared" si="9"/>
        <v/>
      </c>
      <c r="B384" s="28"/>
      <c r="C384" s="29"/>
      <c r="D384" s="16"/>
      <c r="E384" s="16"/>
      <c r="F384" s="16"/>
      <c r="G384" s="16"/>
      <c r="H384" s="16"/>
      <c r="I384" s="31"/>
      <c r="J384" s="15"/>
      <c r="K384" s="15"/>
      <c r="L384" s="15"/>
      <c r="M384" s="16"/>
      <c r="N384" s="17"/>
      <c r="O384" s="19" t="str">
        <f t="shared" si="5"/>
        <v/>
      </c>
      <c r="P384" s="17"/>
      <c r="Q384" s="17" t="str">
        <f t="shared" ca="1" si="6"/>
        <v/>
      </c>
      <c r="R384" s="21" t="str">
        <f ca="1">IF($Q384="","",IF($Q384&lt;=Settings!$B$8,Settings!$C$8,IF($Q384&lt;=Settings!$B$9,Settings!$C$9,IF($Q384&lt;=Settings!$B$10,Settings!$C$10,IF($Q384&lt;=Settings!$B$11,Settings!$C$11,Settings!$C$12)))))</f>
        <v/>
      </c>
      <c r="S384" s="21" t="str">
        <f>IF($F384="","",IFERROR(VLOOKUP($F384,Settings!$E$8:$F$11,2,FALSE),0))</f>
        <v/>
      </c>
      <c r="T384" s="21">
        <f>IF($G384="",Settings!$B$16,1)</f>
        <v>1</v>
      </c>
      <c r="U384" s="21" t="str">
        <f t="shared" si="7"/>
        <v/>
      </c>
      <c r="V384" s="32" t="str">
        <f>IF($C384="","",IF($Q384&gt;Settings!$B$4,IF($G384="","|","")&amp;"OLD_7D","")&amp;IF($Q384&gt;Settings!$B$5,IF(OR($G384="", $Q384&gt;Settings!$B$4),"|","")&amp;"OLD_30D",""))</f>
        <v/>
      </c>
      <c r="W384" s="21" t="str">
        <f>IF(OR($C384="", $M384&lt;&gt;"APPROVED",$I384="", $U384=0),"",SUMIFS($U$3:$U$502,$H$3:$H$502,$H384,$M$3:$M$502,"APPROVED",$Q$3:$Q$502,"&lt;="&amp;Settings!$B$4,$I$3:$I$502,"&lt;="&amp;$I384))</f>
        <v/>
      </c>
      <c r="X384" s="21" t="str">
        <f>IF(OR($C384="", $M384&lt;&gt;"APPROVED",$I384="", $U384=0),"",SUMIFS($U$3:$U$502,$H$3:$H$502,$H384,$M$3:$M$502,"APPROVED",$Q$3:$Q$502,"&lt;="&amp;Settings!$B$5,$I$3:$I$502,"&lt;="&amp;$I384))</f>
        <v/>
      </c>
      <c r="Y384" s="21" t="str">
        <f>IF($P384="","",IFERROR(MATCH($P384,Lists!$H$2:$H$4,0),""))</f>
        <v/>
      </c>
      <c r="Z384" s="21" t="str">
        <f t="shared" si="8"/>
        <v/>
      </c>
    </row>
    <row r="385" spans="1:26" ht="15.75" customHeight="1" x14ac:dyDescent="0.3">
      <c r="A385" s="16" t="str">
        <f t="shared" si="9"/>
        <v/>
      </c>
      <c r="B385" s="28"/>
      <c r="C385" s="29"/>
      <c r="D385" s="16"/>
      <c r="E385" s="16"/>
      <c r="F385" s="16"/>
      <c r="G385" s="16"/>
      <c r="H385" s="16"/>
      <c r="I385" s="31"/>
      <c r="J385" s="15"/>
      <c r="K385" s="15"/>
      <c r="L385" s="15"/>
      <c r="M385" s="16"/>
      <c r="N385" s="17"/>
      <c r="O385" s="19" t="str">
        <f t="shared" si="5"/>
        <v/>
      </c>
      <c r="P385" s="17"/>
      <c r="Q385" s="17" t="str">
        <f t="shared" ca="1" si="6"/>
        <v/>
      </c>
      <c r="R385" s="21" t="str">
        <f ca="1">IF($Q385="","",IF($Q385&lt;=Settings!$B$8,Settings!$C$8,IF($Q385&lt;=Settings!$B$9,Settings!$C$9,IF($Q385&lt;=Settings!$B$10,Settings!$C$10,IF($Q385&lt;=Settings!$B$11,Settings!$C$11,Settings!$C$12)))))</f>
        <v/>
      </c>
      <c r="S385" s="21" t="str">
        <f>IF($F385="","",IFERROR(VLOOKUP($F385,Settings!$E$8:$F$11,2,FALSE),0))</f>
        <v/>
      </c>
      <c r="T385" s="21">
        <f>IF($G385="",Settings!$B$16,1)</f>
        <v>1</v>
      </c>
      <c r="U385" s="21" t="str">
        <f t="shared" si="7"/>
        <v/>
      </c>
      <c r="V385" s="32" t="str">
        <f>IF($C385="","",IF($Q385&gt;Settings!$B$4,IF($G385="","|","")&amp;"OLD_7D","")&amp;IF($Q385&gt;Settings!$B$5,IF(OR($G385="", $Q385&gt;Settings!$B$4),"|","")&amp;"OLD_30D",""))</f>
        <v/>
      </c>
      <c r="W385" s="21" t="str">
        <f>IF(OR($C385="", $M385&lt;&gt;"APPROVED",$I385="", $U385=0),"",SUMIFS($U$3:$U$502,$H$3:$H$502,$H385,$M$3:$M$502,"APPROVED",$Q$3:$Q$502,"&lt;="&amp;Settings!$B$4,$I$3:$I$502,"&lt;="&amp;$I385))</f>
        <v/>
      </c>
      <c r="X385" s="21" t="str">
        <f>IF(OR($C385="", $M385&lt;&gt;"APPROVED",$I385="", $U385=0),"",SUMIFS($U$3:$U$502,$H$3:$H$502,$H385,$M$3:$M$502,"APPROVED",$Q$3:$Q$502,"&lt;="&amp;Settings!$B$5,$I$3:$I$502,"&lt;="&amp;$I385))</f>
        <v/>
      </c>
      <c r="Y385" s="21" t="str">
        <f>IF($P385="","",IFERROR(MATCH($P385,Lists!$H$2:$H$4,0),""))</f>
        <v/>
      </c>
      <c r="Z385" s="21" t="str">
        <f t="shared" si="8"/>
        <v/>
      </c>
    </row>
    <row r="386" spans="1:26" ht="15.75" customHeight="1" x14ac:dyDescent="0.3">
      <c r="A386" s="16" t="str">
        <f t="shared" si="9"/>
        <v/>
      </c>
      <c r="B386" s="28"/>
      <c r="C386" s="29"/>
      <c r="D386" s="16"/>
      <c r="E386" s="16"/>
      <c r="F386" s="16"/>
      <c r="G386" s="16"/>
      <c r="H386" s="16"/>
      <c r="I386" s="31"/>
      <c r="J386" s="15"/>
      <c r="K386" s="15"/>
      <c r="L386" s="15"/>
      <c r="M386" s="16"/>
      <c r="N386" s="17"/>
      <c r="O386" s="19" t="str">
        <f t="shared" si="5"/>
        <v/>
      </c>
      <c r="P386" s="17"/>
      <c r="Q386" s="17" t="str">
        <f t="shared" ca="1" si="6"/>
        <v/>
      </c>
      <c r="R386" s="21" t="str">
        <f ca="1">IF($Q386="","",IF($Q386&lt;=Settings!$B$8,Settings!$C$8,IF($Q386&lt;=Settings!$B$9,Settings!$C$9,IF($Q386&lt;=Settings!$B$10,Settings!$C$10,IF($Q386&lt;=Settings!$B$11,Settings!$C$11,Settings!$C$12)))))</f>
        <v/>
      </c>
      <c r="S386" s="21" t="str">
        <f>IF($F386="","",IFERROR(VLOOKUP($F386,Settings!$E$8:$F$11,2,FALSE),0))</f>
        <v/>
      </c>
      <c r="T386" s="21">
        <f>IF($G386="",Settings!$B$16,1)</f>
        <v>1</v>
      </c>
      <c r="U386" s="21" t="str">
        <f t="shared" si="7"/>
        <v/>
      </c>
      <c r="V386" s="32" t="str">
        <f>IF($C386="","",IF($Q386&gt;Settings!$B$4,IF($G386="","|","")&amp;"OLD_7D","")&amp;IF($Q386&gt;Settings!$B$5,IF(OR($G386="", $Q386&gt;Settings!$B$4),"|","")&amp;"OLD_30D",""))</f>
        <v/>
      </c>
      <c r="W386" s="21" t="str">
        <f>IF(OR($C386="", $M386&lt;&gt;"APPROVED",$I386="", $U386=0),"",SUMIFS($U$3:$U$502,$H$3:$H$502,$H386,$M$3:$M$502,"APPROVED",$Q$3:$Q$502,"&lt;="&amp;Settings!$B$4,$I$3:$I$502,"&lt;="&amp;$I386))</f>
        <v/>
      </c>
      <c r="X386" s="21" t="str">
        <f>IF(OR($C386="", $M386&lt;&gt;"APPROVED",$I386="", $U386=0),"",SUMIFS($U$3:$U$502,$H$3:$H$502,$H386,$M$3:$M$502,"APPROVED",$Q$3:$Q$502,"&lt;="&amp;Settings!$B$5,$I$3:$I$502,"&lt;="&amp;$I386))</f>
        <v/>
      </c>
      <c r="Y386" s="21" t="str">
        <f>IF($P386="","",IFERROR(MATCH($P386,Lists!$H$2:$H$4,0),""))</f>
        <v/>
      </c>
      <c r="Z386" s="21" t="str">
        <f t="shared" si="8"/>
        <v/>
      </c>
    </row>
    <row r="387" spans="1:26" ht="15.75" customHeight="1" x14ac:dyDescent="0.3">
      <c r="A387" s="16" t="str">
        <f t="shared" si="9"/>
        <v/>
      </c>
      <c r="B387" s="28"/>
      <c r="C387" s="29"/>
      <c r="D387" s="16"/>
      <c r="E387" s="16"/>
      <c r="F387" s="16"/>
      <c r="G387" s="16"/>
      <c r="H387" s="16"/>
      <c r="I387" s="31"/>
      <c r="J387" s="15"/>
      <c r="K387" s="15"/>
      <c r="L387" s="15"/>
      <c r="M387" s="16"/>
      <c r="N387" s="17"/>
      <c r="O387" s="19" t="str">
        <f t="shared" si="5"/>
        <v/>
      </c>
      <c r="P387" s="17"/>
      <c r="Q387" s="17" t="str">
        <f t="shared" ca="1" si="6"/>
        <v/>
      </c>
      <c r="R387" s="21" t="str">
        <f ca="1">IF($Q387="","",IF($Q387&lt;=Settings!$B$8,Settings!$C$8,IF($Q387&lt;=Settings!$B$9,Settings!$C$9,IF($Q387&lt;=Settings!$B$10,Settings!$C$10,IF($Q387&lt;=Settings!$B$11,Settings!$C$11,Settings!$C$12)))))</f>
        <v/>
      </c>
      <c r="S387" s="21" t="str">
        <f>IF($F387="","",IFERROR(VLOOKUP($F387,Settings!$E$8:$F$11,2,FALSE),0))</f>
        <v/>
      </c>
      <c r="T387" s="21">
        <f>IF($G387="",Settings!$B$16,1)</f>
        <v>1</v>
      </c>
      <c r="U387" s="21" t="str">
        <f t="shared" si="7"/>
        <v/>
      </c>
      <c r="V387" s="32" t="str">
        <f>IF($C387="","",IF($Q387&gt;Settings!$B$4,IF($G387="","|","")&amp;"OLD_7D","")&amp;IF($Q387&gt;Settings!$B$5,IF(OR($G387="", $Q387&gt;Settings!$B$4),"|","")&amp;"OLD_30D",""))</f>
        <v/>
      </c>
      <c r="W387" s="21" t="str">
        <f>IF(OR($C387="", $M387&lt;&gt;"APPROVED",$I387="", $U387=0),"",SUMIFS($U$3:$U$502,$H$3:$H$502,$H387,$M$3:$M$502,"APPROVED",$Q$3:$Q$502,"&lt;="&amp;Settings!$B$4,$I$3:$I$502,"&lt;="&amp;$I387))</f>
        <v/>
      </c>
      <c r="X387" s="21" t="str">
        <f>IF(OR($C387="", $M387&lt;&gt;"APPROVED",$I387="", $U387=0),"",SUMIFS($U$3:$U$502,$H$3:$H$502,$H387,$M$3:$M$502,"APPROVED",$Q$3:$Q$502,"&lt;="&amp;Settings!$B$5,$I$3:$I$502,"&lt;="&amp;$I387))</f>
        <v/>
      </c>
      <c r="Y387" s="21" t="str">
        <f>IF($P387="","",IFERROR(MATCH($P387,Lists!$H$2:$H$4,0),""))</f>
        <v/>
      </c>
      <c r="Z387" s="21" t="str">
        <f t="shared" si="8"/>
        <v/>
      </c>
    </row>
    <row r="388" spans="1:26" ht="15.75" customHeight="1" x14ac:dyDescent="0.3">
      <c r="A388" s="16" t="str">
        <f t="shared" si="9"/>
        <v/>
      </c>
      <c r="B388" s="28"/>
      <c r="C388" s="29"/>
      <c r="D388" s="16"/>
      <c r="E388" s="16"/>
      <c r="F388" s="16"/>
      <c r="G388" s="16"/>
      <c r="H388" s="16"/>
      <c r="I388" s="31"/>
      <c r="J388" s="15"/>
      <c r="K388" s="15"/>
      <c r="L388" s="15"/>
      <c r="M388" s="16"/>
      <c r="N388" s="17"/>
      <c r="O388" s="19" t="str">
        <f t="shared" si="5"/>
        <v/>
      </c>
      <c r="P388" s="17"/>
      <c r="Q388" s="17" t="str">
        <f t="shared" ca="1" si="6"/>
        <v/>
      </c>
      <c r="R388" s="21" t="str">
        <f ca="1">IF($Q388="","",IF($Q388&lt;=Settings!$B$8,Settings!$C$8,IF($Q388&lt;=Settings!$B$9,Settings!$C$9,IF($Q388&lt;=Settings!$B$10,Settings!$C$10,IF($Q388&lt;=Settings!$B$11,Settings!$C$11,Settings!$C$12)))))</f>
        <v/>
      </c>
      <c r="S388" s="21" t="str">
        <f>IF($F388="","",IFERROR(VLOOKUP($F388,Settings!$E$8:$F$11,2,FALSE),0))</f>
        <v/>
      </c>
      <c r="T388" s="21">
        <f>IF($G388="",Settings!$B$16,1)</f>
        <v>1</v>
      </c>
      <c r="U388" s="21" t="str">
        <f t="shared" si="7"/>
        <v/>
      </c>
      <c r="V388" s="32" t="str">
        <f>IF($C388="","",IF($Q388&gt;Settings!$B$4,IF($G388="","|","")&amp;"OLD_7D","")&amp;IF($Q388&gt;Settings!$B$5,IF(OR($G388="", $Q388&gt;Settings!$B$4),"|","")&amp;"OLD_30D",""))</f>
        <v/>
      </c>
      <c r="W388" s="21" t="str">
        <f>IF(OR($C388="", $M388&lt;&gt;"APPROVED",$I388="", $U388=0),"",SUMIFS($U$3:$U$502,$H$3:$H$502,$H388,$M$3:$M$502,"APPROVED",$Q$3:$Q$502,"&lt;="&amp;Settings!$B$4,$I$3:$I$502,"&lt;="&amp;$I388))</f>
        <v/>
      </c>
      <c r="X388" s="21" t="str">
        <f>IF(OR($C388="", $M388&lt;&gt;"APPROVED",$I388="", $U388=0),"",SUMIFS($U$3:$U$502,$H$3:$H$502,$H388,$M$3:$M$502,"APPROVED",$Q$3:$Q$502,"&lt;="&amp;Settings!$B$5,$I$3:$I$502,"&lt;="&amp;$I388))</f>
        <v/>
      </c>
      <c r="Y388" s="21" t="str">
        <f>IF($P388="","",IFERROR(MATCH($P388,Lists!$H$2:$H$4,0),""))</f>
        <v/>
      </c>
      <c r="Z388" s="21" t="str">
        <f t="shared" si="8"/>
        <v/>
      </c>
    </row>
    <row r="389" spans="1:26" ht="15.75" customHeight="1" x14ac:dyDescent="0.3">
      <c r="A389" s="16" t="str">
        <f t="shared" si="9"/>
        <v/>
      </c>
      <c r="B389" s="28"/>
      <c r="C389" s="29"/>
      <c r="D389" s="16"/>
      <c r="E389" s="16"/>
      <c r="F389" s="16"/>
      <c r="G389" s="16"/>
      <c r="H389" s="16"/>
      <c r="I389" s="31"/>
      <c r="J389" s="15"/>
      <c r="K389" s="15"/>
      <c r="L389" s="15"/>
      <c r="M389" s="16"/>
      <c r="N389" s="17"/>
      <c r="O389" s="19" t="str">
        <f t="shared" si="5"/>
        <v/>
      </c>
      <c r="P389" s="17"/>
      <c r="Q389" s="17" t="str">
        <f t="shared" ca="1" si="6"/>
        <v/>
      </c>
      <c r="R389" s="21" t="str">
        <f ca="1">IF($Q389="","",IF($Q389&lt;=Settings!$B$8,Settings!$C$8,IF($Q389&lt;=Settings!$B$9,Settings!$C$9,IF($Q389&lt;=Settings!$B$10,Settings!$C$10,IF($Q389&lt;=Settings!$B$11,Settings!$C$11,Settings!$C$12)))))</f>
        <v/>
      </c>
      <c r="S389" s="21" t="str">
        <f>IF($F389="","",IFERROR(VLOOKUP($F389,Settings!$E$8:$F$11,2,FALSE),0))</f>
        <v/>
      </c>
      <c r="T389" s="21">
        <f>IF($G389="",Settings!$B$16,1)</f>
        <v>1</v>
      </c>
      <c r="U389" s="21" t="str">
        <f t="shared" si="7"/>
        <v/>
      </c>
      <c r="V389" s="32" t="str">
        <f>IF($C389="","",IF($Q389&gt;Settings!$B$4,IF($G389="","|","")&amp;"OLD_7D","")&amp;IF($Q389&gt;Settings!$B$5,IF(OR($G389="", $Q389&gt;Settings!$B$4),"|","")&amp;"OLD_30D",""))</f>
        <v/>
      </c>
      <c r="W389" s="21" t="str">
        <f>IF(OR($C389="", $M389&lt;&gt;"APPROVED",$I389="", $U389=0),"",SUMIFS($U$3:$U$502,$H$3:$H$502,$H389,$M$3:$M$502,"APPROVED",$Q$3:$Q$502,"&lt;="&amp;Settings!$B$4,$I$3:$I$502,"&lt;="&amp;$I389))</f>
        <v/>
      </c>
      <c r="X389" s="21" t="str">
        <f>IF(OR($C389="", $M389&lt;&gt;"APPROVED",$I389="", $U389=0),"",SUMIFS($U$3:$U$502,$H$3:$H$502,$H389,$M$3:$M$502,"APPROVED",$Q$3:$Q$502,"&lt;="&amp;Settings!$B$5,$I$3:$I$502,"&lt;="&amp;$I389))</f>
        <v/>
      </c>
      <c r="Y389" s="21" t="str">
        <f>IF($P389="","",IFERROR(MATCH($P389,Lists!$H$2:$H$4,0),""))</f>
        <v/>
      </c>
      <c r="Z389" s="21" t="str">
        <f t="shared" si="8"/>
        <v/>
      </c>
    </row>
    <row r="390" spans="1:26" ht="15.75" customHeight="1" x14ac:dyDescent="0.3">
      <c r="A390" s="16" t="str">
        <f t="shared" si="9"/>
        <v/>
      </c>
      <c r="B390" s="28"/>
      <c r="C390" s="29"/>
      <c r="D390" s="16"/>
      <c r="E390" s="16"/>
      <c r="F390" s="16"/>
      <c r="G390" s="16"/>
      <c r="H390" s="16"/>
      <c r="I390" s="31"/>
      <c r="J390" s="15"/>
      <c r="K390" s="15"/>
      <c r="L390" s="15"/>
      <c r="M390" s="16"/>
      <c r="N390" s="17"/>
      <c r="O390" s="19" t="str">
        <f t="shared" si="5"/>
        <v/>
      </c>
      <c r="P390" s="17"/>
      <c r="Q390" s="17" t="str">
        <f t="shared" ca="1" si="6"/>
        <v/>
      </c>
      <c r="R390" s="21" t="str">
        <f ca="1">IF($Q390="","",IF($Q390&lt;=Settings!$B$8,Settings!$C$8,IF($Q390&lt;=Settings!$B$9,Settings!$C$9,IF($Q390&lt;=Settings!$B$10,Settings!$C$10,IF($Q390&lt;=Settings!$B$11,Settings!$C$11,Settings!$C$12)))))</f>
        <v/>
      </c>
      <c r="S390" s="21" t="str">
        <f>IF($F390="","",IFERROR(VLOOKUP($F390,Settings!$E$8:$F$11,2,FALSE),0))</f>
        <v/>
      </c>
      <c r="T390" s="21">
        <f>IF($G390="",Settings!$B$16,1)</f>
        <v>1</v>
      </c>
      <c r="U390" s="21" t="str">
        <f t="shared" si="7"/>
        <v/>
      </c>
      <c r="V390" s="32" t="str">
        <f>IF($C390="","",IF($Q390&gt;Settings!$B$4,IF($G390="","|","")&amp;"OLD_7D","")&amp;IF($Q390&gt;Settings!$B$5,IF(OR($G390="", $Q390&gt;Settings!$B$4),"|","")&amp;"OLD_30D",""))</f>
        <v/>
      </c>
      <c r="W390" s="21" t="str">
        <f>IF(OR($C390="", $M390&lt;&gt;"APPROVED",$I390="", $U390=0),"",SUMIFS($U$3:$U$502,$H$3:$H$502,$H390,$M$3:$M$502,"APPROVED",$Q$3:$Q$502,"&lt;="&amp;Settings!$B$4,$I$3:$I$502,"&lt;="&amp;$I390))</f>
        <v/>
      </c>
      <c r="X390" s="21" t="str">
        <f>IF(OR($C390="", $M390&lt;&gt;"APPROVED",$I390="", $U390=0),"",SUMIFS($U$3:$U$502,$H$3:$H$502,$H390,$M$3:$M$502,"APPROVED",$Q$3:$Q$502,"&lt;="&amp;Settings!$B$5,$I$3:$I$502,"&lt;="&amp;$I390))</f>
        <v/>
      </c>
      <c r="Y390" s="21" t="str">
        <f>IF($P390="","",IFERROR(MATCH($P390,Lists!$H$2:$H$4,0),""))</f>
        <v/>
      </c>
      <c r="Z390" s="21" t="str">
        <f t="shared" si="8"/>
        <v/>
      </c>
    </row>
    <row r="391" spans="1:26" ht="15.75" customHeight="1" x14ac:dyDescent="0.3">
      <c r="A391" s="16" t="str">
        <f t="shared" si="9"/>
        <v/>
      </c>
      <c r="B391" s="28"/>
      <c r="C391" s="29"/>
      <c r="D391" s="16"/>
      <c r="E391" s="16"/>
      <c r="F391" s="16"/>
      <c r="G391" s="16"/>
      <c r="H391" s="16"/>
      <c r="I391" s="31"/>
      <c r="J391" s="15"/>
      <c r="K391" s="15"/>
      <c r="L391" s="15"/>
      <c r="M391" s="16"/>
      <c r="N391" s="17"/>
      <c r="O391" s="19" t="str">
        <f t="shared" si="5"/>
        <v/>
      </c>
      <c r="P391" s="17"/>
      <c r="Q391" s="17" t="str">
        <f t="shared" ca="1" si="6"/>
        <v/>
      </c>
      <c r="R391" s="21" t="str">
        <f ca="1">IF($Q391="","",IF($Q391&lt;=Settings!$B$8,Settings!$C$8,IF($Q391&lt;=Settings!$B$9,Settings!$C$9,IF($Q391&lt;=Settings!$B$10,Settings!$C$10,IF($Q391&lt;=Settings!$B$11,Settings!$C$11,Settings!$C$12)))))</f>
        <v/>
      </c>
      <c r="S391" s="21" t="str">
        <f>IF($F391="","",IFERROR(VLOOKUP($F391,Settings!$E$8:$F$11,2,FALSE),0))</f>
        <v/>
      </c>
      <c r="T391" s="21">
        <f>IF($G391="",Settings!$B$16,1)</f>
        <v>1</v>
      </c>
      <c r="U391" s="21" t="str">
        <f t="shared" si="7"/>
        <v/>
      </c>
      <c r="V391" s="32" t="str">
        <f>IF($C391="","",IF($Q391&gt;Settings!$B$4,IF($G391="","|","")&amp;"OLD_7D","")&amp;IF($Q391&gt;Settings!$B$5,IF(OR($G391="", $Q391&gt;Settings!$B$4),"|","")&amp;"OLD_30D",""))</f>
        <v/>
      </c>
      <c r="W391" s="21" t="str">
        <f>IF(OR($C391="", $M391&lt;&gt;"APPROVED",$I391="", $U391=0),"",SUMIFS($U$3:$U$502,$H$3:$H$502,$H391,$M$3:$M$502,"APPROVED",$Q$3:$Q$502,"&lt;="&amp;Settings!$B$4,$I$3:$I$502,"&lt;="&amp;$I391))</f>
        <v/>
      </c>
      <c r="X391" s="21" t="str">
        <f>IF(OR($C391="", $M391&lt;&gt;"APPROVED",$I391="", $U391=0),"",SUMIFS($U$3:$U$502,$H$3:$H$502,$H391,$M$3:$M$502,"APPROVED",$Q$3:$Q$502,"&lt;="&amp;Settings!$B$5,$I$3:$I$502,"&lt;="&amp;$I391))</f>
        <v/>
      </c>
      <c r="Y391" s="21" t="str">
        <f>IF($P391="","",IFERROR(MATCH($P391,Lists!$H$2:$H$4,0),""))</f>
        <v/>
      </c>
      <c r="Z391" s="21" t="str">
        <f t="shared" si="8"/>
        <v/>
      </c>
    </row>
    <row r="392" spans="1:26" ht="15.75" customHeight="1" x14ac:dyDescent="0.3">
      <c r="A392" s="16" t="str">
        <f t="shared" si="9"/>
        <v/>
      </c>
      <c r="B392" s="28"/>
      <c r="C392" s="29"/>
      <c r="D392" s="16"/>
      <c r="E392" s="16"/>
      <c r="F392" s="16"/>
      <c r="G392" s="16"/>
      <c r="H392" s="16"/>
      <c r="I392" s="31"/>
      <c r="J392" s="15"/>
      <c r="K392" s="15"/>
      <c r="L392" s="15"/>
      <c r="M392" s="16"/>
      <c r="N392" s="17"/>
      <c r="O392" s="19" t="str">
        <f t="shared" si="5"/>
        <v/>
      </c>
      <c r="P392" s="17"/>
      <c r="Q392" s="17" t="str">
        <f t="shared" ca="1" si="6"/>
        <v/>
      </c>
      <c r="R392" s="21" t="str">
        <f ca="1">IF($Q392="","",IF($Q392&lt;=Settings!$B$8,Settings!$C$8,IF($Q392&lt;=Settings!$B$9,Settings!$C$9,IF($Q392&lt;=Settings!$B$10,Settings!$C$10,IF($Q392&lt;=Settings!$B$11,Settings!$C$11,Settings!$C$12)))))</f>
        <v/>
      </c>
      <c r="S392" s="21" t="str">
        <f>IF($F392="","",IFERROR(VLOOKUP($F392,Settings!$E$8:$F$11,2,FALSE),0))</f>
        <v/>
      </c>
      <c r="T392" s="21">
        <f>IF($G392="",Settings!$B$16,1)</f>
        <v>1</v>
      </c>
      <c r="U392" s="21" t="str">
        <f t="shared" si="7"/>
        <v/>
      </c>
      <c r="V392" s="32" t="str">
        <f>IF($C392="","",IF($Q392&gt;Settings!$B$4,IF($G392="","|","")&amp;"OLD_7D","")&amp;IF($Q392&gt;Settings!$B$5,IF(OR($G392="", $Q392&gt;Settings!$B$4),"|","")&amp;"OLD_30D",""))</f>
        <v/>
      </c>
      <c r="W392" s="21" t="str">
        <f>IF(OR($C392="", $M392&lt;&gt;"APPROVED",$I392="", $U392=0),"",SUMIFS($U$3:$U$502,$H$3:$H$502,$H392,$M$3:$M$502,"APPROVED",$Q$3:$Q$502,"&lt;="&amp;Settings!$B$4,$I$3:$I$502,"&lt;="&amp;$I392))</f>
        <v/>
      </c>
      <c r="X392" s="21" t="str">
        <f>IF(OR($C392="", $M392&lt;&gt;"APPROVED",$I392="", $U392=0),"",SUMIFS($U$3:$U$502,$H$3:$H$502,$H392,$M$3:$M$502,"APPROVED",$Q$3:$Q$502,"&lt;="&amp;Settings!$B$5,$I$3:$I$502,"&lt;="&amp;$I392))</f>
        <v/>
      </c>
      <c r="Y392" s="21" t="str">
        <f>IF($P392="","",IFERROR(MATCH($P392,Lists!$H$2:$H$4,0),""))</f>
        <v/>
      </c>
      <c r="Z392" s="21" t="str">
        <f t="shared" si="8"/>
        <v/>
      </c>
    </row>
    <row r="393" spans="1:26" ht="15.75" customHeight="1" x14ac:dyDescent="0.3">
      <c r="A393" s="16" t="str">
        <f t="shared" si="9"/>
        <v/>
      </c>
      <c r="B393" s="28"/>
      <c r="C393" s="29"/>
      <c r="D393" s="16"/>
      <c r="E393" s="16"/>
      <c r="F393" s="16"/>
      <c r="G393" s="16"/>
      <c r="H393" s="16"/>
      <c r="I393" s="31"/>
      <c r="J393" s="15"/>
      <c r="K393" s="15"/>
      <c r="L393" s="15"/>
      <c r="M393" s="16"/>
      <c r="N393" s="17"/>
      <c r="O393" s="19" t="str">
        <f t="shared" si="5"/>
        <v/>
      </c>
      <c r="P393" s="17"/>
      <c r="Q393" s="17" t="str">
        <f t="shared" ca="1" si="6"/>
        <v/>
      </c>
      <c r="R393" s="21" t="str">
        <f ca="1">IF($Q393="","",IF($Q393&lt;=Settings!$B$8,Settings!$C$8,IF($Q393&lt;=Settings!$B$9,Settings!$C$9,IF($Q393&lt;=Settings!$B$10,Settings!$C$10,IF($Q393&lt;=Settings!$B$11,Settings!$C$11,Settings!$C$12)))))</f>
        <v/>
      </c>
      <c r="S393" s="21" t="str">
        <f>IF($F393="","",IFERROR(VLOOKUP($F393,Settings!$E$8:$F$11,2,FALSE),0))</f>
        <v/>
      </c>
      <c r="T393" s="21">
        <f>IF($G393="",Settings!$B$16,1)</f>
        <v>1</v>
      </c>
      <c r="U393" s="21" t="str">
        <f t="shared" si="7"/>
        <v/>
      </c>
      <c r="V393" s="32" t="str">
        <f>IF($C393="","",IF($Q393&gt;Settings!$B$4,IF($G393="","|","")&amp;"OLD_7D","")&amp;IF($Q393&gt;Settings!$B$5,IF(OR($G393="", $Q393&gt;Settings!$B$4),"|","")&amp;"OLD_30D",""))</f>
        <v/>
      </c>
      <c r="W393" s="21" t="str">
        <f>IF(OR($C393="", $M393&lt;&gt;"APPROVED",$I393="", $U393=0),"",SUMIFS($U$3:$U$502,$H$3:$H$502,$H393,$M$3:$M$502,"APPROVED",$Q$3:$Q$502,"&lt;="&amp;Settings!$B$4,$I$3:$I$502,"&lt;="&amp;$I393))</f>
        <v/>
      </c>
      <c r="X393" s="21" t="str">
        <f>IF(OR($C393="", $M393&lt;&gt;"APPROVED",$I393="", $U393=0),"",SUMIFS($U$3:$U$502,$H$3:$H$502,$H393,$M$3:$M$502,"APPROVED",$Q$3:$Q$502,"&lt;="&amp;Settings!$B$5,$I$3:$I$502,"&lt;="&amp;$I393))</f>
        <v/>
      </c>
      <c r="Y393" s="21" t="str">
        <f>IF($P393="","",IFERROR(MATCH($P393,Lists!$H$2:$H$4,0),""))</f>
        <v/>
      </c>
      <c r="Z393" s="21" t="str">
        <f t="shared" si="8"/>
        <v/>
      </c>
    </row>
    <row r="394" spans="1:26" ht="15.75" customHeight="1" x14ac:dyDescent="0.3">
      <c r="A394" s="16" t="str">
        <f t="shared" si="9"/>
        <v/>
      </c>
      <c r="B394" s="28"/>
      <c r="C394" s="29"/>
      <c r="D394" s="16"/>
      <c r="E394" s="16"/>
      <c r="F394" s="16"/>
      <c r="G394" s="16"/>
      <c r="H394" s="16"/>
      <c r="I394" s="31"/>
      <c r="J394" s="15"/>
      <c r="K394" s="15"/>
      <c r="L394" s="15"/>
      <c r="M394" s="16"/>
      <c r="N394" s="17"/>
      <c r="O394" s="19" t="str">
        <f t="shared" si="5"/>
        <v/>
      </c>
      <c r="P394" s="17"/>
      <c r="Q394" s="17" t="str">
        <f t="shared" ca="1" si="6"/>
        <v/>
      </c>
      <c r="R394" s="21" t="str">
        <f ca="1">IF($Q394="","",IF($Q394&lt;=Settings!$B$8,Settings!$C$8,IF($Q394&lt;=Settings!$B$9,Settings!$C$9,IF($Q394&lt;=Settings!$B$10,Settings!$C$10,IF($Q394&lt;=Settings!$B$11,Settings!$C$11,Settings!$C$12)))))</f>
        <v/>
      </c>
      <c r="S394" s="21" t="str">
        <f>IF($F394="","",IFERROR(VLOOKUP($F394,Settings!$E$8:$F$11,2,FALSE),0))</f>
        <v/>
      </c>
      <c r="T394" s="21">
        <f>IF($G394="",Settings!$B$16,1)</f>
        <v>1</v>
      </c>
      <c r="U394" s="21" t="str">
        <f t="shared" si="7"/>
        <v/>
      </c>
      <c r="V394" s="32" t="str">
        <f>IF($C394="","",IF($Q394&gt;Settings!$B$4,IF($G394="","|","")&amp;"OLD_7D","")&amp;IF($Q394&gt;Settings!$B$5,IF(OR($G394="", $Q394&gt;Settings!$B$4),"|","")&amp;"OLD_30D",""))</f>
        <v/>
      </c>
      <c r="W394" s="21" t="str">
        <f>IF(OR($C394="", $M394&lt;&gt;"APPROVED",$I394="", $U394=0),"",SUMIFS($U$3:$U$502,$H$3:$H$502,$H394,$M$3:$M$502,"APPROVED",$Q$3:$Q$502,"&lt;="&amp;Settings!$B$4,$I$3:$I$502,"&lt;="&amp;$I394))</f>
        <v/>
      </c>
      <c r="X394" s="21" t="str">
        <f>IF(OR($C394="", $M394&lt;&gt;"APPROVED",$I394="", $U394=0),"",SUMIFS($U$3:$U$502,$H$3:$H$502,$H394,$M$3:$M$502,"APPROVED",$Q$3:$Q$502,"&lt;="&amp;Settings!$B$5,$I$3:$I$502,"&lt;="&amp;$I394))</f>
        <v/>
      </c>
      <c r="Y394" s="21" t="str">
        <f>IF($P394="","",IFERROR(MATCH($P394,Lists!$H$2:$H$4,0),""))</f>
        <v/>
      </c>
      <c r="Z394" s="21" t="str">
        <f t="shared" si="8"/>
        <v/>
      </c>
    </row>
    <row r="395" spans="1:26" ht="15.75" customHeight="1" x14ac:dyDescent="0.3">
      <c r="A395" s="16" t="str">
        <f t="shared" si="9"/>
        <v/>
      </c>
      <c r="B395" s="28"/>
      <c r="C395" s="29"/>
      <c r="D395" s="16"/>
      <c r="E395" s="16"/>
      <c r="F395" s="16"/>
      <c r="G395" s="16"/>
      <c r="H395" s="16"/>
      <c r="I395" s="31"/>
      <c r="J395" s="15"/>
      <c r="K395" s="15"/>
      <c r="L395" s="15"/>
      <c r="M395" s="16"/>
      <c r="N395" s="17"/>
      <c r="O395" s="19" t="str">
        <f t="shared" si="5"/>
        <v/>
      </c>
      <c r="P395" s="17"/>
      <c r="Q395" s="17" t="str">
        <f t="shared" ca="1" si="6"/>
        <v/>
      </c>
      <c r="R395" s="21" t="str">
        <f ca="1">IF($Q395="","",IF($Q395&lt;=Settings!$B$8,Settings!$C$8,IF($Q395&lt;=Settings!$B$9,Settings!$C$9,IF($Q395&lt;=Settings!$B$10,Settings!$C$10,IF($Q395&lt;=Settings!$B$11,Settings!$C$11,Settings!$C$12)))))</f>
        <v/>
      </c>
      <c r="S395" s="21" t="str">
        <f>IF($F395="","",IFERROR(VLOOKUP($F395,Settings!$E$8:$F$11,2,FALSE),0))</f>
        <v/>
      </c>
      <c r="T395" s="21">
        <f>IF($G395="",Settings!$B$16,1)</f>
        <v>1</v>
      </c>
      <c r="U395" s="21" t="str">
        <f t="shared" si="7"/>
        <v/>
      </c>
      <c r="V395" s="32" t="str">
        <f>IF($C395="","",IF($Q395&gt;Settings!$B$4,IF($G395="","|","")&amp;"OLD_7D","")&amp;IF($Q395&gt;Settings!$B$5,IF(OR($G395="", $Q395&gt;Settings!$B$4),"|","")&amp;"OLD_30D",""))</f>
        <v/>
      </c>
      <c r="W395" s="21" t="str">
        <f>IF(OR($C395="", $M395&lt;&gt;"APPROVED",$I395="", $U395=0),"",SUMIFS($U$3:$U$502,$H$3:$H$502,$H395,$M$3:$M$502,"APPROVED",$Q$3:$Q$502,"&lt;="&amp;Settings!$B$4,$I$3:$I$502,"&lt;="&amp;$I395))</f>
        <v/>
      </c>
      <c r="X395" s="21" t="str">
        <f>IF(OR($C395="", $M395&lt;&gt;"APPROVED",$I395="", $U395=0),"",SUMIFS($U$3:$U$502,$H$3:$H$502,$H395,$M$3:$M$502,"APPROVED",$Q$3:$Q$502,"&lt;="&amp;Settings!$B$5,$I$3:$I$502,"&lt;="&amp;$I395))</f>
        <v/>
      </c>
      <c r="Y395" s="21" t="str">
        <f>IF($P395="","",IFERROR(MATCH($P395,Lists!$H$2:$H$4,0),""))</f>
        <v/>
      </c>
      <c r="Z395" s="21" t="str">
        <f t="shared" si="8"/>
        <v/>
      </c>
    </row>
    <row r="396" spans="1:26" ht="15.75" customHeight="1" x14ac:dyDescent="0.3">
      <c r="A396" s="16" t="str">
        <f t="shared" si="9"/>
        <v/>
      </c>
      <c r="B396" s="28"/>
      <c r="C396" s="29"/>
      <c r="D396" s="16"/>
      <c r="E396" s="16"/>
      <c r="F396" s="16"/>
      <c r="G396" s="16"/>
      <c r="H396" s="16"/>
      <c r="I396" s="31"/>
      <c r="J396" s="15"/>
      <c r="K396" s="15"/>
      <c r="L396" s="15"/>
      <c r="M396" s="16"/>
      <c r="N396" s="17"/>
      <c r="O396" s="19" t="str">
        <f t="shared" si="5"/>
        <v/>
      </c>
      <c r="P396" s="17"/>
      <c r="Q396" s="17" t="str">
        <f t="shared" ca="1" si="6"/>
        <v/>
      </c>
      <c r="R396" s="21" t="str">
        <f ca="1">IF($Q396="","",IF($Q396&lt;=Settings!$B$8,Settings!$C$8,IF($Q396&lt;=Settings!$B$9,Settings!$C$9,IF($Q396&lt;=Settings!$B$10,Settings!$C$10,IF($Q396&lt;=Settings!$B$11,Settings!$C$11,Settings!$C$12)))))</f>
        <v/>
      </c>
      <c r="S396" s="21" t="str">
        <f>IF($F396="","",IFERROR(VLOOKUP($F396,Settings!$E$8:$F$11,2,FALSE),0))</f>
        <v/>
      </c>
      <c r="T396" s="21">
        <f>IF($G396="",Settings!$B$16,1)</f>
        <v>1</v>
      </c>
      <c r="U396" s="21" t="str">
        <f t="shared" si="7"/>
        <v/>
      </c>
      <c r="V396" s="32" t="str">
        <f>IF($C396="","",IF($Q396&gt;Settings!$B$4,IF($G396="","|","")&amp;"OLD_7D","")&amp;IF($Q396&gt;Settings!$B$5,IF(OR($G396="", $Q396&gt;Settings!$B$4),"|","")&amp;"OLD_30D",""))</f>
        <v/>
      </c>
      <c r="W396" s="21" t="str">
        <f>IF(OR($C396="", $M396&lt;&gt;"APPROVED",$I396="", $U396=0),"",SUMIFS($U$3:$U$502,$H$3:$H$502,$H396,$M$3:$M$502,"APPROVED",$Q$3:$Q$502,"&lt;="&amp;Settings!$B$4,$I$3:$I$502,"&lt;="&amp;$I396))</f>
        <v/>
      </c>
      <c r="X396" s="21" t="str">
        <f>IF(OR($C396="", $M396&lt;&gt;"APPROVED",$I396="", $U396=0),"",SUMIFS($U$3:$U$502,$H$3:$H$502,$H396,$M$3:$M$502,"APPROVED",$Q$3:$Q$502,"&lt;="&amp;Settings!$B$5,$I$3:$I$502,"&lt;="&amp;$I396))</f>
        <v/>
      </c>
      <c r="Y396" s="21" t="str">
        <f>IF($P396="","",IFERROR(MATCH($P396,Lists!$H$2:$H$4,0),""))</f>
        <v/>
      </c>
      <c r="Z396" s="21" t="str">
        <f t="shared" si="8"/>
        <v/>
      </c>
    </row>
    <row r="397" spans="1:26" ht="15.75" customHeight="1" x14ac:dyDescent="0.3">
      <c r="A397" s="16" t="str">
        <f t="shared" si="9"/>
        <v/>
      </c>
      <c r="B397" s="28"/>
      <c r="C397" s="29"/>
      <c r="D397" s="16"/>
      <c r="E397" s="16"/>
      <c r="F397" s="16"/>
      <c r="G397" s="16"/>
      <c r="H397" s="16"/>
      <c r="I397" s="31"/>
      <c r="J397" s="15"/>
      <c r="K397" s="15"/>
      <c r="L397" s="15"/>
      <c r="M397" s="16"/>
      <c r="N397" s="17"/>
      <c r="O397" s="19" t="str">
        <f t="shared" si="5"/>
        <v/>
      </c>
      <c r="P397" s="17"/>
      <c r="Q397" s="17" t="str">
        <f t="shared" ca="1" si="6"/>
        <v/>
      </c>
      <c r="R397" s="21" t="str">
        <f ca="1">IF($Q397="","",IF($Q397&lt;=Settings!$B$8,Settings!$C$8,IF($Q397&lt;=Settings!$B$9,Settings!$C$9,IF($Q397&lt;=Settings!$B$10,Settings!$C$10,IF($Q397&lt;=Settings!$B$11,Settings!$C$11,Settings!$C$12)))))</f>
        <v/>
      </c>
      <c r="S397" s="21" t="str">
        <f>IF($F397="","",IFERROR(VLOOKUP($F397,Settings!$E$8:$F$11,2,FALSE),0))</f>
        <v/>
      </c>
      <c r="T397" s="21">
        <f>IF($G397="",Settings!$B$16,1)</f>
        <v>1</v>
      </c>
      <c r="U397" s="21" t="str">
        <f t="shared" si="7"/>
        <v/>
      </c>
      <c r="V397" s="32" t="str">
        <f>IF($C397="","",IF($Q397&gt;Settings!$B$4,IF($G397="","|","")&amp;"OLD_7D","")&amp;IF($Q397&gt;Settings!$B$5,IF(OR($G397="", $Q397&gt;Settings!$B$4),"|","")&amp;"OLD_30D",""))</f>
        <v/>
      </c>
      <c r="W397" s="21" t="str">
        <f>IF(OR($C397="", $M397&lt;&gt;"APPROVED",$I397="", $U397=0),"",SUMIFS($U$3:$U$502,$H$3:$H$502,$H397,$M$3:$M$502,"APPROVED",$Q$3:$Q$502,"&lt;="&amp;Settings!$B$4,$I$3:$I$502,"&lt;="&amp;$I397))</f>
        <v/>
      </c>
      <c r="X397" s="21" t="str">
        <f>IF(OR($C397="", $M397&lt;&gt;"APPROVED",$I397="", $U397=0),"",SUMIFS($U$3:$U$502,$H$3:$H$502,$H397,$M$3:$M$502,"APPROVED",$Q$3:$Q$502,"&lt;="&amp;Settings!$B$5,$I$3:$I$502,"&lt;="&amp;$I397))</f>
        <v/>
      </c>
      <c r="Y397" s="21" t="str">
        <f>IF($P397="","",IFERROR(MATCH($P397,Lists!$H$2:$H$4,0),""))</f>
        <v/>
      </c>
      <c r="Z397" s="21" t="str">
        <f t="shared" si="8"/>
        <v/>
      </c>
    </row>
    <row r="398" spans="1:26" ht="15.75" customHeight="1" x14ac:dyDescent="0.3">
      <c r="A398" s="16" t="str">
        <f t="shared" si="9"/>
        <v/>
      </c>
      <c r="B398" s="28"/>
      <c r="C398" s="29"/>
      <c r="D398" s="16"/>
      <c r="E398" s="16"/>
      <c r="F398" s="16"/>
      <c r="G398" s="16"/>
      <c r="H398" s="16"/>
      <c r="I398" s="31"/>
      <c r="J398" s="15"/>
      <c r="K398" s="15"/>
      <c r="L398" s="15"/>
      <c r="M398" s="16"/>
      <c r="N398" s="17"/>
      <c r="O398" s="19" t="str">
        <f t="shared" si="5"/>
        <v/>
      </c>
      <c r="P398" s="17"/>
      <c r="Q398" s="17" t="str">
        <f t="shared" ca="1" si="6"/>
        <v/>
      </c>
      <c r="R398" s="21" t="str">
        <f ca="1">IF($Q398="","",IF($Q398&lt;=Settings!$B$8,Settings!$C$8,IF($Q398&lt;=Settings!$B$9,Settings!$C$9,IF($Q398&lt;=Settings!$B$10,Settings!$C$10,IF($Q398&lt;=Settings!$B$11,Settings!$C$11,Settings!$C$12)))))</f>
        <v/>
      </c>
      <c r="S398" s="21" t="str">
        <f>IF($F398="","",IFERROR(VLOOKUP($F398,Settings!$E$8:$F$11,2,FALSE),0))</f>
        <v/>
      </c>
      <c r="T398" s="21">
        <f>IF($G398="",Settings!$B$16,1)</f>
        <v>1</v>
      </c>
      <c r="U398" s="21" t="str">
        <f t="shared" si="7"/>
        <v/>
      </c>
      <c r="V398" s="32" t="str">
        <f>IF($C398="","",IF($Q398&gt;Settings!$B$4,IF($G398="","|","")&amp;"OLD_7D","")&amp;IF($Q398&gt;Settings!$B$5,IF(OR($G398="", $Q398&gt;Settings!$B$4),"|","")&amp;"OLD_30D",""))</f>
        <v/>
      </c>
      <c r="W398" s="21" t="str">
        <f>IF(OR($C398="", $M398&lt;&gt;"APPROVED",$I398="", $U398=0),"",SUMIFS($U$3:$U$502,$H$3:$H$502,$H398,$M$3:$M$502,"APPROVED",$Q$3:$Q$502,"&lt;="&amp;Settings!$B$4,$I$3:$I$502,"&lt;="&amp;$I398))</f>
        <v/>
      </c>
      <c r="X398" s="21" t="str">
        <f>IF(OR($C398="", $M398&lt;&gt;"APPROVED",$I398="", $U398=0),"",SUMIFS($U$3:$U$502,$H$3:$H$502,$H398,$M$3:$M$502,"APPROVED",$Q$3:$Q$502,"&lt;="&amp;Settings!$B$5,$I$3:$I$502,"&lt;="&amp;$I398))</f>
        <v/>
      </c>
      <c r="Y398" s="21" t="str">
        <f>IF($P398="","",IFERROR(MATCH($P398,Lists!$H$2:$H$4,0),""))</f>
        <v/>
      </c>
      <c r="Z398" s="21" t="str">
        <f t="shared" si="8"/>
        <v/>
      </c>
    </row>
    <row r="399" spans="1:26" ht="15.75" customHeight="1" x14ac:dyDescent="0.3">
      <c r="A399" s="16" t="str">
        <f t="shared" si="9"/>
        <v/>
      </c>
      <c r="B399" s="28"/>
      <c r="C399" s="29"/>
      <c r="D399" s="16"/>
      <c r="E399" s="16"/>
      <c r="F399" s="16"/>
      <c r="G399" s="16"/>
      <c r="H399" s="16"/>
      <c r="I399" s="31"/>
      <c r="J399" s="15"/>
      <c r="K399" s="15"/>
      <c r="L399" s="15"/>
      <c r="M399" s="16"/>
      <c r="N399" s="17"/>
      <c r="O399" s="19" t="str">
        <f t="shared" si="5"/>
        <v/>
      </c>
      <c r="P399" s="17"/>
      <c r="Q399" s="17" t="str">
        <f t="shared" ca="1" si="6"/>
        <v/>
      </c>
      <c r="R399" s="21" t="str">
        <f ca="1">IF($Q399="","",IF($Q399&lt;=Settings!$B$8,Settings!$C$8,IF($Q399&lt;=Settings!$B$9,Settings!$C$9,IF($Q399&lt;=Settings!$B$10,Settings!$C$10,IF($Q399&lt;=Settings!$B$11,Settings!$C$11,Settings!$C$12)))))</f>
        <v/>
      </c>
      <c r="S399" s="21" t="str">
        <f>IF($F399="","",IFERROR(VLOOKUP($F399,Settings!$E$8:$F$11,2,FALSE),0))</f>
        <v/>
      </c>
      <c r="T399" s="21">
        <f>IF($G399="",Settings!$B$16,1)</f>
        <v>1</v>
      </c>
      <c r="U399" s="21" t="str">
        <f t="shared" si="7"/>
        <v/>
      </c>
      <c r="V399" s="32" t="str">
        <f>IF($C399="","",IF($Q399&gt;Settings!$B$4,IF($G399="","|","")&amp;"OLD_7D","")&amp;IF($Q399&gt;Settings!$B$5,IF(OR($G399="", $Q399&gt;Settings!$B$4),"|","")&amp;"OLD_30D",""))</f>
        <v/>
      </c>
      <c r="W399" s="21" t="str">
        <f>IF(OR($C399="", $M399&lt;&gt;"APPROVED",$I399="", $U399=0),"",SUMIFS($U$3:$U$502,$H$3:$H$502,$H399,$M$3:$M$502,"APPROVED",$Q$3:$Q$502,"&lt;="&amp;Settings!$B$4,$I$3:$I$502,"&lt;="&amp;$I399))</f>
        <v/>
      </c>
      <c r="X399" s="21" t="str">
        <f>IF(OR($C399="", $M399&lt;&gt;"APPROVED",$I399="", $U399=0),"",SUMIFS($U$3:$U$502,$H$3:$H$502,$H399,$M$3:$M$502,"APPROVED",$Q$3:$Q$502,"&lt;="&amp;Settings!$B$5,$I$3:$I$502,"&lt;="&amp;$I399))</f>
        <v/>
      </c>
      <c r="Y399" s="21" t="str">
        <f>IF($P399="","",IFERROR(MATCH($P399,Lists!$H$2:$H$4,0),""))</f>
        <v/>
      </c>
      <c r="Z399" s="21" t="str">
        <f t="shared" si="8"/>
        <v/>
      </c>
    </row>
    <row r="400" spans="1:26" ht="15.75" customHeight="1" x14ac:dyDescent="0.3">
      <c r="A400" s="16" t="str">
        <f t="shared" si="9"/>
        <v/>
      </c>
      <c r="B400" s="28"/>
      <c r="C400" s="29"/>
      <c r="D400" s="16"/>
      <c r="E400" s="16"/>
      <c r="F400" s="16"/>
      <c r="G400" s="16"/>
      <c r="H400" s="16"/>
      <c r="I400" s="31"/>
      <c r="J400" s="15"/>
      <c r="K400" s="15"/>
      <c r="L400" s="15"/>
      <c r="M400" s="16"/>
      <c r="N400" s="17"/>
      <c r="O400" s="19" t="str">
        <f t="shared" si="5"/>
        <v/>
      </c>
      <c r="P400" s="17"/>
      <c r="Q400" s="17" t="str">
        <f t="shared" ca="1" si="6"/>
        <v/>
      </c>
      <c r="R400" s="21" t="str">
        <f ca="1">IF($Q400="","",IF($Q400&lt;=Settings!$B$8,Settings!$C$8,IF($Q400&lt;=Settings!$B$9,Settings!$C$9,IF($Q400&lt;=Settings!$B$10,Settings!$C$10,IF($Q400&lt;=Settings!$B$11,Settings!$C$11,Settings!$C$12)))))</f>
        <v/>
      </c>
      <c r="S400" s="21" t="str">
        <f>IF($F400="","",IFERROR(VLOOKUP($F400,Settings!$E$8:$F$11,2,FALSE),0))</f>
        <v/>
      </c>
      <c r="T400" s="21">
        <f>IF($G400="",Settings!$B$16,1)</f>
        <v>1</v>
      </c>
      <c r="U400" s="21" t="str">
        <f t="shared" si="7"/>
        <v/>
      </c>
      <c r="V400" s="32" t="str">
        <f>IF($C400="","",IF($Q400&gt;Settings!$B$4,IF($G400="","|","")&amp;"OLD_7D","")&amp;IF($Q400&gt;Settings!$B$5,IF(OR($G400="", $Q400&gt;Settings!$B$4),"|","")&amp;"OLD_30D",""))</f>
        <v/>
      </c>
      <c r="W400" s="21" t="str">
        <f>IF(OR($C400="", $M400&lt;&gt;"APPROVED",$I400="", $U400=0),"",SUMIFS($U$3:$U$502,$H$3:$H$502,$H400,$M$3:$M$502,"APPROVED",$Q$3:$Q$502,"&lt;="&amp;Settings!$B$4,$I$3:$I$502,"&lt;="&amp;$I400))</f>
        <v/>
      </c>
      <c r="X400" s="21" t="str">
        <f>IF(OR($C400="", $M400&lt;&gt;"APPROVED",$I400="", $U400=0),"",SUMIFS($U$3:$U$502,$H$3:$H$502,$H400,$M$3:$M$502,"APPROVED",$Q$3:$Q$502,"&lt;="&amp;Settings!$B$5,$I$3:$I$502,"&lt;="&amp;$I400))</f>
        <v/>
      </c>
      <c r="Y400" s="21" t="str">
        <f>IF($P400="","",IFERROR(MATCH($P400,Lists!$H$2:$H$4,0),""))</f>
        <v/>
      </c>
      <c r="Z400" s="21" t="str">
        <f t="shared" si="8"/>
        <v/>
      </c>
    </row>
    <row r="401" spans="1:26" ht="15.75" customHeight="1" x14ac:dyDescent="0.3">
      <c r="A401" s="16" t="str">
        <f t="shared" si="9"/>
        <v/>
      </c>
      <c r="B401" s="28"/>
      <c r="C401" s="29"/>
      <c r="D401" s="16"/>
      <c r="E401" s="16"/>
      <c r="F401" s="16"/>
      <c r="G401" s="16"/>
      <c r="H401" s="16"/>
      <c r="I401" s="31"/>
      <c r="J401" s="15"/>
      <c r="K401" s="15"/>
      <c r="L401" s="15"/>
      <c r="M401" s="16"/>
      <c r="N401" s="17"/>
      <c r="O401" s="19" t="str">
        <f t="shared" si="5"/>
        <v/>
      </c>
      <c r="P401" s="17"/>
      <c r="Q401" s="17" t="str">
        <f t="shared" ca="1" si="6"/>
        <v/>
      </c>
      <c r="R401" s="21" t="str">
        <f ca="1">IF($Q401="","",IF($Q401&lt;=Settings!$B$8,Settings!$C$8,IF($Q401&lt;=Settings!$B$9,Settings!$C$9,IF($Q401&lt;=Settings!$B$10,Settings!$C$10,IF($Q401&lt;=Settings!$B$11,Settings!$C$11,Settings!$C$12)))))</f>
        <v/>
      </c>
      <c r="S401" s="21" t="str">
        <f>IF($F401="","",IFERROR(VLOOKUP($F401,Settings!$E$8:$F$11,2,FALSE),0))</f>
        <v/>
      </c>
      <c r="T401" s="21">
        <f>IF($G401="",Settings!$B$16,1)</f>
        <v>1</v>
      </c>
      <c r="U401" s="21" t="str">
        <f t="shared" si="7"/>
        <v/>
      </c>
      <c r="V401" s="32" t="str">
        <f>IF($C401="","",IF($Q401&gt;Settings!$B$4,IF($G401="","|","")&amp;"OLD_7D","")&amp;IF($Q401&gt;Settings!$B$5,IF(OR($G401="", $Q401&gt;Settings!$B$4),"|","")&amp;"OLD_30D",""))</f>
        <v/>
      </c>
      <c r="W401" s="21" t="str">
        <f>IF(OR($C401="", $M401&lt;&gt;"APPROVED",$I401="", $U401=0),"",SUMIFS($U$3:$U$502,$H$3:$H$502,$H401,$M$3:$M$502,"APPROVED",$Q$3:$Q$502,"&lt;="&amp;Settings!$B$4,$I$3:$I$502,"&lt;="&amp;$I401))</f>
        <v/>
      </c>
      <c r="X401" s="21" t="str">
        <f>IF(OR($C401="", $M401&lt;&gt;"APPROVED",$I401="", $U401=0),"",SUMIFS($U$3:$U$502,$H$3:$H$502,$H401,$M$3:$M$502,"APPROVED",$Q$3:$Q$502,"&lt;="&amp;Settings!$B$5,$I$3:$I$502,"&lt;="&amp;$I401))</f>
        <v/>
      </c>
      <c r="Y401" s="21" t="str">
        <f>IF($P401="","",IFERROR(MATCH($P401,Lists!$H$2:$H$4,0),""))</f>
        <v/>
      </c>
      <c r="Z401" s="21" t="str">
        <f t="shared" si="8"/>
        <v/>
      </c>
    </row>
    <row r="402" spans="1:26" ht="15.75" customHeight="1" x14ac:dyDescent="0.3">
      <c r="A402" s="16" t="str">
        <f t="shared" si="9"/>
        <v/>
      </c>
      <c r="B402" s="28"/>
      <c r="C402" s="29"/>
      <c r="D402" s="16"/>
      <c r="E402" s="16"/>
      <c r="F402" s="16"/>
      <c r="G402" s="16"/>
      <c r="H402" s="16"/>
      <c r="I402" s="31"/>
      <c r="J402" s="15"/>
      <c r="K402" s="15"/>
      <c r="L402" s="15"/>
      <c r="M402" s="16"/>
      <c r="N402" s="17"/>
      <c r="O402" s="19" t="str">
        <f t="shared" si="5"/>
        <v/>
      </c>
      <c r="P402" s="17"/>
      <c r="Q402" s="17" t="str">
        <f t="shared" ca="1" si="6"/>
        <v/>
      </c>
      <c r="R402" s="21" t="str">
        <f ca="1">IF($Q402="","",IF($Q402&lt;=Settings!$B$8,Settings!$C$8,IF($Q402&lt;=Settings!$B$9,Settings!$C$9,IF($Q402&lt;=Settings!$B$10,Settings!$C$10,IF($Q402&lt;=Settings!$B$11,Settings!$C$11,Settings!$C$12)))))</f>
        <v/>
      </c>
      <c r="S402" s="21" t="str">
        <f>IF($F402="","",IFERROR(VLOOKUP($F402,Settings!$E$8:$F$11,2,FALSE),0))</f>
        <v/>
      </c>
      <c r="T402" s="21">
        <f>IF($G402="",Settings!$B$16,1)</f>
        <v>1</v>
      </c>
      <c r="U402" s="21" t="str">
        <f t="shared" si="7"/>
        <v/>
      </c>
      <c r="V402" s="32" t="str">
        <f>IF($C402="","",IF($Q402&gt;Settings!$B$4,IF($G402="","|","")&amp;"OLD_7D","")&amp;IF($Q402&gt;Settings!$B$5,IF(OR($G402="", $Q402&gt;Settings!$B$4),"|","")&amp;"OLD_30D",""))</f>
        <v/>
      </c>
      <c r="W402" s="21" t="str">
        <f>IF(OR($C402="", $M402&lt;&gt;"APPROVED",$I402="", $U402=0),"",SUMIFS($U$3:$U$502,$H$3:$H$502,$H402,$M$3:$M$502,"APPROVED",$Q$3:$Q$502,"&lt;="&amp;Settings!$B$4,$I$3:$I$502,"&lt;="&amp;$I402))</f>
        <v/>
      </c>
      <c r="X402" s="21" t="str">
        <f>IF(OR($C402="", $M402&lt;&gt;"APPROVED",$I402="", $U402=0),"",SUMIFS($U$3:$U$502,$H$3:$H$502,$H402,$M$3:$M$502,"APPROVED",$Q$3:$Q$502,"&lt;="&amp;Settings!$B$5,$I$3:$I$502,"&lt;="&amp;$I402))</f>
        <v/>
      </c>
      <c r="Y402" s="21" t="str">
        <f>IF($P402="","",IFERROR(MATCH($P402,Lists!$H$2:$H$4,0),""))</f>
        <v/>
      </c>
      <c r="Z402" s="21" t="str">
        <f t="shared" si="8"/>
        <v/>
      </c>
    </row>
    <row r="403" spans="1:26" ht="15.75" customHeight="1" x14ac:dyDescent="0.3">
      <c r="A403" s="16" t="str">
        <f t="shared" si="9"/>
        <v/>
      </c>
      <c r="B403" s="28"/>
      <c r="C403" s="29"/>
      <c r="D403" s="16"/>
      <c r="E403" s="16"/>
      <c r="F403" s="16"/>
      <c r="G403" s="16"/>
      <c r="H403" s="16"/>
      <c r="I403" s="31"/>
      <c r="J403" s="15"/>
      <c r="K403" s="15"/>
      <c r="L403" s="15"/>
      <c r="M403" s="16"/>
      <c r="N403" s="17"/>
      <c r="O403" s="19" t="str">
        <f t="shared" si="5"/>
        <v/>
      </c>
      <c r="P403" s="17"/>
      <c r="Q403" s="17" t="str">
        <f t="shared" ca="1" si="6"/>
        <v/>
      </c>
      <c r="R403" s="21" t="str">
        <f ca="1">IF($Q403="","",IF($Q403&lt;=Settings!$B$8,Settings!$C$8,IF($Q403&lt;=Settings!$B$9,Settings!$C$9,IF($Q403&lt;=Settings!$B$10,Settings!$C$10,IF($Q403&lt;=Settings!$B$11,Settings!$C$11,Settings!$C$12)))))</f>
        <v/>
      </c>
      <c r="S403" s="21" t="str">
        <f>IF($F403="","",IFERROR(VLOOKUP($F403,Settings!$E$8:$F$11,2,FALSE),0))</f>
        <v/>
      </c>
      <c r="T403" s="21">
        <f>IF($G403="",Settings!$B$16,1)</f>
        <v>1</v>
      </c>
      <c r="U403" s="21" t="str">
        <f t="shared" si="7"/>
        <v/>
      </c>
      <c r="V403" s="32" t="str">
        <f>IF($C403="","",IF($Q403&gt;Settings!$B$4,IF($G403="","|","")&amp;"OLD_7D","")&amp;IF($Q403&gt;Settings!$B$5,IF(OR($G403="", $Q403&gt;Settings!$B$4),"|","")&amp;"OLD_30D",""))</f>
        <v/>
      </c>
      <c r="W403" s="21" t="str">
        <f>IF(OR($C403="", $M403&lt;&gt;"APPROVED",$I403="", $U403=0),"",SUMIFS($U$3:$U$502,$H$3:$H$502,$H403,$M$3:$M$502,"APPROVED",$Q$3:$Q$502,"&lt;="&amp;Settings!$B$4,$I$3:$I$502,"&lt;="&amp;$I403))</f>
        <v/>
      </c>
      <c r="X403" s="21" t="str">
        <f>IF(OR($C403="", $M403&lt;&gt;"APPROVED",$I403="", $U403=0),"",SUMIFS($U$3:$U$502,$H$3:$H$502,$H403,$M$3:$M$502,"APPROVED",$Q$3:$Q$502,"&lt;="&amp;Settings!$B$5,$I$3:$I$502,"&lt;="&amp;$I403))</f>
        <v/>
      </c>
      <c r="Y403" s="21" t="str">
        <f>IF($P403="","",IFERROR(MATCH($P403,Lists!$H$2:$H$4,0),""))</f>
        <v/>
      </c>
      <c r="Z403" s="21" t="str">
        <f t="shared" si="8"/>
        <v/>
      </c>
    </row>
    <row r="404" spans="1:26" ht="15.75" customHeight="1" x14ac:dyDescent="0.3">
      <c r="A404" s="16" t="str">
        <f t="shared" si="9"/>
        <v/>
      </c>
      <c r="B404" s="28"/>
      <c r="C404" s="29"/>
      <c r="D404" s="16"/>
      <c r="E404" s="16"/>
      <c r="F404" s="16"/>
      <c r="G404" s="16"/>
      <c r="H404" s="16"/>
      <c r="I404" s="31"/>
      <c r="J404" s="15"/>
      <c r="K404" s="15"/>
      <c r="L404" s="15"/>
      <c r="M404" s="16"/>
      <c r="N404" s="17"/>
      <c r="O404" s="19" t="str">
        <f t="shared" si="5"/>
        <v/>
      </c>
      <c r="P404" s="17"/>
      <c r="Q404" s="17" t="str">
        <f t="shared" ca="1" si="6"/>
        <v/>
      </c>
      <c r="R404" s="21" t="str">
        <f ca="1">IF($Q404="","",IF($Q404&lt;=Settings!$B$8,Settings!$C$8,IF($Q404&lt;=Settings!$B$9,Settings!$C$9,IF($Q404&lt;=Settings!$B$10,Settings!$C$10,IF($Q404&lt;=Settings!$B$11,Settings!$C$11,Settings!$C$12)))))</f>
        <v/>
      </c>
      <c r="S404" s="21" t="str">
        <f>IF($F404="","",IFERROR(VLOOKUP($F404,Settings!$E$8:$F$11,2,FALSE),0))</f>
        <v/>
      </c>
      <c r="T404" s="21">
        <f>IF($G404="",Settings!$B$16,1)</f>
        <v>1</v>
      </c>
      <c r="U404" s="21" t="str">
        <f t="shared" si="7"/>
        <v/>
      </c>
      <c r="V404" s="32" t="str">
        <f>IF($C404="","",IF($Q404&gt;Settings!$B$4,IF($G404="","|","")&amp;"OLD_7D","")&amp;IF($Q404&gt;Settings!$B$5,IF(OR($G404="", $Q404&gt;Settings!$B$4),"|","")&amp;"OLD_30D",""))</f>
        <v/>
      </c>
      <c r="W404" s="21" t="str">
        <f>IF(OR($C404="", $M404&lt;&gt;"APPROVED",$I404="", $U404=0),"",SUMIFS($U$3:$U$502,$H$3:$H$502,$H404,$M$3:$M$502,"APPROVED",$Q$3:$Q$502,"&lt;="&amp;Settings!$B$4,$I$3:$I$502,"&lt;="&amp;$I404))</f>
        <v/>
      </c>
      <c r="X404" s="21" t="str">
        <f>IF(OR($C404="", $M404&lt;&gt;"APPROVED",$I404="", $U404=0),"",SUMIFS($U$3:$U$502,$H$3:$H$502,$H404,$M$3:$M$502,"APPROVED",$Q$3:$Q$502,"&lt;="&amp;Settings!$B$5,$I$3:$I$502,"&lt;="&amp;$I404))</f>
        <v/>
      </c>
      <c r="Y404" s="21" t="str">
        <f>IF($P404="","",IFERROR(MATCH($P404,Lists!$H$2:$H$4,0),""))</f>
        <v/>
      </c>
      <c r="Z404" s="21" t="str">
        <f t="shared" si="8"/>
        <v/>
      </c>
    </row>
    <row r="405" spans="1:26" ht="15.75" customHeight="1" x14ac:dyDescent="0.3">
      <c r="A405" s="16" t="str">
        <f t="shared" si="9"/>
        <v/>
      </c>
      <c r="B405" s="28"/>
      <c r="C405" s="29"/>
      <c r="D405" s="16"/>
      <c r="E405" s="16"/>
      <c r="F405" s="16"/>
      <c r="G405" s="16"/>
      <c r="H405" s="16"/>
      <c r="I405" s="31"/>
      <c r="J405" s="15"/>
      <c r="K405" s="15"/>
      <c r="L405" s="15"/>
      <c r="M405" s="16"/>
      <c r="N405" s="17"/>
      <c r="O405" s="19" t="str">
        <f t="shared" si="5"/>
        <v/>
      </c>
      <c r="P405" s="17"/>
      <c r="Q405" s="17" t="str">
        <f t="shared" ca="1" si="6"/>
        <v/>
      </c>
      <c r="R405" s="21" t="str">
        <f ca="1">IF($Q405="","",IF($Q405&lt;=Settings!$B$8,Settings!$C$8,IF($Q405&lt;=Settings!$B$9,Settings!$C$9,IF($Q405&lt;=Settings!$B$10,Settings!$C$10,IF($Q405&lt;=Settings!$B$11,Settings!$C$11,Settings!$C$12)))))</f>
        <v/>
      </c>
      <c r="S405" s="21" t="str">
        <f>IF($F405="","",IFERROR(VLOOKUP($F405,Settings!$E$8:$F$11,2,FALSE),0))</f>
        <v/>
      </c>
      <c r="T405" s="21">
        <f>IF($G405="",Settings!$B$16,1)</f>
        <v>1</v>
      </c>
      <c r="U405" s="21" t="str">
        <f t="shared" si="7"/>
        <v/>
      </c>
      <c r="V405" s="32" t="str">
        <f>IF($C405="","",IF($Q405&gt;Settings!$B$4,IF($G405="","|","")&amp;"OLD_7D","")&amp;IF($Q405&gt;Settings!$B$5,IF(OR($G405="", $Q405&gt;Settings!$B$4),"|","")&amp;"OLD_30D",""))</f>
        <v/>
      </c>
      <c r="W405" s="21" t="str">
        <f>IF(OR($C405="", $M405&lt;&gt;"APPROVED",$I405="", $U405=0),"",SUMIFS($U$3:$U$502,$H$3:$H$502,$H405,$M$3:$M$502,"APPROVED",$Q$3:$Q$502,"&lt;="&amp;Settings!$B$4,$I$3:$I$502,"&lt;="&amp;$I405))</f>
        <v/>
      </c>
      <c r="X405" s="21" t="str">
        <f>IF(OR($C405="", $M405&lt;&gt;"APPROVED",$I405="", $U405=0),"",SUMIFS($U$3:$U$502,$H$3:$H$502,$H405,$M$3:$M$502,"APPROVED",$Q$3:$Q$502,"&lt;="&amp;Settings!$B$5,$I$3:$I$502,"&lt;="&amp;$I405))</f>
        <v/>
      </c>
      <c r="Y405" s="21" t="str">
        <f>IF($P405="","",IFERROR(MATCH($P405,Lists!$H$2:$H$4,0),""))</f>
        <v/>
      </c>
      <c r="Z405" s="21" t="str">
        <f t="shared" si="8"/>
        <v/>
      </c>
    </row>
    <row r="406" spans="1:26" ht="15.75" customHeight="1" x14ac:dyDescent="0.3">
      <c r="A406" s="16" t="str">
        <f t="shared" si="9"/>
        <v/>
      </c>
      <c r="B406" s="28"/>
      <c r="C406" s="29"/>
      <c r="D406" s="16"/>
      <c r="E406" s="16"/>
      <c r="F406" s="16"/>
      <c r="G406" s="16"/>
      <c r="H406" s="16"/>
      <c r="I406" s="31"/>
      <c r="J406" s="15"/>
      <c r="K406" s="15"/>
      <c r="L406" s="15"/>
      <c r="M406" s="16"/>
      <c r="N406" s="17"/>
      <c r="O406" s="19" t="str">
        <f t="shared" si="5"/>
        <v/>
      </c>
      <c r="P406" s="17"/>
      <c r="Q406" s="17" t="str">
        <f t="shared" ca="1" si="6"/>
        <v/>
      </c>
      <c r="R406" s="21" t="str">
        <f ca="1">IF($Q406="","",IF($Q406&lt;=Settings!$B$8,Settings!$C$8,IF($Q406&lt;=Settings!$B$9,Settings!$C$9,IF($Q406&lt;=Settings!$B$10,Settings!$C$10,IF($Q406&lt;=Settings!$B$11,Settings!$C$11,Settings!$C$12)))))</f>
        <v/>
      </c>
      <c r="S406" s="21" t="str">
        <f>IF($F406="","",IFERROR(VLOOKUP($F406,Settings!$E$8:$F$11,2,FALSE),0))</f>
        <v/>
      </c>
      <c r="T406" s="21">
        <f>IF($G406="",Settings!$B$16,1)</f>
        <v>1</v>
      </c>
      <c r="U406" s="21" t="str">
        <f t="shared" si="7"/>
        <v/>
      </c>
      <c r="V406" s="32" t="str">
        <f>IF($C406="","",IF($Q406&gt;Settings!$B$4,IF($G406="","|","")&amp;"OLD_7D","")&amp;IF($Q406&gt;Settings!$B$5,IF(OR($G406="", $Q406&gt;Settings!$B$4),"|","")&amp;"OLD_30D",""))</f>
        <v/>
      </c>
      <c r="W406" s="21" t="str">
        <f>IF(OR($C406="", $M406&lt;&gt;"APPROVED",$I406="", $U406=0),"",SUMIFS($U$3:$U$502,$H$3:$H$502,$H406,$M$3:$M$502,"APPROVED",$Q$3:$Q$502,"&lt;="&amp;Settings!$B$4,$I$3:$I$502,"&lt;="&amp;$I406))</f>
        <v/>
      </c>
      <c r="X406" s="21" t="str">
        <f>IF(OR($C406="", $M406&lt;&gt;"APPROVED",$I406="", $U406=0),"",SUMIFS($U$3:$U$502,$H$3:$H$502,$H406,$M$3:$M$502,"APPROVED",$Q$3:$Q$502,"&lt;="&amp;Settings!$B$5,$I$3:$I$502,"&lt;="&amp;$I406))</f>
        <v/>
      </c>
      <c r="Y406" s="21" t="str">
        <f>IF($P406="","",IFERROR(MATCH($P406,Lists!$H$2:$H$4,0),""))</f>
        <v/>
      </c>
      <c r="Z406" s="21" t="str">
        <f t="shared" si="8"/>
        <v/>
      </c>
    </row>
    <row r="407" spans="1:26" ht="15.75" customHeight="1" x14ac:dyDescent="0.3">
      <c r="A407" s="16" t="str">
        <f t="shared" si="9"/>
        <v/>
      </c>
      <c r="B407" s="28"/>
      <c r="C407" s="29"/>
      <c r="D407" s="16"/>
      <c r="E407" s="16"/>
      <c r="F407" s="16"/>
      <c r="G407" s="16"/>
      <c r="H407" s="16"/>
      <c r="I407" s="31"/>
      <c r="J407" s="15"/>
      <c r="K407" s="15"/>
      <c r="L407" s="15"/>
      <c r="M407" s="16"/>
      <c r="N407" s="17"/>
      <c r="O407" s="19" t="str">
        <f t="shared" si="5"/>
        <v/>
      </c>
      <c r="P407" s="17"/>
      <c r="Q407" s="17" t="str">
        <f t="shared" ca="1" si="6"/>
        <v/>
      </c>
      <c r="R407" s="21" t="str">
        <f ca="1">IF($Q407="","",IF($Q407&lt;=Settings!$B$8,Settings!$C$8,IF($Q407&lt;=Settings!$B$9,Settings!$C$9,IF($Q407&lt;=Settings!$B$10,Settings!$C$10,IF($Q407&lt;=Settings!$B$11,Settings!$C$11,Settings!$C$12)))))</f>
        <v/>
      </c>
      <c r="S407" s="21" t="str">
        <f>IF($F407="","",IFERROR(VLOOKUP($F407,Settings!$E$8:$F$11,2,FALSE),0))</f>
        <v/>
      </c>
      <c r="T407" s="21">
        <f>IF($G407="",Settings!$B$16,1)</f>
        <v>1</v>
      </c>
      <c r="U407" s="21" t="str">
        <f t="shared" si="7"/>
        <v/>
      </c>
      <c r="V407" s="32" t="str">
        <f>IF($C407="","",IF($Q407&gt;Settings!$B$4,IF($G407="","|","")&amp;"OLD_7D","")&amp;IF($Q407&gt;Settings!$B$5,IF(OR($G407="", $Q407&gt;Settings!$B$4),"|","")&amp;"OLD_30D",""))</f>
        <v/>
      </c>
      <c r="W407" s="21" t="str">
        <f>IF(OR($C407="", $M407&lt;&gt;"APPROVED",$I407="", $U407=0),"",SUMIFS($U$3:$U$502,$H$3:$H$502,$H407,$M$3:$M$502,"APPROVED",$Q$3:$Q$502,"&lt;="&amp;Settings!$B$4,$I$3:$I$502,"&lt;="&amp;$I407))</f>
        <v/>
      </c>
      <c r="X407" s="21" t="str">
        <f>IF(OR($C407="", $M407&lt;&gt;"APPROVED",$I407="", $U407=0),"",SUMIFS($U$3:$U$502,$H$3:$H$502,$H407,$M$3:$M$502,"APPROVED",$Q$3:$Q$502,"&lt;="&amp;Settings!$B$5,$I$3:$I$502,"&lt;="&amp;$I407))</f>
        <v/>
      </c>
      <c r="Y407" s="21" t="str">
        <f>IF($P407="","",IFERROR(MATCH($P407,Lists!$H$2:$H$4,0),""))</f>
        <v/>
      </c>
      <c r="Z407" s="21" t="str">
        <f t="shared" si="8"/>
        <v/>
      </c>
    </row>
    <row r="408" spans="1:26" ht="15.75" customHeight="1" x14ac:dyDescent="0.3">
      <c r="A408" s="16" t="str">
        <f t="shared" si="9"/>
        <v/>
      </c>
      <c r="B408" s="28"/>
      <c r="C408" s="29"/>
      <c r="D408" s="16"/>
      <c r="E408" s="16"/>
      <c r="F408" s="16"/>
      <c r="G408" s="16"/>
      <c r="H408" s="16"/>
      <c r="I408" s="31"/>
      <c r="J408" s="15"/>
      <c r="K408" s="15"/>
      <c r="L408" s="15"/>
      <c r="M408" s="16"/>
      <c r="N408" s="17"/>
      <c r="O408" s="19" t="str">
        <f t="shared" si="5"/>
        <v/>
      </c>
      <c r="P408" s="17"/>
      <c r="Q408" s="17" t="str">
        <f t="shared" ca="1" si="6"/>
        <v/>
      </c>
      <c r="R408" s="21" t="str">
        <f ca="1">IF($Q408="","",IF($Q408&lt;=Settings!$B$8,Settings!$C$8,IF($Q408&lt;=Settings!$B$9,Settings!$C$9,IF($Q408&lt;=Settings!$B$10,Settings!$C$10,IF($Q408&lt;=Settings!$B$11,Settings!$C$11,Settings!$C$12)))))</f>
        <v/>
      </c>
      <c r="S408" s="21" t="str">
        <f>IF($F408="","",IFERROR(VLOOKUP($F408,Settings!$E$8:$F$11,2,FALSE),0))</f>
        <v/>
      </c>
      <c r="T408" s="21">
        <f>IF($G408="",Settings!$B$16,1)</f>
        <v>1</v>
      </c>
      <c r="U408" s="21" t="str">
        <f t="shared" si="7"/>
        <v/>
      </c>
      <c r="V408" s="32" t="str">
        <f>IF($C408="","",IF($Q408&gt;Settings!$B$4,IF($G408="","|","")&amp;"OLD_7D","")&amp;IF($Q408&gt;Settings!$B$5,IF(OR($G408="", $Q408&gt;Settings!$B$4),"|","")&amp;"OLD_30D",""))</f>
        <v/>
      </c>
      <c r="W408" s="21" t="str">
        <f>IF(OR($C408="", $M408&lt;&gt;"APPROVED",$I408="", $U408=0),"",SUMIFS($U$3:$U$502,$H$3:$H$502,$H408,$M$3:$M$502,"APPROVED",$Q$3:$Q$502,"&lt;="&amp;Settings!$B$4,$I$3:$I$502,"&lt;="&amp;$I408))</f>
        <v/>
      </c>
      <c r="X408" s="21" t="str">
        <f>IF(OR($C408="", $M408&lt;&gt;"APPROVED",$I408="", $U408=0),"",SUMIFS($U$3:$U$502,$H$3:$H$502,$H408,$M$3:$M$502,"APPROVED",$Q$3:$Q$502,"&lt;="&amp;Settings!$B$5,$I$3:$I$502,"&lt;="&amp;$I408))</f>
        <v/>
      </c>
      <c r="Y408" s="21" t="str">
        <f>IF($P408="","",IFERROR(MATCH($P408,Lists!$H$2:$H$4,0),""))</f>
        <v/>
      </c>
      <c r="Z408" s="21" t="str">
        <f t="shared" si="8"/>
        <v/>
      </c>
    </row>
    <row r="409" spans="1:26" ht="15.75" customHeight="1" x14ac:dyDescent="0.3">
      <c r="A409" s="16" t="str">
        <f t="shared" si="9"/>
        <v/>
      </c>
      <c r="B409" s="28"/>
      <c r="C409" s="29"/>
      <c r="D409" s="16"/>
      <c r="E409" s="16"/>
      <c r="F409" s="16"/>
      <c r="G409" s="16"/>
      <c r="H409" s="16"/>
      <c r="I409" s="31"/>
      <c r="J409" s="15"/>
      <c r="K409" s="15"/>
      <c r="L409" s="15"/>
      <c r="M409" s="16"/>
      <c r="N409" s="17"/>
      <c r="O409" s="19" t="str">
        <f t="shared" si="5"/>
        <v/>
      </c>
      <c r="P409" s="17"/>
      <c r="Q409" s="17" t="str">
        <f t="shared" ca="1" si="6"/>
        <v/>
      </c>
      <c r="R409" s="21" t="str">
        <f ca="1">IF($Q409="","",IF($Q409&lt;=Settings!$B$8,Settings!$C$8,IF($Q409&lt;=Settings!$B$9,Settings!$C$9,IF($Q409&lt;=Settings!$B$10,Settings!$C$10,IF($Q409&lt;=Settings!$B$11,Settings!$C$11,Settings!$C$12)))))</f>
        <v/>
      </c>
      <c r="S409" s="21" t="str">
        <f>IF($F409="","",IFERROR(VLOOKUP($F409,Settings!$E$8:$F$11,2,FALSE),0))</f>
        <v/>
      </c>
      <c r="T409" s="21">
        <f>IF($G409="",Settings!$B$16,1)</f>
        <v>1</v>
      </c>
      <c r="U409" s="21" t="str">
        <f t="shared" si="7"/>
        <v/>
      </c>
      <c r="V409" s="32" t="str">
        <f>IF($C409="","",IF($Q409&gt;Settings!$B$4,IF($G409="","|","")&amp;"OLD_7D","")&amp;IF($Q409&gt;Settings!$B$5,IF(OR($G409="", $Q409&gt;Settings!$B$4),"|","")&amp;"OLD_30D",""))</f>
        <v/>
      </c>
      <c r="W409" s="21" t="str">
        <f>IF(OR($C409="", $M409&lt;&gt;"APPROVED",$I409="", $U409=0),"",SUMIFS($U$3:$U$502,$H$3:$H$502,$H409,$M$3:$M$502,"APPROVED",$Q$3:$Q$502,"&lt;="&amp;Settings!$B$4,$I$3:$I$502,"&lt;="&amp;$I409))</f>
        <v/>
      </c>
      <c r="X409" s="21" t="str">
        <f>IF(OR($C409="", $M409&lt;&gt;"APPROVED",$I409="", $U409=0),"",SUMIFS($U$3:$U$502,$H$3:$H$502,$H409,$M$3:$M$502,"APPROVED",$Q$3:$Q$502,"&lt;="&amp;Settings!$B$5,$I$3:$I$502,"&lt;="&amp;$I409))</f>
        <v/>
      </c>
      <c r="Y409" s="21" t="str">
        <f>IF($P409="","",IFERROR(MATCH($P409,Lists!$H$2:$H$4,0),""))</f>
        <v/>
      </c>
      <c r="Z409" s="21" t="str">
        <f t="shared" si="8"/>
        <v/>
      </c>
    </row>
    <row r="410" spans="1:26" ht="15.75" customHeight="1" x14ac:dyDescent="0.3">
      <c r="A410" s="16" t="str">
        <f t="shared" si="9"/>
        <v/>
      </c>
      <c r="B410" s="28"/>
      <c r="C410" s="29"/>
      <c r="D410" s="16"/>
      <c r="E410" s="16"/>
      <c r="F410" s="16"/>
      <c r="G410" s="16"/>
      <c r="H410" s="16"/>
      <c r="I410" s="31"/>
      <c r="J410" s="15"/>
      <c r="K410" s="15"/>
      <c r="L410" s="15"/>
      <c r="M410" s="16"/>
      <c r="N410" s="17"/>
      <c r="O410" s="19" t="str">
        <f t="shared" si="5"/>
        <v/>
      </c>
      <c r="P410" s="17"/>
      <c r="Q410" s="17" t="str">
        <f t="shared" ca="1" si="6"/>
        <v/>
      </c>
      <c r="R410" s="21" t="str">
        <f ca="1">IF($Q410="","",IF($Q410&lt;=Settings!$B$8,Settings!$C$8,IF($Q410&lt;=Settings!$B$9,Settings!$C$9,IF($Q410&lt;=Settings!$B$10,Settings!$C$10,IF($Q410&lt;=Settings!$B$11,Settings!$C$11,Settings!$C$12)))))</f>
        <v/>
      </c>
      <c r="S410" s="21" t="str">
        <f>IF($F410="","",IFERROR(VLOOKUP($F410,Settings!$E$8:$F$11,2,FALSE),0))</f>
        <v/>
      </c>
      <c r="T410" s="21">
        <f>IF($G410="",Settings!$B$16,1)</f>
        <v>1</v>
      </c>
      <c r="U410" s="21" t="str">
        <f t="shared" si="7"/>
        <v/>
      </c>
      <c r="V410" s="32" t="str">
        <f>IF($C410="","",IF($Q410&gt;Settings!$B$4,IF($G410="","|","")&amp;"OLD_7D","")&amp;IF($Q410&gt;Settings!$B$5,IF(OR($G410="", $Q410&gt;Settings!$B$4),"|","")&amp;"OLD_30D",""))</f>
        <v/>
      </c>
      <c r="W410" s="21" t="str">
        <f>IF(OR($C410="", $M410&lt;&gt;"APPROVED",$I410="", $U410=0),"",SUMIFS($U$3:$U$502,$H$3:$H$502,$H410,$M$3:$M$502,"APPROVED",$Q$3:$Q$502,"&lt;="&amp;Settings!$B$4,$I$3:$I$502,"&lt;="&amp;$I410))</f>
        <v/>
      </c>
      <c r="X410" s="21" t="str">
        <f>IF(OR($C410="", $M410&lt;&gt;"APPROVED",$I410="", $U410=0),"",SUMIFS($U$3:$U$502,$H$3:$H$502,$H410,$M$3:$M$502,"APPROVED",$Q$3:$Q$502,"&lt;="&amp;Settings!$B$5,$I$3:$I$502,"&lt;="&amp;$I410))</f>
        <v/>
      </c>
      <c r="Y410" s="21" t="str">
        <f>IF($P410="","",IFERROR(MATCH($P410,Lists!$H$2:$H$4,0),""))</f>
        <v/>
      </c>
      <c r="Z410" s="21" t="str">
        <f t="shared" si="8"/>
        <v/>
      </c>
    </row>
    <row r="411" spans="1:26" ht="15.75" customHeight="1" x14ac:dyDescent="0.3">
      <c r="A411" s="16" t="str">
        <f t="shared" si="9"/>
        <v/>
      </c>
      <c r="B411" s="28"/>
      <c r="C411" s="29"/>
      <c r="D411" s="16"/>
      <c r="E411" s="16"/>
      <c r="F411" s="16"/>
      <c r="G411" s="16"/>
      <c r="H411" s="16"/>
      <c r="I411" s="31"/>
      <c r="J411" s="15"/>
      <c r="K411" s="15"/>
      <c r="L411" s="15"/>
      <c r="M411" s="16"/>
      <c r="N411" s="17"/>
      <c r="O411" s="19" t="str">
        <f t="shared" si="5"/>
        <v/>
      </c>
      <c r="P411" s="17"/>
      <c r="Q411" s="17" t="str">
        <f t="shared" ca="1" si="6"/>
        <v/>
      </c>
      <c r="R411" s="21" t="str">
        <f ca="1">IF($Q411="","",IF($Q411&lt;=Settings!$B$8,Settings!$C$8,IF($Q411&lt;=Settings!$B$9,Settings!$C$9,IF($Q411&lt;=Settings!$B$10,Settings!$C$10,IF($Q411&lt;=Settings!$B$11,Settings!$C$11,Settings!$C$12)))))</f>
        <v/>
      </c>
      <c r="S411" s="21" t="str">
        <f>IF($F411="","",IFERROR(VLOOKUP($F411,Settings!$E$8:$F$11,2,FALSE),0))</f>
        <v/>
      </c>
      <c r="T411" s="21">
        <f>IF($G411="",Settings!$B$16,1)</f>
        <v>1</v>
      </c>
      <c r="U411" s="21" t="str">
        <f t="shared" si="7"/>
        <v/>
      </c>
      <c r="V411" s="32" t="str">
        <f>IF($C411="","",IF($Q411&gt;Settings!$B$4,IF($G411="","|","")&amp;"OLD_7D","")&amp;IF($Q411&gt;Settings!$B$5,IF(OR($G411="", $Q411&gt;Settings!$B$4),"|","")&amp;"OLD_30D",""))</f>
        <v/>
      </c>
      <c r="W411" s="21" t="str">
        <f>IF(OR($C411="", $M411&lt;&gt;"APPROVED",$I411="", $U411=0),"",SUMIFS($U$3:$U$502,$H$3:$H$502,$H411,$M$3:$M$502,"APPROVED",$Q$3:$Q$502,"&lt;="&amp;Settings!$B$4,$I$3:$I$502,"&lt;="&amp;$I411))</f>
        <v/>
      </c>
      <c r="X411" s="21" t="str">
        <f>IF(OR($C411="", $M411&lt;&gt;"APPROVED",$I411="", $U411=0),"",SUMIFS($U$3:$U$502,$H$3:$H$502,$H411,$M$3:$M$502,"APPROVED",$Q$3:$Q$502,"&lt;="&amp;Settings!$B$5,$I$3:$I$502,"&lt;="&amp;$I411))</f>
        <v/>
      </c>
      <c r="Y411" s="21" t="str">
        <f>IF($P411="","",IFERROR(MATCH($P411,Lists!$H$2:$H$4,0),""))</f>
        <v/>
      </c>
      <c r="Z411" s="21" t="str">
        <f t="shared" si="8"/>
        <v/>
      </c>
    </row>
    <row r="412" spans="1:26" ht="15.75" customHeight="1" x14ac:dyDescent="0.3">
      <c r="A412" s="16" t="str">
        <f t="shared" si="9"/>
        <v/>
      </c>
      <c r="B412" s="28"/>
      <c r="C412" s="29"/>
      <c r="D412" s="16"/>
      <c r="E412" s="16"/>
      <c r="F412" s="16"/>
      <c r="G412" s="16"/>
      <c r="H412" s="16"/>
      <c r="I412" s="31"/>
      <c r="J412" s="15"/>
      <c r="K412" s="15"/>
      <c r="L412" s="15"/>
      <c r="M412" s="16"/>
      <c r="N412" s="17"/>
      <c r="O412" s="19" t="str">
        <f t="shared" si="5"/>
        <v/>
      </c>
      <c r="P412" s="17"/>
      <c r="Q412" s="17" t="str">
        <f t="shared" ca="1" si="6"/>
        <v/>
      </c>
      <c r="R412" s="21" t="str">
        <f ca="1">IF($Q412="","",IF($Q412&lt;=Settings!$B$8,Settings!$C$8,IF($Q412&lt;=Settings!$B$9,Settings!$C$9,IF($Q412&lt;=Settings!$B$10,Settings!$C$10,IF($Q412&lt;=Settings!$B$11,Settings!$C$11,Settings!$C$12)))))</f>
        <v/>
      </c>
      <c r="S412" s="21" t="str">
        <f>IF($F412="","",IFERROR(VLOOKUP($F412,Settings!$E$8:$F$11,2,FALSE),0))</f>
        <v/>
      </c>
      <c r="T412" s="21">
        <f>IF($G412="",Settings!$B$16,1)</f>
        <v>1</v>
      </c>
      <c r="U412" s="21" t="str">
        <f t="shared" si="7"/>
        <v/>
      </c>
      <c r="V412" s="32" t="str">
        <f>IF($C412="","",IF($Q412&gt;Settings!$B$4,IF($G412="","|","")&amp;"OLD_7D","")&amp;IF($Q412&gt;Settings!$B$5,IF(OR($G412="", $Q412&gt;Settings!$B$4),"|","")&amp;"OLD_30D",""))</f>
        <v/>
      </c>
      <c r="W412" s="21" t="str">
        <f>IF(OR($C412="", $M412&lt;&gt;"APPROVED",$I412="", $U412=0),"",SUMIFS($U$3:$U$502,$H$3:$H$502,$H412,$M$3:$M$502,"APPROVED",$Q$3:$Q$502,"&lt;="&amp;Settings!$B$4,$I$3:$I$502,"&lt;="&amp;$I412))</f>
        <v/>
      </c>
      <c r="X412" s="21" t="str">
        <f>IF(OR($C412="", $M412&lt;&gt;"APPROVED",$I412="", $U412=0),"",SUMIFS($U$3:$U$502,$H$3:$H$502,$H412,$M$3:$M$502,"APPROVED",$Q$3:$Q$502,"&lt;="&amp;Settings!$B$5,$I$3:$I$502,"&lt;="&amp;$I412))</f>
        <v/>
      </c>
      <c r="Y412" s="21" t="str">
        <f>IF($P412="","",IFERROR(MATCH($P412,Lists!$H$2:$H$4,0),""))</f>
        <v/>
      </c>
      <c r="Z412" s="21" t="str">
        <f t="shared" si="8"/>
        <v/>
      </c>
    </row>
    <row r="413" spans="1:26" ht="15.75" customHeight="1" x14ac:dyDescent="0.3">
      <c r="A413" s="16" t="str">
        <f t="shared" si="9"/>
        <v/>
      </c>
      <c r="B413" s="28"/>
      <c r="C413" s="29"/>
      <c r="D413" s="16"/>
      <c r="E413" s="16"/>
      <c r="F413" s="16"/>
      <c r="G413" s="16"/>
      <c r="H413" s="16"/>
      <c r="I413" s="31"/>
      <c r="J413" s="15"/>
      <c r="K413" s="15"/>
      <c r="L413" s="15"/>
      <c r="M413" s="16"/>
      <c r="N413" s="17"/>
      <c r="O413" s="19" t="str">
        <f t="shared" si="5"/>
        <v/>
      </c>
      <c r="P413" s="17"/>
      <c r="Q413" s="17" t="str">
        <f t="shared" ca="1" si="6"/>
        <v/>
      </c>
      <c r="R413" s="21" t="str">
        <f ca="1">IF($Q413="","",IF($Q413&lt;=Settings!$B$8,Settings!$C$8,IF($Q413&lt;=Settings!$B$9,Settings!$C$9,IF($Q413&lt;=Settings!$B$10,Settings!$C$10,IF($Q413&lt;=Settings!$B$11,Settings!$C$11,Settings!$C$12)))))</f>
        <v/>
      </c>
      <c r="S413" s="21" t="str">
        <f>IF($F413="","",IFERROR(VLOOKUP($F413,Settings!$E$8:$F$11,2,FALSE),0))</f>
        <v/>
      </c>
      <c r="T413" s="21">
        <f>IF($G413="",Settings!$B$16,1)</f>
        <v>1</v>
      </c>
      <c r="U413" s="21" t="str">
        <f t="shared" si="7"/>
        <v/>
      </c>
      <c r="V413" s="32" t="str">
        <f>IF($C413="","",IF($Q413&gt;Settings!$B$4,IF($G413="","|","")&amp;"OLD_7D","")&amp;IF($Q413&gt;Settings!$B$5,IF(OR($G413="", $Q413&gt;Settings!$B$4),"|","")&amp;"OLD_30D",""))</f>
        <v/>
      </c>
      <c r="W413" s="21" t="str">
        <f>IF(OR($C413="", $M413&lt;&gt;"APPROVED",$I413="", $U413=0),"",SUMIFS($U$3:$U$502,$H$3:$H$502,$H413,$M$3:$M$502,"APPROVED",$Q$3:$Q$502,"&lt;="&amp;Settings!$B$4,$I$3:$I$502,"&lt;="&amp;$I413))</f>
        <v/>
      </c>
      <c r="X413" s="21" t="str">
        <f>IF(OR($C413="", $M413&lt;&gt;"APPROVED",$I413="", $U413=0),"",SUMIFS($U$3:$U$502,$H$3:$H$502,$H413,$M$3:$M$502,"APPROVED",$Q$3:$Q$502,"&lt;="&amp;Settings!$B$5,$I$3:$I$502,"&lt;="&amp;$I413))</f>
        <v/>
      </c>
      <c r="Y413" s="21" t="str">
        <f>IF($P413="","",IFERROR(MATCH($P413,Lists!$H$2:$H$4,0),""))</f>
        <v/>
      </c>
      <c r="Z413" s="21" t="str">
        <f t="shared" si="8"/>
        <v/>
      </c>
    </row>
    <row r="414" spans="1:26" ht="15.75" customHeight="1" x14ac:dyDescent="0.3">
      <c r="A414" s="16" t="str">
        <f t="shared" si="9"/>
        <v/>
      </c>
      <c r="B414" s="28"/>
      <c r="C414" s="29"/>
      <c r="D414" s="16"/>
      <c r="E414" s="16"/>
      <c r="F414" s="16"/>
      <c r="G414" s="16"/>
      <c r="H414" s="16"/>
      <c r="I414" s="31"/>
      <c r="J414" s="15"/>
      <c r="K414" s="15"/>
      <c r="L414" s="15"/>
      <c r="M414" s="16"/>
      <c r="N414" s="17"/>
      <c r="O414" s="19" t="str">
        <f t="shared" si="5"/>
        <v/>
      </c>
      <c r="P414" s="17"/>
      <c r="Q414" s="17" t="str">
        <f t="shared" ca="1" si="6"/>
        <v/>
      </c>
      <c r="R414" s="21" t="str">
        <f ca="1">IF($Q414="","",IF($Q414&lt;=Settings!$B$8,Settings!$C$8,IF($Q414&lt;=Settings!$B$9,Settings!$C$9,IF($Q414&lt;=Settings!$B$10,Settings!$C$10,IF($Q414&lt;=Settings!$B$11,Settings!$C$11,Settings!$C$12)))))</f>
        <v/>
      </c>
      <c r="S414" s="21" t="str">
        <f>IF($F414="","",IFERROR(VLOOKUP($F414,Settings!$E$8:$F$11,2,FALSE),0))</f>
        <v/>
      </c>
      <c r="T414" s="21">
        <f>IF($G414="",Settings!$B$16,1)</f>
        <v>1</v>
      </c>
      <c r="U414" s="21" t="str">
        <f t="shared" si="7"/>
        <v/>
      </c>
      <c r="V414" s="32" t="str">
        <f>IF($C414="","",IF($Q414&gt;Settings!$B$4,IF($G414="","|","")&amp;"OLD_7D","")&amp;IF($Q414&gt;Settings!$B$5,IF(OR($G414="", $Q414&gt;Settings!$B$4),"|","")&amp;"OLD_30D",""))</f>
        <v/>
      </c>
      <c r="W414" s="21" t="str">
        <f>IF(OR($C414="", $M414&lt;&gt;"APPROVED",$I414="", $U414=0),"",SUMIFS($U$3:$U$502,$H$3:$H$502,$H414,$M$3:$M$502,"APPROVED",$Q$3:$Q$502,"&lt;="&amp;Settings!$B$4,$I$3:$I$502,"&lt;="&amp;$I414))</f>
        <v/>
      </c>
      <c r="X414" s="21" t="str">
        <f>IF(OR($C414="", $M414&lt;&gt;"APPROVED",$I414="", $U414=0),"",SUMIFS($U$3:$U$502,$H$3:$H$502,$H414,$M$3:$M$502,"APPROVED",$Q$3:$Q$502,"&lt;="&amp;Settings!$B$5,$I$3:$I$502,"&lt;="&amp;$I414))</f>
        <v/>
      </c>
      <c r="Y414" s="21" t="str">
        <f>IF($P414="","",IFERROR(MATCH($P414,Lists!$H$2:$H$4,0),""))</f>
        <v/>
      </c>
      <c r="Z414" s="21" t="str">
        <f t="shared" si="8"/>
        <v/>
      </c>
    </row>
    <row r="415" spans="1:26" ht="15.75" customHeight="1" x14ac:dyDescent="0.3">
      <c r="A415" s="16" t="str">
        <f t="shared" si="9"/>
        <v/>
      </c>
      <c r="B415" s="28"/>
      <c r="C415" s="29"/>
      <c r="D415" s="16"/>
      <c r="E415" s="16"/>
      <c r="F415" s="16"/>
      <c r="G415" s="16"/>
      <c r="H415" s="16"/>
      <c r="I415" s="31"/>
      <c r="J415" s="15"/>
      <c r="K415" s="15"/>
      <c r="L415" s="15"/>
      <c r="M415" s="16"/>
      <c r="N415" s="17"/>
      <c r="O415" s="19" t="str">
        <f t="shared" si="5"/>
        <v/>
      </c>
      <c r="P415" s="17"/>
      <c r="Q415" s="17" t="str">
        <f t="shared" ca="1" si="6"/>
        <v/>
      </c>
      <c r="R415" s="21" t="str">
        <f ca="1">IF($Q415="","",IF($Q415&lt;=Settings!$B$8,Settings!$C$8,IF($Q415&lt;=Settings!$B$9,Settings!$C$9,IF($Q415&lt;=Settings!$B$10,Settings!$C$10,IF($Q415&lt;=Settings!$B$11,Settings!$C$11,Settings!$C$12)))))</f>
        <v/>
      </c>
      <c r="S415" s="21" t="str">
        <f>IF($F415="","",IFERROR(VLOOKUP($F415,Settings!$E$8:$F$11,2,FALSE),0))</f>
        <v/>
      </c>
      <c r="T415" s="21">
        <f>IF($G415="",Settings!$B$16,1)</f>
        <v>1</v>
      </c>
      <c r="U415" s="21" t="str">
        <f t="shared" si="7"/>
        <v/>
      </c>
      <c r="V415" s="32" t="str">
        <f>IF($C415="","",IF($Q415&gt;Settings!$B$4,IF($G415="","|","")&amp;"OLD_7D","")&amp;IF($Q415&gt;Settings!$B$5,IF(OR($G415="", $Q415&gt;Settings!$B$4),"|","")&amp;"OLD_30D",""))</f>
        <v/>
      </c>
      <c r="W415" s="21" t="str">
        <f>IF(OR($C415="", $M415&lt;&gt;"APPROVED",$I415="", $U415=0),"",SUMIFS($U$3:$U$502,$H$3:$H$502,$H415,$M$3:$M$502,"APPROVED",$Q$3:$Q$502,"&lt;="&amp;Settings!$B$4,$I$3:$I$502,"&lt;="&amp;$I415))</f>
        <v/>
      </c>
      <c r="X415" s="21" t="str">
        <f>IF(OR($C415="", $M415&lt;&gt;"APPROVED",$I415="", $U415=0),"",SUMIFS($U$3:$U$502,$H$3:$H$502,$H415,$M$3:$M$502,"APPROVED",$Q$3:$Q$502,"&lt;="&amp;Settings!$B$5,$I$3:$I$502,"&lt;="&amp;$I415))</f>
        <v/>
      </c>
      <c r="Y415" s="21" t="str">
        <f>IF($P415="","",IFERROR(MATCH($P415,Lists!$H$2:$H$4,0),""))</f>
        <v/>
      </c>
      <c r="Z415" s="21" t="str">
        <f t="shared" si="8"/>
        <v/>
      </c>
    </row>
    <row r="416" spans="1:26" ht="15.75" customHeight="1" x14ac:dyDescent="0.3">
      <c r="A416" s="16" t="str">
        <f t="shared" si="9"/>
        <v/>
      </c>
      <c r="B416" s="28"/>
      <c r="C416" s="29"/>
      <c r="D416" s="16"/>
      <c r="E416" s="16"/>
      <c r="F416" s="16"/>
      <c r="G416" s="16"/>
      <c r="H416" s="16"/>
      <c r="I416" s="31"/>
      <c r="J416" s="15"/>
      <c r="K416" s="15"/>
      <c r="L416" s="15"/>
      <c r="M416" s="16"/>
      <c r="N416" s="17"/>
      <c r="O416" s="19" t="str">
        <f t="shared" si="5"/>
        <v/>
      </c>
      <c r="P416" s="17"/>
      <c r="Q416" s="17" t="str">
        <f t="shared" ca="1" si="6"/>
        <v/>
      </c>
      <c r="R416" s="21" t="str">
        <f ca="1">IF($Q416="","",IF($Q416&lt;=Settings!$B$8,Settings!$C$8,IF($Q416&lt;=Settings!$B$9,Settings!$C$9,IF($Q416&lt;=Settings!$B$10,Settings!$C$10,IF($Q416&lt;=Settings!$B$11,Settings!$C$11,Settings!$C$12)))))</f>
        <v/>
      </c>
      <c r="S416" s="21" t="str">
        <f>IF($F416="","",IFERROR(VLOOKUP($F416,Settings!$E$8:$F$11,2,FALSE),0))</f>
        <v/>
      </c>
      <c r="T416" s="21">
        <f>IF($G416="",Settings!$B$16,1)</f>
        <v>1</v>
      </c>
      <c r="U416" s="21" t="str">
        <f t="shared" si="7"/>
        <v/>
      </c>
      <c r="V416" s="32" t="str">
        <f>IF($C416="","",IF($Q416&gt;Settings!$B$4,IF($G416="","|","")&amp;"OLD_7D","")&amp;IF($Q416&gt;Settings!$B$5,IF(OR($G416="", $Q416&gt;Settings!$B$4),"|","")&amp;"OLD_30D",""))</f>
        <v/>
      </c>
      <c r="W416" s="21" t="str">
        <f>IF(OR($C416="", $M416&lt;&gt;"APPROVED",$I416="", $U416=0),"",SUMIFS($U$3:$U$502,$H$3:$H$502,$H416,$M$3:$M$502,"APPROVED",$Q$3:$Q$502,"&lt;="&amp;Settings!$B$4,$I$3:$I$502,"&lt;="&amp;$I416))</f>
        <v/>
      </c>
      <c r="X416" s="21" t="str">
        <f>IF(OR($C416="", $M416&lt;&gt;"APPROVED",$I416="", $U416=0),"",SUMIFS($U$3:$U$502,$H$3:$H$502,$H416,$M$3:$M$502,"APPROVED",$Q$3:$Q$502,"&lt;="&amp;Settings!$B$5,$I$3:$I$502,"&lt;="&amp;$I416))</f>
        <v/>
      </c>
      <c r="Y416" s="21" t="str">
        <f>IF($P416="","",IFERROR(MATCH($P416,Lists!$H$2:$H$4,0),""))</f>
        <v/>
      </c>
      <c r="Z416" s="21" t="str">
        <f t="shared" si="8"/>
        <v/>
      </c>
    </row>
    <row r="417" spans="1:26" ht="15.75" customHeight="1" x14ac:dyDescent="0.3">
      <c r="A417" s="16" t="str">
        <f t="shared" si="9"/>
        <v/>
      </c>
      <c r="B417" s="28"/>
      <c r="C417" s="29"/>
      <c r="D417" s="16"/>
      <c r="E417" s="16"/>
      <c r="F417" s="16"/>
      <c r="G417" s="16"/>
      <c r="H417" s="16"/>
      <c r="I417" s="31"/>
      <c r="J417" s="15"/>
      <c r="K417" s="15"/>
      <c r="L417" s="15"/>
      <c r="M417" s="16"/>
      <c r="N417" s="17"/>
      <c r="O417" s="19" t="str">
        <f t="shared" si="5"/>
        <v/>
      </c>
      <c r="P417" s="17"/>
      <c r="Q417" s="17" t="str">
        <f t="shared" ca="1" si="6"/>
        <v/>
      </c>
      <c r="R417" s="21" t="str">
        <f ca="1">IF($Q417="","",IF($Q417&lt;=Settings!$B$8,Settings!$C$8,IF($Q417&lt;=Settings!$B$9,Settings!$C$9,IF($Q417&lt;=Settings!$B$10,Settings!$C$10,IF($Q417&lt;=Settings!$B$11,Settings!$C$11,Settings!$C$12)))))</f>
        <v/>
      </c>
      <c r="S417" s="21" t="str">
        <f>IF($F417="","",IFERROR(VLOOKUP($F417,Settings!$E$8:$F$11,2,FALSE),0))</f>
        <v/>
      </c>
      <c r="T417" s="21">
        <f>IF($G417="",Settings!$B$16,1)</f>
        <v>1</v>
      </c>
      <c r="U417" s="21" t="str">
        <f t="shared" si="7"/>
        <v/>
      </c>
      <c r="V417" s="32" t="str">
        <f>IF($C417="","",IF($Q417&gt;Settings!$B$4,IF($G417="","|","")&amp;"OLD_7D","")&amp;IF($Q417&gt;Settings!$B$5,IF(OR($G417="", $Q417&gt;Settings!$B$4),"|","")&amp;"OLD_30D",""))</f>
        <v/>
      </c>
      <c r="W417" s="21" t="str">
        <f>IF(OR($C417="", $M417&lt;&gt;"APPROVED",$I417="", $U417=0),"",SUMIFS($U$3:$U$502,$H$3:$H$502,$H417,$M$3:$M$502,"APPROVED",$Q$3:$Q$502,"&lt;="&amp;Settings!$B$4,$I$3:$I$502,"&lt;="&amp;$I417))</f>
        <v/>
      </c>
      <c r="X417" s="21" t="str">
        <f>IF(OR($C417="", $M417&lt;&gt;"APPROVED",$I417="", $U417=0),"",SUMIFS($U$3:$U$502,$H$3:$H$502,$H417,$M$3:$M$502,"APPROVED",$Q$3:$Q$502,"&lt;="&amp;Settings!$B$5,$I$3:$I$502,"&lt;="&amp;$I417))</f>
        <v/>
      </c>
      <c r="Y417" s="21" t="str">
        <f>IF($P417="","",IFERROR(MATCH($P417,Lists!$H$2:$H$4,0),""))</f>
        <v/>
      </c>
      <c r="Z417" s="21" t="str">
        <f t="shared" si="8"/>
        <v/>
      </c>
    </row>
    <row r="418" spans="1:26" ht="15.75" customHeight="1" x14ac:dyDescent="0.3">
      <c r="A418" s="16" t="str">
        <f t="shared" si="9"/>
        <v/>
      </c>
      <c r="B418" s="28"/>
      <c r="C418" s="29"/>
      <c r="D418" s="16"/>
      <c r="E418" s="16"/>
      <c r="F418" s="16"/>
      <c r="G418" s="16"/>
      <c r="H418" s="16"/>
      <c r="I418" s="31"/>
      <c r="J418" s="15"/>
      <c r="K418" s="15"/>
      <c r="L418" s="15"/>
      <c r="M418" s="16"/>
      <c r="N418" s="17"/>
      <c r="O418" s="19" t="str">
        <f t="shared" si="5"/>
        <v/>
      </c>
      <c r="P418" s="17"/>
      <c r="Q418" s="17" t="str">
        <f t="shared" ca="1" si="6"/>
        <v/>
      </c>
      <c r="R418" s="21" t="str">
        <f ca="1">IF($Q418="","",IF($Q418&lt;=Settings!$B$8,Settings!$C$8,IF($Q418&lt;=Settings!$B$9,Settings!$C$9,IF($Q418&lt;=Settings!$B$10,Settings!$C$10,IF($Q418&lt;=Settings!$B$11,Settings!$C$11,Settings!$C$12)))))</f>
        <v/>
      </c>
      <c r="S418" s="21" t="str">
        <f>IF($F418="","",IFERROR(VLOOKUP($F418,Settings!$E$8:$F$11,2,FALSE),0))</f>
        <v/>
      </c>
      <c r="T418" s="21">
        <f>IF($G418="",Settings!$B$16,1)</f>
        <v>1</v>
      </c>
      <c r="U418" s="21" t="str">
        <f t="shared" si="7"/>
        <v/>
      </c>
      <c r="V418" s="32" t="str">
        <f>IF($C418="","",IF($Q418&gt;Settings!$B$4,IF($G418="","|","")&amp;"OLD_7D","")&amp;IF($Q418&gt;Settings!$B$5,IF(OR($G418="", $Q418&gt;Settings!$B$4),"|","")&amp;"OLD_30D",""))</f>
        <v/>
      </c>
      <c r="W418" s="21" t="str">
        <f>IF(OR($C418="", $M418&lt;&gt;"APPROVED",$I418="", $U418=0),"",SUMIFS($U$3:$U$502,$H$3:$H$502,$H418,$M$3:$M$502,"APPROVED",$Q$3:$Q$502,"&lt;="&amp;Settings!$B$4,$I$3:$I$502,"&lt;="&amp;$I418))</f>
        <v/>
      </c>
      <c r="X418" s="21" t="str">
        <f>IF(OR($C418="", $M418&lt;&gt;"APPROVED",$I418="", $U418=0),"",SUMIFS($U$3:$U$502,$H$3:$H$502,$H418,$M$3:$M$502,"APPROVED",$Q$3:$Q$502,"&lt;="&amp;Settings!$B$5,$I$3:$I$502,"&lt;="&amp;$I418))</f>
        <v/>
      </c>
      <c r="Y418" s="21" t="str">
        <f>IF($P418="","",IFERROR(MATCH($P418,Lists!$H$2:$H$4,0),""))</f>
        <v/>
      </c>
      <c r="Z418" s="21" t="str">
        <f t="shared" si="8"/>
        <v/>
      </c>
    </row>
    <row r="419" spans="1:26" ht="15.75" customHeight="1" x14ac:dyDescent="0.3">
      <c r="A419" s="16" t="str">
        <f t="shared" si="9"/>
        <v/>
      </c>
      <c r="B419" s="28"/>
      <c r="C419" s="29"/>
      <c r="D419" s="16"/>
      <c r="E419" s="16"/>
      <c r="F419" s="16"/>
      <c r="G419" s="16"/>
      <c r="H419" s="16"/>
      <c r="I419" s="31"/>
      <c r="J419" s="15"/>
      <c r="K419" s="15"/>
      <c r="L419" s="15"/>
      <c r="M419" s="16"/>
      <c r="N419" s="17"/>
      <c r="O419" s="19" t="str">
        <f t="shared" si="5"/>
        <v/>
      </c>
      <c r="P419" s="17"/>
      <c r="Q419" s="17" t="str">
        <f t="shared" ca="1" si="6"/>
        <v/>
      </c>
      <c r="R419" s="21" t="str">
        <f ca="1">IF($Q419="","",IF($Q419&lt;=Settings!$B$8,Settings!$C$8,IF($Q419&lt;=Settings!$B$9,Settings!$C$9,IF($Q419&lt;=Settings!$B$10,Settings!$C$10,IF($Q419&lt;=Settings!$B$11,Settings!$C$11,Settings!$C$12)))))</f>
        <v/>
      </c>
      <c r="S419" s="21" t="str">
        <f>IF($F419="","",IFERROR(VLOOKUP($F419,Settings!$E$8:$F$11,2,FALSE),0))</f>
        <v/>
      </c>
      <c r="T419" s="21">
        <f>IF($G419="",Settings!$B$16,1)</f>
        <v>1</v>
      </c>
      <c r="U419" s="21" t="str">
        <f t="shared" si="7"/>
        <v/>
      </c>
      <c r="V419" s="32" t="str">
        <f>IF($C419="","",IF($Q419&gt;Settings!$B$4,IF($G419="","|","")&amp;"OLD_7D","")&amp;IF($Q419&gt;Settings!$B$5,IF(OR($G419="", $Q419&gt;Settings!$B$4),"|","")&amp;"OLD_30D",""))</f>
        <v/>
      </c>
      <c r="W419" s="21" t="str">
        <f>IF(OR($C419="", $M419&lt;&gt;"APPROVED",$I419="", $U419=0),"",SUMIFS($U$3:$U$502,$H$3:$H$502,$H419,$M$3:$M$502,"APPROVED",$Q$3:$Q$502,"&lt;="&amp;Settings!$B$4,$I$3:$I$502,"&lt;="&amp;$I419))</f>
        <v/>
      </c>
      <c r="X419" s="21" t="str">
        <f>IF(OR($C419="", $M419&lt;&gt;"APPROVED",$I419="", $U419=0),"",SUMIFS($U$3:$U$502,$H$3:$H$502,$H419,$M$3:$M$502,"APPROVED",$Q$3:$Q$502,"&lt;="&amp;Settings!$B$5,$I$3:$I$502,"&lt;="&amp;$I419))</f>
        <v/>
      </c>
      <c r="Y419" s="21" t="str">
        <f>IF($P419="","",IFERROR(MATCH($P419,Lists!$H$2:$H$4,0),""))</f>
        <v/>
      </c>
      <c r="Z419" s="21" t="str">
        <f t="shared" si="8"/>
        <v/>
      </c>
    </row>
    <row r="420" spans="1:26" ht="15.75" customHeight="1" x14ac:dyDescent="0.3">
      <c r="A420" s="16" t="str">
        <f t="shared" si="9"/>
        <v/>
      </c>
      <c r="B420" s="28"/>
      <c r="C420" s="29"/>
      <c r="D420" s="16"/>
      <c r="E420" s="16"/>
      <c r="F420" s="16"/>
      <c r="G420" s="16"/>
      <c r="H420" s="16"/>
      <c r="I420" s="31"/>
      <c r="J420" s="15"/>
      <c r="K420" s="15"/>
      <c r="L420" s="15"/>
      <c r="M420" s="16"/>
      <c r="N420" s="17"/>
      <c r="O420" s="19" t="str">
        <f t="shared" si="5"/>
        <v/>
      </c>
      <c r="P420" s="17"/>
      <c r="Q420" s="17" t="str">
        <f t="shared" ca="1" si="6"/>
        <v/>
      </c>
      <c r="R420" s="21" t="str">
        <f ca="1">IF($Q420="","",IF($Q420&lt;=Settings!$B$8,Settings!$C$8,IF($Q420&lt;=Settings!$B$9,Settings!$C$9,IF($Q420&lt;=Settings!$B$10,Settings!$C$10,IF($Q420&lt;=Settings!$B$11,Settings!$C$11,Settings!$C$12)))))</f>
        <v/>
      </c>
      <c r="S420" s="21" t="str">
        <f>IF($F420="","",IFERROR(VLOOKUP($F420,Settings!$E$8:$F$11,2,FALSE),0))</f>
        <v/>
      </c>
      <c r="T420" s="21">
        <f>IF($G420="",Settings!$B$16,1)</f>
        <v>1</v>
      </c>
      <c r="U420" s="21" t="str">
        <f t="shared" si="7"/>
        <v/>
      </c>
      <c r="V420" s="32" t="str">
        <f>IF($C420="","",IF($Q420&gt;Settings!$B$4,IF($G420="","|","")&amp;"OLD_7D","")&amp;IF($Q420&gt;Settings!$B$5,IF(OR($G420="", $Q420&gt;Settings!$B$4),"|","")&amp;"OLD_30D",""))</f>
        <v/>
      </c>
      <c r="W420" s="21" t="str">
        <f>IF(OR($C420="", $M420&lt;&gt;"APPROVED",$I420="", $U420=0),"",SUMIFS($U$3:$U$502,$H$3:$H$502,$H420,$M$3:$M$502,"APPROVED",$Q$3:$Q$502,"&lt;="&amp;Settings!$B$4,$I$3:$I$502,"&lt;="&amp;$I420))</f>
        <v/>
      </c>
      <c r="X420" s="21" t="str">
        <f>IF(OR($C420="", $M420&lt;&gt;"APPROVED",$I420="", $U420=0),"",SUMIFS($U$3:$U$502,$H$3:$H$502,$H420,$M$3:$M$502,"APPROVED",$Q$3:$Q$502,"&lt;="&amp;Settings!$B$5,$I$3:$I$502,"&lt;="&amp;$I420))</f>
        <v/>
      </c>
      <c r="Y420" s="21" t="str">
        <f>IF($P420="","",IFERROR(MATCH($P420,Lists!$H$2:$H$4,0),""))</f>
        <v/>
      </c>
      <c r="Z420" s="21" t="str">
        <f t="shared" si="8"/>
        <v/>
      </c>
    </row>
    <row r="421" spans="1:26" ht="15.75" customHeight="1" x14ac:dyDescent="0.3">
      <c r="A421" s="16" t="str">
        <f t="shared" si="9"/>
        <v/>
      </c>
      <c r="B421" s="28"/>
      <c r="C421" s="29"/>
      <c r="D421" s="16"/>
      <c r="E421" s="16"/>
      <c r="F421" s="16"/>
      <c r="G421" s="16"/>
      <c r="H421" s="16"/>
      <c r="I421" s="31"/>
      <c r="J421" s="15"/>
      <c r="K421" s="15"/>
      <c r="L421" s="15"/>
      <c r="M421" s="16"/>
      <c r="N421" s="17"/>
      <c r="O421" s="19" t="str">
        <f t="shared" si="5"/>
        <v/>
      </c>
      <c r="P421" s="17"/>
      <c r="Q421" s="17" t="str">
        <f t="shared" ca="1" si="6"/>
        <v/>
      </c>
      <c r="R421" s="21" t="str">
        <f ca="1">IF($Q421="","",IF($Q421&lt;=Settings!$B$8,Settings!$C$8,IF($Q421&lt;=Settings!$B$9,Settings!$C$9,IF($Q421&lt;=Settings!$B$10,Settings!$C$10,IF($Q421&lt;=Settings!$B$11,Settings!$C$11,Settings!$C$12)))))</f>
        <v/>
      </c>
      <c r="S421" s="21" t="str">
        <f>IF($F421="","",IFERROR(VLOOKUP($F421,Settings!$E$8:$F$11,2,FALSE),0))</f>
        <v/>
      </c>
      <c r="T421" s="21">
        <f>IF($G421="",Settings!$B$16,1)</f>
        <v>1</v>
      </c>
      <c r="U421" s="21" t="str">
        <f t="shared" si="7"/>
        <v/>
      </c>
      <c r="V421" s="32" t="str">
        <f>IF($C421="","",IF($Q421&gt;Settings!$B$4,IF($G421="","|","")&amp;"OLD_7D","")&amp;IF($Q421&gt;Settings!$B$5,IF(OR($G421="", $Q421&gt;Settings!$B$4),"|","")&amp;"OLD_30D",""))</f>
        <v/>
      </c>
      <c r="W421" s="21" t="str">
        <f>IF(OR($C421="", $M421&lt;&gt;"APPROVED",$I421="", $U421=0),"",SUMIFS($U$3:$U$502,$H$3:$H$502,$H421,$M$3:$M$502,"APPROVED",$Q$3:$Q$502,"&lt;="&amp;Settings!$B$4,$I$3:$I$502,"&lt;="&amp;$I421))</f>
        <v/>
      </c>
      <c r="X421" s="21" t="str">
        <f>IF(OR($C421="", $M421&lt;&gt;"APPROVED",$I421="", $U421=0),"",SUMIFS($U$3:$U$502,$H$3:$H$502,$H421,$M$3:$M$502,"APPROVED",$Q$3:$Q$502,"&lt;="&amp;Settings!$B$5,$I$3:$I$502,"&lt;="&amp;$I421))</f>
        <v/>
      </c>
      <c r="Y421" s="21" t="str">
        <f>IF($P421="","",IFERROR(MATCH($P421,Lists!$H$2:$H$4,0),""))</f>
        <v/>
      </c>
      <c r="Z421" s="21" t="str">
        <f t="shared" si="8"/>
        <v/>
      </c>
    </row>
    <row r="422" spans="1:26" ht="15.75" customHeight="1" x14ac:dyDescent="0.3">
      <c r="A422" s="16" t="str">
        <f t="shared" si="9"/>
        <v/>
      </c>
      <c r="B422" s="28"/>
      <c r="C422" s="29"/>
      <c r="D422" s="16"/>
      <c r="E422" s="16"/>
      <c r="F422" s="16"/>
      <c r="G422" s="16"/>
      <c r="H422" s="16"/>
      <c r="I422" s="31"/>
      <c r="J422" s="15"/>
      <c r="K422" s="15"/>
      <c r="L422" s="15"/>
      <c r="M422" s="16"/>
      <c r="N422" s="17"/>
      <c r="O422" s="19" t="str">
        <f t="shared" si="5"/>
        <v/>
      </c>
      <c r="P422" s="17"/>
      <c r="Q422" s="17" t="str">
        <f t="shared" ca="1" si="6"/>
        <v/>
      </c>
      <c r="R422" s="21" t="str">
        <f ca="1">IF($Q422="","",IF($Q422&lt;=Settings!$B$8,Settings!$C$8,IF($Q422&lt;=Settings!$B$9,Settings!$C$9,IF($Q422&lt;=Settings!$B$10,Settings!$C$10,IF($Q422&lt;=Settings!$B$11,Settings!$C$11,Settings!$C$12)))))</f>
        <v/>
      </c>
      <c r="S422" s="21" t="str">
        <f>IF($F422="","",IFERROR(VLOOKUP($F422,Settings!$E$8:$F$11,2,FALSE),0))</f>
        <v/>
      </c>
      <c r="T422" s="21">
        <f>IF($G422="",Settings!$B$16,1)</f>
        <v>1</v>
      </c>
      <c r="U422" s="21" t="str">
        <f t="shared" si="7"/>
        <v/>
      </c>
      <c r="V422" s="32" t="str">
        <f>IF($C422="","",IF($Q422&gt;Settings!$B$4,IF($G422="","|","")&amp;"OLD_7D","")&amp;IF($Q422&gt;Settings!$B$5,IF(OR($G422="", $Q422&gt;Settings!$B$4),"|","")&amp;"OLD_30D",""))</f>
        <v/>
      </c>
      <c r="W422" s="21" t="str">
        <f>IF(OR($C422="", $M422&lt;&gt;"APPROVED",$I422="", $U422=0),"",SUMIFS($U$3:$U$502,$H$3:$H$502,$H422,$M$3:$M$502,"APPROVED",$Q$3:$Q$502,"&lt;="&amp;Settings!$B$4,$I$3:$I$502,"&lt;="&amp;$I422))</f>
        <v/>
      </c>
      <c r="X422" s="21" t="str">
        <f>IF(OR($C422="", $M422&lt;&gt;"APPROVED",$I422="", $U422=0),"",SUMIFS($U$3:$U$502,$H$3:$H$502,$H422,$M$3:$M$502,"APPROVED",$Q$3:$Q$502,"&lt;="&amp;Settings!$B$5,$I$3:$I$502,"&lt;="&amp;$I422))</f>
        <v/>
      </c>
      <c r="Y422" s="21" t="str">
        <f>IF($P422="","",IFERROR(MATCH($P422,Lists!$H$2:$H$4,0),""))</f>
        <v/>
      </c>
      <c r="Z422" s="21" t="str">
        <f t="shared" si="8"/>
        <v/>
      </c>
    </row>
    <row r="423" spans="1:26" ht="15.75" customHeight="1" x14ac:dyDescent="0.3">
      <c r="A423" s="16" t="str">
        <f t="shared" si="9"/>
        <v/>
      </c>
      <c r="B423" s="28"/>
      <c r="C423" s="29"/>
      <c r="D423" s="16"/>
      <c r="E423" s="16"/>
      <c r="F423" s="16"/>
      <c r="G423" s="16"/>
      <c r="H423" s="16"/>
      <c r="I423" s="31"/>
      <c r="J423" s="15"/>
      <c r="K423" s="15"/>
      <c r="L423" s="15"/>
      <c r="M423" s="16"/>
      <c r="N423" s="17"/>
      <c r="O423" s="19" t="str">
        <f t="shared" si="5"/>
        <v/>
      </c>
      <c r="P423" s="17"/>
      <c r="Q423" s="17" t="str">
        <f t="shared" ca="1" si="6"/>
        <v/>
      </c>
      <c r="R423" s="21" t="str">
        <f ca="1">IF($Q423="","",IF($Q423&lt;=Settings!$B$8,Settings!$C$8,IF($Q423&lt;=Settings!$B$9,Settings!$C$9,IF($Q423&lt;=Settings!$B$10,Settings!$C$10,IF($Q423&lt;=Settings!$B$11,Settings!$C$11,Settings!$C$12)))))</f>
        <v/>
      </c>
      <c r="S423" s="21" t="str">
        <f>IF($F423="","",IFERROR(VLOOKUP($F423,Settings!$E$8:$F$11,2,FALSE),0))</f>
        <v/>
      </c>
      <c r="T423" s="21">
        <f>IF($G423="",Settings!$B$16,1)</f>
        <v>1</v>
      </c>
      <c r="U423" s="21" t="str">
        <f t="shared" si="7"/>
        <v/>
      </c>
      <c r="V423" s="32" t="str">
        <f>IF($C423="","",IF($Q423&gt;Settings!$B$4,IF($G423="","|","")&amp;"OLD_7D","")&amp;IF($Q423&gt;Settings!$B$5,IF(OR($G423="", $Q423&gt;Settings!$B$4),"|","")&amp;"OLD_30D",""))</f>
        <v/>
      </c>
      <c r="W423" s="21" t="str">
        <f>IF(OR($C423="", $M423&lt;&gt;"APPROVED",$I423="", $U423=0),"",SUMIFS($U$3:$U$502,$H$3:$H$502,$H423,$M$3:$M$502,"APPROVED",$Q$3:$Q$502,"&lt;="&amp;Settings!$B$4,$I$3:$I$502,"&lt;="&amp;$I423))</f>
        <v/>
      </c>
      <c r="X423" s="21" t="str">
        <f>IF(OR($C423="", $M423&lt;&gt;"APPROVED",$I423="", $U423=0),"",SUMIFS($U$3:$U$502,$H$3:$H$502,$H423,$M$3:$M$502,"APPROVED",$Q$3:$Q$502,"&lt;="&amp;Settings!$B$5,$I$3:$I$502,"&lt;="&amp;$I423))</f>
        <v/>
      </c>
      <c r="Y423" s="21" t="str">
        <f>IF($P423="","",IFERROR(MATCH($P423,Lists!$H$2:$H$4,0),""))</f>
        <v/>
      </c>
      <c r="Z423" s="21" t="str">
        <f t="shared" si="8"/>
        <v/>
      </c>
    </row>
    <row r="424" spans="1:26" ht="15.75" customHeight="1" x14ac:dyDescent="0.3">
      <c r="A424" s="16" t="str">
        <f t="shared" si="9"/>
        <v/>
      </c>
      <c r="B424" s="28"/>
      <c r="C424" s="29"/>
      <c r="D424" s="16"/>
      <c r="E424" s="16"/>
      <c r="F424" s="16"/>
      <c r="G424" s="16"/>
      <c r="H424" s="16"/>
      <c r="I424" s="31"/>
      <c r="J424" s="15"/>
      <c r="K424" s="15"/>
      <c r="L424" s="15"/>
      <c r="M424" s="16"/>
      <c r="N424" s="17"/>
      <c r="O424" s="19" t="str">
        <f t="shared" si="5"/>
        <v/>
      </c>
      <c r="P424" s="17"/>
      <c r="Q424" s="17" t="str">
        <f t="shared" ca="1" si="6"/>
        <v/>
      </c>
      <c r="R424" s="21" t="str">
        <f ca="1">IF($Q424="","",IF($Q424&lt;=Settings!$B$8,Settings!$C$8,IF($Q424&lt;=Settings!$B$9,Settings!$C$9,IF($Q424&lt;=Settings!$B$10,Settings!$C$10,IF($Q424&lt;=Settings!$B$11,Settings!$C$11,Settings!$C$12)))))</f>
        <v/>
      </c>
      <c r="S424" s="21" t="str">
        <f>IF($F424="","",IFERROR(VLOOKUP($F424,Settings!$E$8:$F$11,2,FALSE),0))</f>
        <v/>
      </c>
      <c r="T424" s="21">
        <f>IF($G424="",Settings!$B$16,1)</f>
        <v>1</v>
      </c>
      <c r="U424" s="21" t="str">
        <f t="shared" si="7"/>
        <v/>
      </c>
      <c r="V424" s="32" t="str">
        <f>IF($C424="","",IF($Q424&gt;Settings!$B$4,IF($G424="","|","")&amp;"OLD_7D","")&amp;IF($Q424&gt;Settings!$B$5,IF(OR($G424="", $Q424&gt;Settings!$B$4),"|","")&amp;"OLD_30D",""))</f>
        <v/>
      </c>
      <c r="W424" s="21" t="str">
        <f>IF(OR($C424="", $M424&lt;&gt;"APPROVED",$I424="", $U424=0),"",SUMIFS($U$3:$U$502,$H$3:$H$502,$H424,$M$3:$M$502,"APPROVED",$Q$3:$Q$502,"&lt;="&amp;Settings!$B$4,$I$3:$I$502,"&lt;="&amp;$I424))</f>
        <v/>
      </c>
      <c r="X424" s="21" t="str">
        <f>IF(OR($C424="", $M424&lt;&gt;"APPROVED",$I424="", $U424=0),"",SUMIFS($U$3:$U$502,$H$3:$H$502,$H424,$M$3:$M$502,"APPROVED",$Q$3:$Q$502,"&lt;="&amp;Settings!$B$5,$I$3:$I$502,"&lt;="&amp;$I424))</f>
        <v/>
      </c>
      <c r="Y424" s="21" t="str">
        <f>IF($P424="","",IFERROR(MATCH($P424,Lists!$H$2:$H$4,0),""))</f>
        <v/>
      </c>
      <c r="Z424" s="21" t="str">
        <f t="shared" si="8"/>
        <v/>
      </c>
    </row>
    <row r="425" spans="1:26" ht="15.75" customHeight="1" x14ac:dyDescent="0.3">
      <c r="A425" s="16" t="str">
        <f t="shared" si="9"/>
        <v/>
      </c>
      <c r="B425" s="28"/>
      <c r="C425" s="29"/>
      <c r="D425" s="16"/>
      <c r="E425" s="16"/>
      <c r="F425" s="16"/>
      <c r="G425" s="16"/>
      <c r="H425" s="16"/>
      <c r="I425" s="31"/>
      <c r="J425" s="15"/>
      <c r="K425" s="15"/>
      <c r="L425" s="15"/>
      <c r="M425" s="16"/>
      <c r="N425" s="17"/>
      <c r="O425" s="19" t="str">
        <f t="shared" si="5"/>
        <v/>
      </c>
      <c r="P425" s="17"/>
      <c r="Q425" s="17" t="str">
        <f t="shared" ca="1" si="6"/>
        <v/>
      </c>
      <c r="R425" s="21" t="str">
        <f ca="1">IF($Q425="","",IF($Q425&lt;=Settings!$B$8,Settings!$C$8,IF($Q425&lt;=Settings!$B$9,Settings!$C$9,IF($Q425&lt;=Settings!$B$10,Settings!$C$10,IF($Q425&lt;=Settings!$B$11,Settings!$C$11,Settings!$C$12)))))</f>
        <v/>
      </c>
      <c r="S425" s="21" t="str">
        <f>IF($F425="","",IFERROR(VLOOKUP($F425,Settings!$E$8:$F$11,2,FALSE),0))</f>
        <v/>
      </c>
      <c r="T425" s="21">
        <f>IF($G425="",Settings!$B$16,1)</f>
        <v>1</v>
      </c>
      <c r="U425" s="21" t="str">
        <f t="shared" si="7"/>
        <v/>
      </c>
      <c r="V425" s="32" t="str">
        <f>IF($C425="","",IF($Q425&gt;Settings!$B$4,IF($G425="","|","")&amp;"OLD_7D","")&amp;IF($Q425&gt;Settings!$B$5,IF(OR($G425="", $Q425&gt;Settings!$B$4),"|","")&amp;"OLD_30D",""))</f>
        <v/>
      </c>
      <c r="W425" s="21" t="str">
        <f>IF(OR($C425="", $M425&lt;&gt;"APPROVED",$I425="", $U425=0),"",SUMIFS($U$3:$U$502,$H$3:$H$502,$H425,$M$3:$M$502,"APPROVED",$Q$3:$Q$502,"&lt;="&amp;Settings!$B$4,$I$3:$I$502,"&lt;="&amp;$I425))</f>
        <v/>
      </c>
      <c r="X425" s="21" t="str">
        <f>IF(OR($C425="", $M425&lt;&gt;"APPROVED",$I425="", $U425=0),"",SUMIFS($U$3:$U$502,$H$3:$H$502,$H425,$M$3:$M$502,"APPROVED",$Q$3:$Q$502,"&lt;="&amp;Settings!$B$5,$I$3:$I$502,"&lt;="&amp;$I425))</f>
        <v/>
      </c>
      <c r="Y425" s="21" t="str">
        <f>IF($P425="","",IFERROR(MATCH($P425,Lists!$H$2:$H$4,0),""))</f>
        <v/>
      </c>
      <c r="Z425" s="21" t="str">
        <f t="shared" si="8"/>
        <v/>
      </c>
    </row>
    <row r="426" spans="1:26" ht="15.75" customHeight="1" x14ac:dyDescent="0.3">
      <c r="A426" s="16" t="str">
        <f t="shared" si="9"/>
        <v/>
      </c>
      <c r="B426" s="28"/>
      <c r="C426" s="29"/>
      <c r="D426" s="16"/>
      <c r="E426" s="16"/>
      <c r="F426" s="16"/>
      <c r="G426" s="16"/>
      <c r="H426" s="16"/>
      <c r="I426" s="31"/>
      <c r="J426" s="15"/>
      <c r="K426" s="15"/>
      <c r="L426" s="15"/>
      <c r="M426" s="16"/>
      <c r="N426" s="17"/>
      <c r="O426" s="19" t="str">
        <f t="shared" si="5"/>
        <v/>
      </c>
      <c r="P426" s="17"/>
      <c r="Q426" s="17" t="str">
        <f t="shared" ca="1" si="6"/>
        <v/>
      </c>
      <c r="R426" s="21" t="str">
        <f ca="1">IF($Q426="","",IF($Q426&lt;=Settings!$B$8,Settings!$C$8,IF($Q426&lt;=Settings!$B$9,Settings!$C$9,IF($Q426&lt;=Settings!$B$10,Settings!$C$10,IF($Q426&lt;=Settings!$B$11,Settings!$C$11,Settings!$C$12)))))</f>
        <v/>
      </c>
      <c r="S426" s="21" t="str">
        <f>IF($F426="","",IFERROR(VLOOKUP($F426,Settings!$E$8:$F$11,2,FALSE),0))</f>
        <v/>
      </c>
      <c r="T426" s="21">
        <f>IF($G426="",Settings!$B$16,1)</f>
        <v>1</v>
      </c>
      <c r="U426" s="21" t="str">
        <f t="shared" si="7"/>
        <v/>
      </c>
      <c r="V426" s="32" t="str">
        <f>IF($C426="","",IF($Q426&gt;Settings!$B$4,IF($G426="","|","")&amp;"OLD_7D","")&amp;IF($Q426&gt;Settings!$B$5,IF(OR($G426="", $Q426&gt;Settings!$B$4),"|","")&amp;"OLD_30D",""))</f>
        <v/>
      </c>
      <c r="W426" s="21" t="str">
        <f>IF(OR($C426="", $M426&lt;&gt;"APPROVED",$I426="", $U426=0),"",SUMIFS($U$3:$U$502,$H$3:$H$502,$H426,$M$3:$M$502,"APPROVED",$Q$3:$Q$502,"&lt;="&amp;Settings!$B$4,$I$3:$I$502,"&lt;="&amp;$I426))</f>
        <v/>
      </c>
      <c r="X426" s="21" t="str">
        <f>IF(OR($C426="", $M426&lt;&gt;"APPROVED",$I426="", $U426=0),"",SUMIFS($U$3:$U$502,$H$3:$H$502,$H426,$M$3:$M$502,"APPROVED",$Q$3:$Q$502,"&lt;="&amp;Settings!$B$5,$I$3:$I$502,"&lt;="&amp;$I426))</f>
        <v/>
      </c>
      <c r="Y426" s="21" t="str">
        <f>IF($P426="","",IFERROR(MATCH($P426,Lists!$H$2:$H$4,0),""))</f>
        <v/>
      </c>
      <c r="Z426" s="21" t="str">
        <f t="shared" si="8"/>
        <v/>
      </c>
    </row>
    <row r="427" spans="1:26" ht="15.75" customHeight="1" x14ac:dyDescent="0.3">
      <c r="A427" s="16" t="str">
        <f t="shared" si="9"/>
        <v/>
      </c>
      <c r="B427" s="28"/>
      <c r="C427" s="29"/>
      <c r="D427" s="16"/>
      <c r="E427" s="16"/>
      <c r="F427" s="16"/>
      <c r="G427" s="16"/>
      <c r="H427" s="16"/>
      <c r="I427" s="31"/>
      <c r="J427" s="15"/>
      <c r="K427" s="15"/>
      <c r="L427" s="15"/>
      <c r="M427" s="16"/>
      <c r="N427" s="17"/>
      <c r="O427" s="19" t="str">
        <f t="shared" si="5"/>
        <v/>
      </c>
      <c r="P427" s="17"/>
      <c r="Q427" s="17" t="str">
        <f t="shared" ca="1" si="6"/>
        <v/>
      </c>
      <c r="R427" s="21" t="str">
        <f ca="1">IF($Q427="","",IF($Q427&lt;=Settings!$B$8,Settings!$C$8,IF($Q427&lt;=Settings!$B$9,Settings!$C$9,IF($Q427&lt;=Settings!$B$10,Settings!$C$10,IF($Q427&lt;=Settings!$B$11,Settings!$C$11,Settings!$C$12)))))</f>
        <v/>
      </c>
      <c r="S427" s="21" t="str">
        <f>IF($F427="","",IFERROR(VLOOKUP($F427,Settings!$E$8:$F$11,2,FALSE),0))</f>
        <v/>
      </c>
      <c r="T427" s="21">
        <f>IF($G427="",Settings!$B$16,1)</f>
        <v>1</v>
      </c>
      <c r="U427" s="21" t="str">
        <f t="shared" si="7"/>
        <v/>
      </c>
      <c r="V427" s="32" t="str">
        <f>IF($C427="","",IF($Q427&gt;Settings!$B$4,IF($G427="","|","")&amp;"OLD_7D","")&amp;IF($Q427&gt;Settings!$B$5,IF(OR($G427="", $Q427&gt;Settings!$B$4),"|","")&amp;"OLD_30D",""))</f>
        <v/>
      </c>
      <c r="W427" s="21" t="str">
        <f>IF(OR($C427="", $M427&lt;&gt;"APPROVED",$I427="", $U427=0),"",SUMIFS($U$3:$U$502,$H$3:$H$502,$H427,$M$3:$M$502,"APPROVED",$Q$3:$Q$502,"&lt;="&amp;Settings!$B$4,$I$3:$I$502,"&lt;="&amp;$I427))</f>
        <v/>
      </c>
      <c r="X427" s="21" t="str">
        <f>IF(OR($C427="", $M427&lt;&gt;"APPROVED",$I427="", $U427=0),"",SUMIFS($U$3:$U$502,$H$3:$H$502,$H427,$M$3:$M$502,"APPROVED",$Q$3:$Q$502,"&lt;="&amp;Settings!$B$5,$I$3:$I$502,"&lt;="&amp;$I427))</f>
        <v/>
      </c>
      <c r="Y427" s="21" t="str">
        <f>IF($P427="","",IFERROR(MATCH($P427,Lists!$H$2:$H$4,0),""))</f>
        <v/>
      </c>
      <c r="Z427" s="21" t="str">
        <f t="shared" si="8"/>
        <v/>
      </c>
    </row>
    <row r="428" spans="1:26" ht="15.75" customHeight="1" x14ac:dyDescent="0.3">
      <c r="A428" s="16" t="str">
        <f t="shared" si="9"/>
        <v/>
      </c>
      <c r="B428" s="28"/>
      <c r="C428" s="29"/>
      <c r="D428" s="16"/>
      <c r="E428" s="16"/>
      <c r="F428" s="16"/>
      <c r="G428" s="16"/>
      <c r="H428" s="16"/>
      <c r="I428" s="31"/>
      <c r="J428" s="15"/>
      <c r="K428" s="15"/>
      <c r="L428" s="15"/>
      <c r="M428" s="16"/>
      <c r="N428" s="17"/>
      <c r="O428" s="19" t="str">
        <f t="shared" si="5"/>
        <v/>
      </c>
      <c r="P428" s="17"/>
      <c r="Q428" s="17" t="str">
        <f t="shared" ca="1" si="6"/>
        <v/>
      </c>
      <c r="R428" s="21" t="str">
        <f ca="1">IF($Q428="","",IF($Q428&lt;=Settings!$B$8,Settings!$C$8,IF($Q428&lt;=Settings!$B$9,Settings!$C$9,IF($Q428&lt;=Settings!$B$10,Settings!$C$10,IF($Q428&lt;=Settings!$B$11,Settings!$C$11,Settings!$C$12)))))</f>
        <v/>
      </c>
      <c r="S428" s="21" t="str">
        <f>IF($F428="","",IFERROR(VLOOKUP($F428,Settings!$E$8:$F$11,2,FALSE),0))</f>
        <v/>
      </c>
      <c r="T428" s="21">
        <f>IF($G428="",Settings!$B$16,1)</f>
        <v>1</v>
      </c>
      <c r="U428" s="21" t="str">
        <f t="shared" si="7"/>
        <v/>
      </c>
      <c r="V428" s="32" t="str">
        <f>IF($C428="","",IF($Q428&gt;Settings!$B$4,IF($G428="","|","")&amp;"OLD_7D","")&amp;IF($Q428&gt;Settings!$B$5,IF(OR($G428="", $Q428&gt;Settings!$B$4),"|","")&amp;"OLD_30D",""))</f>
        <v/>
      </c>
      <c r="W428" s="21" t="str">
        <f>IF(OR($C428="", $M428&lt;&gt;"APPROVED",$I428="", $U428=0),"",SUMIFS($U$3:$U$502,$H$3:$H$502,$H428,$M$3:$M$502,"APPROVED",$Q$3:$Q$502,"&lt;="&amp;Settings!$B$4,$I$3:$I$502,"&lt;="&amp;$I428))</f>
        <v/>
      </c>
      <c r="X428" s="21" t="str">
        <f>IF(OR($C428="", $M428&lt;&gt;"APPROVED",$I428="", $U428=0),"",SUMIFS($U$3:$U$502,$H$3:$H$502,$H428,$M$3:$M$502,"APPROVED",$Q$3:$Q$502,"&lt;="&amp;Settings!$B$5,$I$3:$I$502,"&lt;="&amp;$I428))</f>
        <v/>
      </c>
      <c r="Y428" s="21" t="str">
        <f>IF($P428="","",IFERROR(MATCH($P428,Lists!$H$2:$H$4,0),""))</f>
        <v/>
      </c>
      <c r="Z428" s="21" t="str">
        <f t="shared" si="8"/>
        <v/>
      </c>
    </row>
    <row r="429" spans="1:26" ht="15.75" customHeight="1" x14ac:dyDescent="0.3">
      <c r="A429" s="16" t="str">
        <f t="shared" si="9"/>
        <v/>
      </c>
      <c r="B429" s="28"/>
      <c r="C429" s="29"/>
      <c r="D429" s="16"/>
      <c r="E429" s="16"/>
      <c r="F429" s="16"/>
      <c r="G429" s="16"/>
      <c r="H429" s="16"/>
      <c r="I429" s="31"/>
      <c r="J429" s="15"/>
      <c r="K429" s="15"/>
      <c r="L429" s="15"/>
      <c r="M429" s="16"/>
      <c r="N429" s="17"/>
      <c r="O429" s="19" t="str">
        <f t="shared" si="5"/>
        <v/>
      </c>
      <c r="P429" s="17"/>
      <c r="Q429" s="17" t="str">
        <f t="shared" ca="1" si="6"/>
        <v/>
      </c>
      <c r="R429" s="21" t="str">
        <f ca="1">IF($Q429="","",IF($Q429&lt;=Settings!$B$8,Settings!$C$8,IF($Q429&lt;=Settings!$B$9,Settings!$C$9,IF($Q429&lt;=Settings!$B$10,Settings!$C$10,IF($Q429&lt;=Settings!$B$11,Settings!$C$11,Settings!$C$12)))))</f>
        <v/>
      </c>
      <c r="S429" s="21" t="str">
        <f>IF($F429="","",IFERROR(VLOOKUP($F429,Settings!$E$8:$F$11,2,FALSE),0))</f>
        <v/>
      </c>
      <c r="T429" s="21">
        <f>IF($G429="",Settings!$B$16,1)</f>
        <v>1</v>
      </c>
      <c r="U429" s="21" t="str">
        <f t="shared" si="7"/>
        <v/>
      </c>
      <c r="V429" s="32" t="str">
        <f>IF($C429="","",IF($Q429&gt;Settings!$B$4,IF($G429="","|","")&amp;"OLD_7D","")&amp;IF($Q429&gt;Settings!$B$5,IF(OR($G429="", $Q429&gt;Settings!$B$4),"|","")&amp;"OLD_30D",""))</f>
        <v/>
      </c>
      <c r="W429" s="21" t="str">
        <f>IF(OR($C429="", $M429&lt;&gt;"APPROVED",$I429="", $U429=0),"",SUMIFS($U$3:$U$502,$H$3:$H$502,$H429,$M$3:$M$502,"APPROVED",$Q$3:$Q$502,"&lt;="&amp;Settings!$B$4,$I$3:$I$502,"&lt;="&amp;$I429))</f>
        <v/>
      </c>
      <c r="X429" s="21" t="str">
        <f>IF(OR($C429="", $M429&lt;&gt;"APPROVED",$I429="", $U429=0),"",SUMIFS($U$3:$U$502,$H$3:$H$502,$H429,$M$3:$M$502,"APPROVED",$Q$3:$Q$502,"&lt;="&amp;Settings!$B$5,$I$3:$I$502,"&lt;="&amp;$I429))</f>
        <v/>
      </c>
      <c r="Y429" s="21" t="str">
        <f>IF($P429="","",IFERROR(MATCH($P429,Lists!$H$2:$H$4,0),""))</f>
        <v/>
      </c>
      <c r="Z429" s="21" t="str">
        <f t="shared" si="8"/>
        <v/>
      </c>
    </row>
    <row r="430" spans="1:26" ht="15.75" customHeight="1" x14ac:dyDescent="0.3">
      <c r="A430" s="16" t="str">
        <f t="shared" si="9"/>
        <v/>
      </c>
      <c r="B430" s="28"/>
      <c r="C430" s="29"/>
      <c r="D430" s="16"/>
      <c r="E430" s="16"/>
      <c r="F430" s="16"/>
      <c r="G430" s="16"/>
      <c r="H430" s="16"/>
      <c r="I430" s="31"/>
      <c r="J430" s="15"/>
      <c r="K430" s="15"/>
      <c r="L430" s="15"/>
      <c r="M430" s="16"/>
      <c r="N430" s="17"/>
      <c r="O430" s="19" t="str">
        <f t="shared" si="5"/>
        <v/>
      </c>
      <c r="P430" s="17"/>
      <c r="Q430" s="17" t="str">
        <f t="shared" ca="1" si="6"/>
        <v/>
      </c>
      <c r="R430" s="21" t="str">
        <f ca="1">IF($Q430="","",IF($Q430&lt;=Settings!$B$8,Settings!$C$8,IF($Q430&lt;=Settings!$B$9,Settings!$C$9,IF($Q430&lt;=Settings!$B$10,Settings!$C$10,IF($Q430&lt;=Settings!$B$11,Settings!$C$11,Settings!$C$12)))))</f>
        <v/>
      </c>
      <c r="S430" s="21" t="str">
        <f>IF($F430="","",IFERROR(VLOOKUP($F430,Settings!$E$8:$F$11,2,FALSE),0))</f>
        <v/>
      </c>
      <c r="T430" s="21">
        <f>IF($G430="",Settings!$B$16,1)</f>
        <v>1</v>
      </c>
      <c r="U430" s="21" t="str">
        <f t="shared" si="7"/>
        <v/>
      </c>
      <c r="V430" s="32" t="str">
        <f>IF($C430="","",IF($Q430&gt;Settings!$B$4,IF($G430="","|","")&amp;"OLD_7D","")&amp;IF($Q430&gt;Settings!$B$5,IF(OR($G430="", $Q430&gt;Settings!$B$4),"|","")&amp;"OLD_30D",""))</f>
        <v/>
      </c>
      <c r="W430" s="21" t="str">
        <f>IF(OR($C430="", $M430&lt;&gt;"APPROVED",$I430="", $U430=0),"",SUMIFS($U$3:$U$502,$H$3:$H$502,$H430,$M$3:$M$502,"APPROVED",$Q$3:$Q$502,"&lt;="&amp;Settings!$B$4,$I$3:$I$502,"&lt;="&amp;$I430))</f>
        <v/>
      </c>
      <c r="X430" s="21" t="str">
        <f>IF(OR($C430="", $M430&lt;&gt;"APPROVED",$I430="", $U430=0),"",SUMIFS($U$3:$U$502,$H$3:$H$502,$H430,$M$3:$M$502,"APPROVED",$Q$3:$Q$502,"&lt;="&amp;Settings!$B$5,$I$3:$I$502,"&lt;="&amp;$I430))</f>
        <v/>
      </c>
      <c r="Y430" s="21" t="str">
        <f>IF($P430="","",IFERROR(MATCH($P430,Lists!$H$2:$H$4,0),""))</f>
        <v/>
      </c>
      <c r="Z430" s="21" t="str">
        <f t="shared" si="8"/>
        <v/>
      </c>
    </row>
    <row r="431" spans="1:26" ht="15.75" customHeight="1" x14ac:dyDescent="0.3">
      <c r="A431" s="16" t="str">
        <f t="shared" si="9"/>
        <v/>
      </c>
      <c r="B431" s="28"/>
      <c r="C431" s="29"/>
      <c r="D431" s="16"/>
      <c r="E431" s="16"/>
      <c r="F431" s="16"/>
      <c r="G431" s="16"/>
      <c r="H431" s="16"/>
      <c r="I431" s="31"/>
      <c r="J431" s="15"/>
      <c r="K431" s="15"/>
      <c r="L431" s="15"/>
      <c r="M431" s="16"/>
      <c r="N431" s="17"/>
      <c r="O431" s="19" t="str">
        <f t="shared" si="5"/>
        <v/>
      </c>
      <c r="P431" s="17"/>
      <c r="Q431" s="17" t="str">
        <f t="shared" ca="1" si="6"/>
        <v/>
      </c>
      <c r="R431" s="21" t="str">
        <f ca="1">IF($Q431="","",IF($Q431&lt;=Settings!$B$8,Settings!$C$8,IF($Q431&lt;=Settings!$B$9,Settings!$C$9,IF($Q431&lt;=Settings!$B$10,Settings!$C$10,IF($Q431&lt;=Settings!$B$11,Settings!$C$11,Settings!$C$12)))))</f>
        <v/>
      </c>
      <c r="S431" s="21" t="str">
        <f>IF($F431="","",IFERROR(VLOOKUP($F431,Settings!$E$8:$F$11,2,FALSE),0))</f>
        <v/>
      </c>
      <c r="T431" s="21">
        <f>IF($G431="",Settings!$B$16,1)</f>
        <v>1</v>
      </c>
      <c r="U431" s="21" t="str">
        <f t="shared" si="7"/>
        <v/>
      </c>
      <c r="V431" s="32" t="str">
        <f>IF($C431="","",IF($Q431&gt;Settings!$B$4,IF($G431="","|","")&amp;"OLD_7D","")&amp;IF($Q431&gt;Settings!$B$5,IF(OR($G431="", $Q431&gt;Settings!$B$4),"|","")&amp;"OLD_30D",""))</f>
        <v/>
      </c>
      <c r="W431" s="21" t="str">
        <f>IF(OR($C431="", $M431&lt;&gt;"APPROVED",$I431="", $U431=0),"",SUMIFS($U$3:$U$502,$H$3:$H$502,$H431,$M$3:$M$502,"APPROVED",$Q$3:$Q$502,"&lt;="&amp;Settings!$B$4,$I$3:$I$502,"&lt;="&amp;$I431))</f>
        <v/>
      </c>
      <c r="X431" s="21" t="str">
        <f>IF(OR($C431="", $M431&lt;&gt;"APPROVED",$I431="", $U431=0),"",SUMIFS($U$3:$U$502,$H$3:$H$502,$H431,$M$3:$M$502,"APPROVED",$Q$3:$Q$502,"&lt;="&amp;Settings!$B$5,$I$3:$I$502,"&lt;="&amp;$I431))</f>
        <v/>
      </c>
      <c r="Y431" s="21" t="str">
        <f>IF($P431="","",IFERROR(MATCH($P431,Lists!$H$2:$H$4,0),""))</f>
        <v/>
      </c>
      <c r="Z431" s="21" t="str">
        <f t="shared" si="8"/>
        <v/>
      </c>
    </row>
    <row r="432" spans="1:26" ht="15.75" customHeight="1" x14ac:dyDescent="0.3">
      <c r="A432" s="16" t="str">
        <f t="shared" si="9"/>
        <v/>
      </c>
      <c r="B432" s="28"/>
      <c r="C432" s="29"/>
      <c r="D432" s="16"/>
      <c r="E432" s="16"/>
      <c r="F432" s="16"/>
      <c r="G432" s="16"/>
      <c r="H432" s="16"/>
      <c r="I432" s="31"/>
      <c r="J432" s="15"/>
      <c r="K432" s="15"/>
      <c r="L432" s="15"/>
      <c r="M432" s="16"/>
      <c r="N432" s="17"/>
      <c r="O432" s="19" t="str">
        <f t="shared" si="5"/>
        <v/>
      </c>
      <c r="P432" s="17"/>
      <c r="Q432" s="17" t="str">
        <f t="shared" ca="1" si="6"/>
        <v/>
      </c>
      <c r="R432" s="21" t="str">
        <f ca="1">IF($Q432="","",IF($Q432&lt;=Settings!$B$8,Settings!$C$8,IF($Q432&lt;=Settings!$B$9,Settings!$C$9,IF($Q432&lt;=Settings!$B$10,Settings!$C$10,IF($Q432&lt;=Settings!$B$11,Settings!$C$11,Settings!$C$12)))))</f>
        <v/>
      </c>
      <c r="S432" s="21" t="str">
        <f>IF($F432="","",IFERROR(VLOOKUP($F432,Settings!$E$8:$F$11,2,FALSE),0))</f>
        <v/>
      </c>
      <c r="T432" s="21">
        <f>IF($G432="",Settings!$B$16,1)</f>
        <v>1</v>
      </c>
      <c r="U432" s="21" t="str">
        <f t="shared" si="7"/>
        <v/>
      </c>
      <c r="V432" s="32" t="str">
        <f>IF($C432="","",IF($Q432&gt;Settings!$B$4,IF($G432="","|","")&amp;"OLD_7D","")&amp;IF($Q432&gt;Settings!$B$5,IF(OR($G432="", $Q432&gt;Settings!$B$4),"|","")&amp;"OLD_30D",""))</f>
        <v/>
      </c>
      <c r="W432" s="21" t="str">
        <f>IF(OR($C432="", $M432&lt;&gt;"APPROVED",$I432="", $U432=0),"",SUMIFS($U$3:$U$502,$H$3:$H$502,$H432,$M$3:$M$502,"APPROVED",$Q$3:$Q$502,"&lt;="&amp;Settings!$B$4,$I$3:$I$502,"&lt;="&amp;$I432))</f>
        <v/>
      </c>
      <c r="X432" s="21" t="str">
        <f>IF(OR($C432="", $M432&lt;&gt;"APPROVED",$I432="", $U432=0),"",SUMIFS($U$3:$U$502,$H$3:$H$502,$H432,$M$3:$M$502,"APPROVED",$Q$3:$Q$502,"&lt;="&amp;Settings!$B$5,$I$3:$I$502,"&lt;="&amp;$I432))</f>
        <v/>
      </c>
      <c r="Y432" s="21" t="str">
        <f>IF($P432="","",IFERROR(MATCH($P432,Lists!$H$2:$H$4,0),""))</f>
        <v/>
      </c>
      <c r="Z432" s="21" t="str">
        <f t="shared" si="8"/>
        <v/>
      </c>
    </row>
    <row r="433" spans="1:26" ht="15.75" customHeight="1" x14ac:dyDescent="0.3">
      <c r="A433" s="16" t="str">
        <f t="shared" si="9"/>
        <v/>
      </c>
      <c r="B433" s="28"/>
      <c r="C433" s="29"/>
      <c r="D433" s="16"/>
      <c r="E433" s="16"/>
      <c r="F433" s="16"/>
      <c r="G433" s="16"/>
      <c r="H433" s="16"/>
      <c r="I433" s="31"/>
      <c r="J433" s="15"/>
      <c r="K433" s="15"/>
      <c r="L433" s="15"/>
      <c r="M433" s="16"/>
      <c r="N433" s="17"/>
      <c r="O433" s="19" t="str">
        <f t="shared" si="5"/>
        <v/>
      </c>
      <c r="P433" s="17"/>
      <c r="Q433" s="17" t="str">
        <f t="shared" ca="1" si="6"/>
        <v/>
      </c>
      <c r="R433" s="21" t="str">
        <f ca="1">IF($Q433="","",IF($Q433&lt;=Settings!$B$8,Settings!$C$8,IF($Q433&lt;=Settings!$B$9,Settings!$C$9,IF($Q433&lt;=Settings!$B$10,Settings!$C$10,IF($Q433&lt;=Settings!$B$11,Settings!$C$11,Settings!$C$12)))))</f>
        <v/>
      </c>
      <c r="S433" s="21" t="str">
        <f>IF($F433="","",IFERROR(VLOOKUP($F433,Settings!$E$8:$F$11,2,FALSE),0))</f>
        <v/>
      </c>
      <c r="T433" s="21">
        <f>IF($G433="",Settings!$B$16,1)</f>
        <v>1</v>
      </c>
      <c r="U433" s="21" t="str">
        <f t="shared" si="7"/>
        <v/>
      </c>
      <c r="V433" s="32" t="str">
        <f>IF($C433="","",IF($Q433&gt;Settings!$B$4,IF($G433="","|","")&amp;"OLD_7D","")&amp;IF($Q433&gt;Settings!$B$5,IF(OR($G433="", $Q433&gt;Settings!$B$4),"|","")&amp;"OLD_30D",""))</f>
        <v/>
      </c>
      <c r="W433" s="21" t="str">
        <f>IF(OR($C433="", $M433&lt;&gt;"APPROVED",$I433="", $U433=0),"",SUMIFS($U$3:$U$502,$H$3:$H$502,$H433,$M$3:$M$502,"APPROVED",$Q$3:$Q$502,"&lt;="&amp;Settings!$B$4,$I$3:$I$502,"&lt;="&amp;$I433))</f>
        <v/>
      </c>
      <c r="X433" s="21" t="str">
        <f>IF(OR($C433="", $M433&lt;&gt;"APPROVED",$I433="", $U433=0),"",SUMIFS($U$3:$U$502,$H$3:$H$502,$H433,$M$3:$M$502,"APPROVED",$Q$3:$Q$502,"&lt;="&amp;Settings!$B$5,$I$3:$I$502,"&lt;="&amp;$I433))</f>
        <v/>
      </c>
      <c r="Y433" s="21" t="str">
        <f>IF($P433="","",IFERROR(MATCH($P433,Lists!$H$2:$H$4,0),""))</f>
        <v/>
      </c>
      <c r="Z433" s="21" t="str">
        <f t="shared" si="8"/>
        <v/>
      </c>
    </row>
    <row r="434" spans="1:26" ht="15.75" customHeight="1" x14ac:dyDescent="0.3">
      <c r="A434" s="16" t="str">
        <f t="shared" si="9"/>
        <v/>
      </c>
      <c r="B434" s="28"/>
      <c r="C434" s="29"/>
      <c r="D434" s="16"/>
      <c r="E434" s="16"/>
      <c r="F434" s="16"/>
      <c r="G434" s="16"/>
      <c r="H434" s="16"/>
      <c r="I434" s="31"/>
      <c r="J434" s="15"/>
      <c r="K434" s="15"/>
      <c r="L434" s="15"/>
      <c r="M434" s="16"/>
      <c r="N434" s="17"/>
      <c r="O434" s="19" t="str">
        <f t="shared" si="5"/>
        <v/>
      </c>
      <c r="P434" s="17"/>
      <c r="Q434" s="17" t="str">
        <f t="shared" ca="1" si="6"/>
        <v/>
      </c>
      <c r="R434" s="21" t="str">
        <f ca="1">IF($Q434="","",IF($Q434&lt;=Settings!$B$8,Settings!$C$8,IF($Q434&lt;=Settings!$B$9,Settings!$C$9,IF($Q434&lt;=Settings!$B$10,Settings!$C$10,IF($Q434&lt;=Settings!$B$11,Settings!$C$11,Settings!$C$12)))))</f>
        <v/>
      </c>
      <c r="S434" s="21" t="str">
        <f>IF($F434="","",IFERROR(VLOOKUP($F434,Settings!$E$8:$F$11,2,FALSE),0))</f>
        <v/>
      </c>
      <c r="T434" s="21">
        <f>IF($G434="",Settings!$B$16,1)</f>
        <v>1</v>
      </c>
      <c r="U434" s="21" t="str">
        <f t="shared" si="7"/>
        <v/>
      </c>
      <c r="V434" s="32" t="str">
        <f>IF($C434="","",IF($Q434&gt;Settings!$B$4,IF($G434="","|","")&amp;"OLD_7D","")&amp;IF($Q434&gt;Settings!$B$5,IF(OR($G434="", $Q434&gt;Settings!$B$4),"|","")&amp;"OLD_30D",""))</f>
        <v/>
      </c>
      <c r="W434" s="21" t="str">
        <f>IF(OR($C434="", $M434&lt;&gt;"APPROVED",$I434="", $U434=0),"",SUMIFS($U$3:$U$502,$H$3:$H$502,$H434,$M$3:$M$502,"APPROVED",$Q$3:$Q$502,"&lt;="&amp;Settings!$B$4,$I$3:$I$502,"&lt;="&amp;$I434))</f>
        <v/>
      </c>
      <c r="X434" s="21" t="str">
        <f>IF(OR($C434="", $M434&lt;&gt;"APPROVED",$I434="", $U434=0),"",SUMIFS($U$3:$U$502,$H$3:$H$502,$H434,$M$3:$M$502,"APPROVED",$Q$3:$Q$502,"&lt;="&amp;Settings!$B$5,$I$3:$I$502,"&lt;="&amp;$I434))</f>
        <v/>
      </c>
      <c r="Y434" s="21" t="str">
        <f>IF($P434="","",IFERROR(MATCH($P434,Lists!$H$2:$H$4,0),""))</f>
        <v/>
      </c>
      <c r="Z434" s="21" t="str">
        <f t="shared" si="8"/>
        <v/>
      </c>
    </row>
    <row r="435" spans="1:26" ht="15.75" customHeight="1" x14ac:dyDescent="0.3">
      <c r="A435" s="16" t="str">
        <f t="shared" si="9"/>
        <v/>
      </c>
      <c r="B435" s="28"/>
      <c r="C435" s="29"/>
      <c r="D435" s="16"/>
      <c r="E435" s="16"/>
      <c r="F435" s="16"/>
      <c r="G435" s="16"/>
      <c r="H435" s="16"/>
      <c r="I435" s="31"/>
      <c r="J435" s="15"/>
      <c r="K435" s="15"/>
      <c r="L435" s="15"/>
      <c r="M435" s="16"/>
      <c r="N435" s="17"/>
      <c r="O435" s="19" t="str">
        <f t="shared" si="5"/>
        <v/>
      </c>
      <c r="P435" s="17"/>
      <c r="Q435" s="17" t="str">
        <f t="shared" ca="1" si="6"/>
        <v/>
      </c>
      <c r="R435" s="21" t="str">
        <f ca="1">IF($Q435="","",IF($Q435&lt;=Settings!$B$8,Settings!$C$8,IF($Q435&lt;=Settings!$B$9,Settings!$C$9,IF($Q435&lt;=Settings!$B$10,Settings!$C$10,IF($Q435&lt;=Settings!$B$11,Settings!$C$11,Settings!$C$12)))))</f>
        <v/>
      </c>
      <c r="S435" s="21" t="str">
        <f>IF($F435="","",IFERROR(VLOOKUP($F435,Settings!$E$8:$F$11,2,FALSE),0))</f>
        <v/>
      </c>
      <c r="T435" s="21">
        <f>IF($G435="",Settings!$B$16,1)</f>
        <v>1</v>
      </c>
      <c r="U435" s="21" t="str">
        <f t="shared" si="7"/>
        <v/>
      </c>
      <c r="V435" s="32" t="str">
        <f>IF($C435="","",IF($Q435&gt;Settings!$B$4,IF($G435="","|","")&amp;"OLD_7D","")&amp;IF($Q435&gt;Settings!$B$5,IF(OR($G435="", $Q435&gt;Settings!$B$4),"|","")&amp;"OLD_30D",""))</f>
        <v/>
      </c>
      <c r="W435" s="21" t="str">
        <f>IF(OR($C435="", $M435&lt;&gt;"APPROVED",$I435="", $U435=0),"",SUMIFS($U$3:$U$502,$H$3:$H$502,$H435,$M$3:$M$502,"APPROVED",$Q$3:$Q$502,"&lt;="&amp;Settings!$B$4,$I$3:$I$502,"&lt;="&amp;$I435))</f>
        <v/>
      </c>
      <c r="X435" s="21" t="str">
        <f>IF(OR($C435="", $M435&lt;&gt;"APPROVED",$I435="", $U435=0),"",SUMIFS($U$3:$U$502,$H$3:$H$502,$H435,$M$3:$M$502,"APPROVED",$Q$3:$Q$502,"&lt;="&amp;Settings!$B$5,$I$3:$I$502,"&lt;="&amp;$I435))</f>
        <v/>
      </c>
      <c r="Y435" s="21" t="str">
        <f>IF($P435="","",IFERROR(MATCH($P435,Lists!$H$2:$H$4,0),""))</f>
        <v/>
      </c>
      <c r="Z435" s="21" t="str">
        <f t="shared" si="8"/>
        <v/>
      </c>
    </row>
    <row r="436" spans="1:26" ht="15.75" customHeight="1" x14ac:dyDescent="0.3">
      <c r="A436" s="16" t="str">
        <f t="shared" si="9"/>
        <v/>
      </c>
      <c r="B436" s="28"/>
      <c r="C436" s="29"/>
      <c r="D436" s="16"/>
      <c r="E436" s="16"/>
      <c r="F436" s="16"/>
      <c r="G436" s="16"/>
      <c r="H436" s="16"/>
      <c r="I436" s="31"/>
      <c r="J436" s="15"/>
      <c r="K436" s="15"/>
      <c r="L436" s="15"/>
      <c r="M436" s="16"/>
      <c r="N436" s="17"/>
      <c r="O436" s="19" t="str">
        <f t="shared" si="5"/>
        <v/>
      </c>
      <c r="P436" s="17"/>
      <c r="Q436" s="17" t="str">
        <f t="shared" ca="1" si="6"/>
        <v/>
      </c>
      <c r="R436" s="21" t="str">
        <f ca="1">IF($Q436="","",IF($Q436&lt;=Settings!$B$8,Settings!$C$8,IF($Q436&lt;=Settings!$B$9,Settings!$C$9,IF($Q436&lt;=Settings!$B$10,Settings!$C$10,IF($Q436&lt;=Settings!$B$11,Settings!$C$11,Settings!$C$12)))))</f>
        <v/>
      </c>
      <c r="S436" s="21" t="str">
        <f>IF($F436="","",IFERROR(VLOOKUP($F436,Settings!$E$8:$F$11,2,FALSE),0))</f>
        <v/>
      </c>
      <c r="T436" s="21">
        <f>IF($G436="",Settings!$B$16,1)</f>
        <v>1</v>
      </c>
      <c r="U436" s="21" t="str">
        <f t="shared" si="7"/>
        <v/>
      </c>
      <c r="V436" s="32" t="str">
        <f>IF($C436="","",IF($Q436&gt;Settings!$B$4,IF($G436="","|","")&amp;"OLD_7D","")&amp;IF($Q436&gt;Settings!$B$5,IF(OR($G436="", $Q436&gt;Settings!$B$4),"|","")&amp;"OLD_30D",""))</f>
        <v/>
      </c>
      <c r="W436" s="21" t="str">
        <f>IF(OR($C436="", $M436&lt;&gt;"APPROVED",$I436="", $U436=0),"",SUMIFS($U$3:$U$502,$H$3:$H$502,$H436,$M$3:$M$502,"APPROVED",$Q$3:$Q$502,"&lt;="&amp;Settings!$B$4,$I$3:$I$502,"&lt;="&amp;$I436))</f>
        <v/>
      </c>
      <c r="X436" s="21" t="str">
        <f>IF(OR($C436="", $M436&lt;&gt;"APPROVED",$I436="", $U436=0),"",SUMIFS($U$3:$U$502,$H$3:$H$502,$H436,$M$3:$M$502,"APPROVED",$Q$3:$Q$502,"&lt;="&amp;Settings!$B$5,$I$3:$I$502,"&lt;="&amp;$I436))</f>
        <v/>
      </c>
      <c r="Y436" s="21" t="str">
        <f>IF($P436="","",IFERROR(MATCH($P436,Lists!$H$2:$H$4,0),""))</f>
        <v/>
      </c>
      <c r="Z436" s="21" t="str">
        <f t="shared" si="8"/>
        <v/>
      </c>
    </row>
    <row r="437" spans="1:26" ht="15.75" customHeight="1" x14ac:dyDescent="0.3">
      <c r="A437" s="16" t="str">
        <f t="shared" si="9"/>
        <v/>
      </c>
      <c r="B437" s="28"/>
      <c r="C437" s="29"/>
      <c r="D437" s="16"/>
      <c r="E437" s="16"/>
      <c r="F437" s="16"/>
      <c r="G437" s="16"/>
      <c r="H437" s="16"/>
      <c r="I437" s="31"/>
      <c r="J437" s="15"/>
      <c r="K437" s="15"/>
      <c r="L437" s="15"/>
      <c r="M437" s="16"/>
      <c r="N437" s="17"/>
      <c r="O437" s="19" t="str">
        <f t="shared" si="5"/>
        <v/>
      </c>
      <c r="P437" s="17"/>
      <c r="Q437" s="17" t="str">
        <f t="shared" ca="1" si="6"/>
        <v/>
      </c>
      <c r="R437" s="21" t="str">
        <f ca="1">IF($Q437="","",IF($Q437&lt;=Settings!$B$8,Settings!$C$8,IF($Q437&lt;=Settings!$B$9,Settings!$C$9,IF($Q437&lt;=Settings!$B$10,Settings!$C$10,IF($Q437&lt;=Settings!$B$11,Settings!$C$11,Settings!$C$12)))))</f>
        <v/>
      </c>
      <c r="S437" s="21" t="str">
        <f>IF($F437="","",IFERROR(VLOOKUP($F437,Settings!$E$8:$F$11,2,FALSE),0))</f>
        <v/>
      </c>
      <c r="T437" s="21">
        <f>IF($G437="",Settings!$B$16,1)</f>
        <v>1</v>
      </c>
      <c r="U437" s="21" t="str">
        <f t="shared" si="7"/>
        <v/>
      </c>
      <c r="V437" s="32" t="str">
        <f>IF($C437="","",IF($Q437&gt;Settings!$B$4,IF($G437="","|","")&amp;"OLD_7D","")&amp;IF($Q437&gt;Settings!$B$5,IF(OR($G437="", $Q437&gt;Settings!$B$4),"|","")&amp;"OLD_30D",""))</f>
        <v/>
      </c>
      <c r="W437" s="21" t="str">
        <f>IF(OR($C437="", $M437&lt;&gt;"APPROVED",$I437="", $U437=0),"",SUMIFS($U$3:$U$502,$H$3:$H$502,$H437,$M$3:$M$502,"APPROVED",$Q$3:$Q$502,"&lt;="&amp;Settings!$B$4,$I$3:$I$502,"&lt;="&amp;$I437))</f>
        <v/>
      </c>
      <c r="X437" s="21" t="str">
        <f>IF(OR($C437="", $M437&lt;&gt;"APPROVED",$I437="", $U437=0),"",SUMIFS($U$3:$U$502,$H$3:$H$502,$H437,$M$3:$M$502,"APPROVED",$Q$3:$Q$502,"&lt;="&amp;Settings!$B$5,$I$3:$I$502,"&lt;="&amp;$I437))</f>
        <v/>
      </c>
      <c r="Y437" s="21" t="str">
        <f>IF($P437="","",IFERROR(MATCH($P437,Lists!$H$2:$H$4,0),""))</f>
        <v/>
      </c>
      <c r="Z437" s="21" t="str">
        <f t="shared" si="8"/>
        <v/>
      </c>
    </row>
    <row r="438" spans="1:26" ht="15.75" customHeight="1" x14ac:dyDescent="0.3">
      <c r="A438" s="16" t="str">
        <f t="shared" si="9"/>
        <v/>
      </c>
      <c r="B438" s="28"/>
      <c r="C438" s="29"/>
      <c r="D438" s="16"/>
      <c r="E438" s="16"/>
      <c r="F438" s="16"/>
      <c r="G438" s="16"/>
      <c r="H438" s="16"/>
      <c r="I438" s="31"/>
      <c r="J438" s="15"/>
      <c r="K438" s="15"/>
      <c r="L438" s="15"/>
      <c r="M438" s="16"/>
      <c r="N438" s="17"/>
      <c r="O438" s="19" t="str">
        <f t="shared" si="5"/>
        <v/>
      </c>
      <c r="P438" s="17"/>
      <c r="Q438" s="17" t="str">
        <f t="shared" ca="1" si="6"/>
        <v/>
      </c>
      <c r="R438" s="21" t="str">
        <f ca="1">IF($Q438="","",IF($Q438&lt;=Settings!$B$8,Settings!$C$8,IF($Q438&lt;=Settings!$B$9,Settings!$C$9,IF($Q438&lt;=Settings!$B$10,Settings!$C$10,IF($Q438&lt;=Settings!$B$11,Settings!$C$11,Settings!$C$12)))))</f>
        <v/>
      </c>
      <c r="S438" s="21" t="str">
        <f>IF($F438="","",IFERROR(VLOOKUP($F438,Settings!$E$8:$F$11,2,FALSE),0))</f>
        <v/>
      </c>
      <c r="T438" s="21">
        <f>IF($G438="",Settings!$B$16,1)</f>
        <v>1</v>
      </c>
      <c r="U438" s="21" t="str">
        <f t="shared" si="7"/>
        <v/>
      </c>
      <c r="V438" s="32" t="str">
        <f>IF($C438="","",IF($Q438&gt;Settings!$B$4,IF($G438="","|","")&amp;"OLD_7D","")&amp;IF($Q438&gt;Settings!$B$5,IF(OR($G438="", $Q438&gt;Settings!$B$4),"|","")&amp;"OLD_30D",""))</f>
        <v/>
      </c>
      <c r="W438" s="21" t="str">
        <f>IF(OR($C438="", $M438&lt;&gt;"APPROVED",$I438="", $U438=0),"",SUMIFS($U$3:$U$502,$H$3:$H$502,$H438,$M$3:$M$502,"APPROVED",$Q$3:$Q$502,"&lt;="&amp;Settings!$B$4,$I$3:$I$502,"&lt;="&amp;$I438))</f>
        <v/>
      </c>
      <c r="X438" s="21" t="str">
        <f>IF(OR($C438="", $M438&lt;&gt;"APPROVED",$I438="", $U438=0),"",SUMIFS($U$3:$U$502,$H$3:$H$502,$H438,$M$3:$M$502,"APPROVED",$Q$3:$Q$502,"&lt;="&amp;Settings!$B$5,$I$3:$I$502,"&lt;="&amp;$I438))</f>
        <v/>
      </c>
      <c r="Y438" s="21" t="str">
        <f>IF($P438="","",IFERROR(MATCH($P438,Lists!$H$2:$H$4,0),""))</f>
        <v/>
      </c>
      <c r="Z438" s="21" t="str">
        <f t="shared" si="8"/>
        <v/>
      </c>
    </row>
    <row r="439" spans="1:26" ht="15.75" customHeight="1" x14ac:dyDescent="0.3">
      <c r="A439" s="16" t="str">
        <f t="shared" si="9"/>
        <v/>
      </c>
      <c r="B439" s="28"/>
      <c r="C439" s="29"/>
      <c r="D439" s="16"/>
      <c r="E439" s="16"/>
      <c r="F439" s="16"/>
      <c r="G439" s="16"/>
      <c r="H439" s="16"/>
      <c r="I439" s="31"/>
      <c r="J439" s="15"/>
      <c r="K439" s="15"/>
      <c r="L439" s="15"/>
      <c r="M439" s="16"/>
      <c r="N439" s="17"/>
      <c r="O439" s="19" t="str">
        <f t="shared" si="5"/>
        <v/>
      </c>
      <c r="P439" s="17"/>
      <c r="Q439" s="17" t="str">
        <f t="shared" ca="1" si="6"/>
        <v/>
      </c>
      <c r="R439" s="21" t="str">
        <f ca="1">IF($Q439="","",IF($Q439&lt;=Settings!$B$8,Settings!$C$8,IF($Q439&lt;=Settings!$B$9,Settings!$C$9,IF($Q439&lt;=Settings!$B$10,Settings!$C$10,IF($Q439&lt;=Settings!$B$11,Settings!$C$11,Settings!$C$12)))))</f>
        <v/>
      </c>
      <c r="S439" s="21" t="str">
        <f>IF($F439="","",IFERROR(VLOOKUP($F439,Settings!$E$8:$F$11,2,FALSE),0))</f>
        <v/>
      </c>
      <c r="T439" s="21">
        <f>IF($G439="",Settings!$B$16,1)</f>
        <v>1</v>
      </c>
      <c r="U439" s="21" t="str">
        <f t="shared" si="7"/>
        <v/>
      </c>
      <c r="V439" s="32" t="str">
        <f>IF($C439="","",IF($Q439&gt;Settings!$B$4,IF($G439="","|","")&amp;"OLD_7D","")&amp;IF($Q439&gt;Settings!$B$5,IF(OR($G439="", $Q439&gt;Settings!$B$4),"|","")&amp;"OLD_30D",""))</f>
        <v/>
      </c>
      <c r="W439" s="21" t="str">
        <f>IF(OR($C439="", $M439&lt;&gt;"APPROVED",$I439="", $U439=0),"",SUMIFS($U$3:$U$502,$H$3:$H$502,$H439,$M$3:$M$502,"APPROVED",$Q$3:$Q$502,"&lt;="&amp;Settings!$B$4,$I$3:$I$502,"&lt;="&amp;$I439))</f>
        <v/>
      </c>
      <c r="X439" s="21" t="str">
        <f>IF(OR($C439="", $M439&lt;&gt;"APPROVED",$I439="", $U439=0),"",SUMIFS($U$3:$U$502,$H$3:$H$502,$H439,$M$3:$M$502,"APPROVED",$Q$3:$Q$502,"&lt;="&amp;Settings!$B$5,$I$3:$I$502,"&lt;="&amp;$I439))</f>
        <v/>
      </c>
      <c r="Y439" s="21" t="str">
        <f>IF($P439="","",IFERROR(MATCH($P439,Lists!$H$2:$H$4,0),""))</f>
        <v/>
      </c>
      <c r="Z439" s="21" t="str">
        <f t="shared" si="8"/>
        <v/>
      </c>
    </row>
    <row r="440" spans="1:26" ht="15.75" customHeight="1" x14ac:dyDescent="0.3">
      <c r="A440" s="16" t="str">
        <f t="shared" si="9"/>
        <v/>
      </c>
      <c r="B440" s="28"/>
      <c r="C440" s="29"/>
      <c r="D440" s="16"/>
      <c r="E440" s="16"/>
      <c r="F440" s="16"/>
      <c r="G440" s="16"/>
      <c r="H440" s="16"/>
      <c r="I440" s="31"/>
      <c r="J440" s="15"/>
      <c r="K440" s="15"/>
      <c r="L440" s="15"/>
      <c r="M440" s="16"/>
      <c r="N440" s="17"/>
      <c r="O440" s="19" t="str">
        <f t="shared" si="5"/>
        <v/>
      </c>
      <c r="P440" s="17"/>
      <c r="Q440" s="17" t="str">
        <f t="shared" ca="1" si="6"/>
        <v/>
      </c>
      <c r="R440" s="21" t="str">
        <f ca="1">IF($Q440="","",IF($Q440&lt;=Settings!$B$8,Settings!$C$8,IF($Q440&lt;=Settings!$B$9,Settings!$C$9,IF($Q440&lt;=Settings!$B$10,Settings!$C$10,IF($Q440&lt;=Settings!$B$11,Settings!$C$11,Settings!$C$12)))))</f>
        <v/>
      </c>
      <c r="S440" s="21" t="str">
        <f>IF($F440="","",IFERROR(VLOOKUP($F440,Settings!$E$8:$F$11,2,FALSE),0))</f>
        <v/>
      </c>
      <c r="T440" s="21">
        <f>IF($G440="",Settings!$B$16,1)</f>
        <v>1</v>
      </c>
      <c r="U440" s="21" t="str">
        <f t="shared" si="7"/>
        <v/>
      </c>
      <c r="V440" s="32" t="str">
        <f>IF($C440="","",IF($Q440&gt;Settings!$B$4,IF($G440="","|","")&amp;"OLD_7D","")&amp;IF($Q440&gt;Settings!$B$5,IF(OR($G440="", $Q440&gt;Settings!$B$4),"|","")&amp;"OLD_30D",""))</f>
        <v/>
      </c>
      <c r="W440" s="21" t="str">
        <f>IF(OR($C440="", $M440&lt;&gt;"APPROVED",$I440="", $U440=0),"",SUMIFS($U$3:$U$502,$H$3:$H$502,$H440,$M$3:$M$502,"APPROVED",$Q$3:$Q$502,"&lt;="&amp;Settings!$B$4,$I$3:$I$502,"&lt;="&amp;$I440))</f>
        <v/>
      </c>
      <c r="X440" s="21" t="str">
        <f>IF(OR($C440="", $M440&lt;&gt;"APPROVED",$I440="", $U440=0),"",SUMIFS($U$3:$U$502,$H$3:$H$502,$H440,$M$3:$M$502,"APPROVED",$Q$3:$Q$502,"&lt;="&amp;Settings!$B$5,$I$3:$I$502,"&lt;="&amp;$I440))</f>
        <v/>
      </c>
      <c r="Y440" s="21" t="str">
        <f>IF($P440="","",IFERROR(MATCH($P440,Lists!$H$2:$H$4,0),""))</f>
        <v/>
      </c>
      <c r="Z440" s="21" t="str">
        <f t="shared" si="8"/>
        <v/>
      </c>
    </row>
    <row r="441" spans="1:26" ht="15.75" customHeight="1" x14ac:dyDescent="0.3">
      <c r="A441" s="16" t="str">
        <f t="shared" si="9"/>
        <v/>
      </c>
      <c r="B441" s="28"/>
      <c r="C441" s="29"/>
      <c r="D441" s="16"/>
      <c r="E441" s="16"/>
      <c r="F441" s="16"/>
      <c r="G441" s="16"/>
      <c r="H441" s="16"/>
      <c r="I441" s="31"/>
      <c r="J441" s="15"/>
      <c r="K441" s="15"/>
      <c r="L441" s="15"/>
      <c r="M441" s="16"/>
      <c r="N441" s="17"/>
      <c r="O441" s="19" t="str">
        <f t="shared" si="5"/>
        <v/>
      </c>
      <c r="P441" s="17"/>
      <c r="Q441" s="17" t="str">
        <f t="shared" ca="1" si="6"/>
        <v/>
      </c>
      <c r="R441" s="21" t="str">
        <f ca="1">IF($Q441="","",IF($Q441&lt;=Settings!$B$8,Settings!$C$8,IF($Q441&lt;=Settings!$B$9,Settings!$C$9,IF($Q441&lt;=Settings!$B$10,Settings!$C$10,IF($Q441&lt;=Settings!$B$11,Settings!$C$11,Settings!$C$12)))))</f>
        <v/>
      </c>
      <c r="S441" s="21" t="str">
        <f>IF($F441="","",IFERROR(VLOOKUP($F441,Settings!$E$8:$F$11,2,FALSE),0))</f>
        <v/>
      </c>
      <c r="T441" s="21">
        <f>IF($G441="",Settings!$B$16,1)</f>
        <v>1</v>
      </c>
      <c r="U441" s="21" t="str">
        <f t="shared" si="7"/>
        <v/>
      </c>
      <c r="V441" s="32" t="str">
        <f>IF($C441="","",IF($Q441&gt;Settings!$B$4,IF($G441="","|","")&amp;"OLD_7D","")&amp;IF($Q441&gt;Settings!$B$5,IF(OR($G441="", $Q441&gt;Settings!$B$4),"|","")&amp;"OLD_30D",""))</f>
        <v/>
      </c>
      <c r="W441" s="21" t="str">
        <f>IF(OR($C441="", $M441&lt;&gt;"APPROVED",$I441="", $U441=0),"",SUMIFS($U$3:$U$502,$H$3:$H$502,$H441,$M$3:$M$502,"APPROVED",$Q$3:$Q$502,"&lt;="&amp;Settings!$B$4,$I$3:$I$502,"&lt;="&amp;$I441))</f>
        <v/>
      </c>
      <c r="X441" s="21" t="str">
        <f>IF(OR($C441="", $M441&lt;&gt;"APPROVED",$I441="", $U441=0),"",SUMIFS($U$3:$U$502,$H$3:$H$502,$H441,$M$3:$M$502,"APPROVED",$Q$3:$Q$502,"&lt;="&amp;Settings!$B$5,$I$3:$I$502,"&lt;="&amp;$I441))</f>
        <v/>
      </c>
      <c r="Y441" s="21" t="str">
        <f>IF($P441="","",IFERROR(MATCH($P441,Lists!$H$2:$H$4,0),""))</f>
        <v/>
      </c>
      <c r="Z441" s="21" t="str">
        <f t="shared" si="8"/>
        <v/>
      </c>
    </row>
    <row r="442" spans="1:26" ht="15.75" customHeight="1" x14ac:dyDescent="0.3">
      <c r="A442" s="16" t="str">
        <f t="shared" si="9"/>
        <v/>
      </c>
      <c r="B442" s="28"/>
      <c r="C442" s="29"/>
      <c r="D442" s="16"/>
      <c r="E442" s="16"/>
      <c r="F442" s="16"/>
      <c r="G442" s="16"/>
      <c r="H442" s="16"/>
      <c r="I442" s="31"/>
      <c r="J442" s="15"/>
      <c r="K442" s="15"/>
      <c r="L442" s="15"/>
      <c r="M442" s="16"/>
      <c r="N442" s="17"/>
      <c r="O442" s="19" t="str">
        <f t="shared" si="5"/>
        <v/>
      </c>
      <c r="P442" s="17"/>
      <c r="Q442" s="17" t="str">
        <f t="shared" ca="1" si="6"/>
        <v/>
      </c>
      <c r="R442" s="21" t="str">
        <f ca="1">IF($Q442="","",IF($Q442&lt;=Settings!$B$8,Settings!$C$8,IF($Q442&lt;=Settings!$B$9,Settings!$C$9,IF($Q442&lt;=Settings!$B$10,Settings!$C$10,IF($Q442&lt;=Settings!$B$11,Settings!$C$11,Settings!$C$12)))))</f>
        <v/>
      </c>
      <c r="S442" s="21" t="str">
        <f>IF($F442="","",IFERROR(VLOOKUP($F442,Settings!$E$8:$F$11,2,FALSE),0))</f>
        <v/>
      </c>
      <c r="T442" s="21">
        <f>IF($G442="",Settings!$B$16,1)</f>
        <v>1</v>
      </c>
      <c r="U442" s="21" t="str">
        <f t="shared" si="7"/>
        <v/>
      </c>
      <c r="V442" s="32" t="str">
        <f>IF($C442="","",IF($Q442&gt;Settings!$B$4,IF($G442="","|","")&amp;"OLD_7D","")&amp;IF($Q442&gt;Settings!$B$5,IF(OR($G442="", $Q442&gt;Settings!$B$4),"|","")&amp;"OLD_30D",""))</f>
        <v/>
      </c>
      <c r="W442" s="21" t="str">
        <f>IF(OR($C442="", $M442&lt;&gt;"APPROVED",$I442="", $U442=0),"",SUMIFS($U$3:$U$502,$H$3:$H$502,$H442,$M$3:$M$502,"APPROVED",$Q$3:$Q$502,"&lt;="&amp;Settings!$B$4,$I$3:$I$502,"&lt;="&amp;$I442))</f>
        <v/>
      </c>
      <c r="X442" s="21" t="str">
        <f>IF(OR($C442="", $M442&lt;&gt;"APPROVED",$I442="", $U442=0),"",SUMIFS($U$3:$U$502,$H$3:$H$502,$H442,$M$3:$M$502,"APPROVED",$Q$3:$Q$502,"&lt;="&amp;Settings!$B$5,$I$3:$I$502,"&lt;="&amp;$I442))</f>
        <v/>
      </c>
      <c r="Y442" s="21" t="str">
        <f>IF($P442="","",IFERROR(MATCH($P442,Lists!$H$2:$H$4,0),""))</f>
        <v/>
      </c>
      <c r="Z442" s="21" t="str">
        <f t="shared" si="8"/>
        <v/>
      </c>
    </row>
    <row r="443" spans="1:26" ht="15.75" customHeight="1" x14ac:dyDescent="0.3">
      <c r="A443" s="16" t="str">
        <f t="shared" si="9"/>
        <v/>
      </c>
      <c r="B443" s="28"/>
      <c r="C443" s="29"/>
      <c r="D443" s="16"/>
      <c r="E443" s="16"/>
      <c r="F443" s="16"/>
      <c r="G443" s="16"/>
      <c r="H443" s="16"/>
      <c r="I443" s="31"/>
      <c r="J443" s="15"/>
      <c r="K443" s="15"/>
      <c r="L443" s="15"/>
      <c r="M443" s="16"/>
      <c r="N443" s="17"/>
      <c r="O443" s="19" t="str">
        <f t="shared" si="5"/>
        <v/>
      </c>
      <c r="P443" s="17"/>
      <c r="Q443" s="17" t="str">
        <f t="shared" ca="1" si="6"/>
        <v/>
      </c>
      <c r="R443" s="21" t="str">
        <f ca="1">IF($Q443="","",IF($Q443&lt;=Settings!$B$8,Settings!$C$8,IF($Q443&lt;=Settings!$B$9,Settings!$C$9,IF($Q443&lt;=Settings!$B$10,Settings!$C$10,IF($Q443&lt;=Settings!$B$11,Settings!$C$11,Settings!$C$12)))))</f>
        <v/>
      </c>
      <c r="S443" s="21" t="str">
        <f>IF($F443="","",IFERROR(VLOOKUP($F443,Settings!$E$8:$F$11,2,FALSE),0))</f>
        <v/>
      </c>
      <c r="T443" s="21">
        <f>IF($G443="",Settings!$B$16,1)</f>
        <v>1</v>
      </c>
      <c r="U443" s="21" t="str">
        <f t="shared" si="7"/>
        <v/>
      </c>
      <c r="V443" s="32" t="str">
        <f>IF($C443="","",IF($Q443&gt;Settings!$B$4,IF($G443="","|","")&amp;"OLD_7D","")&amp;IF($Q443&gt;Settings!$B$5,IF(OR($G443="", $Q443&gt;Settings!$B$4),"|","")&amp;"OLD_30D",""))</f>
        <v/>
      </c>
      <c r="W443" s="21" t="str">
        <f>IF(OR($C443="", $M443&lt;&gt;"APPROVED",$I443="", $U443=0),"",SUMIFS($U$3:$U$502,$H$3:$H$502,$H443,$M$3:$M$502,"APPROVED",$Q$3:$Q$502,"&lt;="&amp;Settings!$B$4,$I$3:$I$502,"&lt;="&amp;$I443))</f>
        <v/>
      </c>
      <c r="X443" s="21" t="str">
        <f>IF(OR($C443="", $M443&lt;&gt;"APPROVED",$I443="", $U443=0),"",SUMIFS($U$3:$U$502,$H$3:$H$502,$H443,$M$3:$M$502,"APPROVED",$Q$3:$Q$502,"&lt;="&amp;Settings!$B$5,$I$3:$I$502,"&lt;="&amp;$I443))</f>
        <v/>
      </c>
      <c r="Y443" s="21" t="str">
        <f>IF($P443="","",IFERROR(MATCH($P443,Lists!$H$2:$H$4,0),""))</f>
        <v/>
      </c>
      <c r="Z443" s="21" t="str">
        <f t="shared" si="8"/>
        <v/>
      </c>
    </row>
    <row r="444" spans="1:26" ht="15.75" customHeight="1" x14ac:dyDescent="0.3">
      <c r="A444" s="16" t="str">
        <f t="shared" si="9"/>
        <v/>
      </c>
      <c r="B444" s="28"/>
      <c r="C444" s="29"/>
      <c r="D444" s="16"/>
      <c r="E444" s="16"/>
      <c r="F444" s="16"/>
      <c r="G444" s="16"/>
      <c r="H444" s="16"/>
      <c r="I444" s="31"/>
      <c r="J444" s="15"/>
      <c r="K444" s="15"/>
      <c r="L444" s="15"/>
      <c r="M444" s="16"/>
      <c r="N444" s="17"/>
      <c r="O444" s="19" t="str">
        <f t="shared" si="5"/>
        <v/>
      </c>
      <c r="P444" s="17"/>
      <c r="Q444" s="17" t="str">
        <f t="shared" ca="1" si="6"/>
        <v/>
      </c>
      <c r="R444" s="21" t="str">
        <f ca="1">IF($Q444="","",IF($Q444&lt;=Settings!$B$8,Settings!$C$8,IF($Q444&lt;=Settings!$B$9,Settings!$C$9,IF($Q444&lt;=Settings!$B$10,Settings!$C$10,IF($Q444&lt;=Settings!$B$11,Settings!$C$11,Settings!$C$12)))))</f>
        <v/>
      </c>
      <c r="S444" s="21" t="str">
        <f>IF($F444="","",IFERROR(VLOOKUP($F444,Settings!$E$8:$F$11,2,FALSE),0))</f>
        <v/>
      </c>
      <c r="T444" s="21">
        <f>IF($G444="",Settings!$B$16,1)</f>
        <v>1</v>
      </c>
      <c r="U444" s="21" t="str">
        <f t="shared" si="7"/>
        <v/>
      </c>
      <c r="V444" s="32" t="str">
        <f>IF($C444="","",IF($Q444&gt;Settings!$B$4,IF($G444="","|","")&amp;"OLD_7D","")&amp;IF($Q444&gt;Settings!$B$5,IF(OR($G444="", $Q444&gt;Settings!$B$4),"|","")&amp;"OLD_30D",""))</f>
        <v/>
      </c>
      <c r="W444" s="21" t="str">
        <f>IF(OR($C444="", $M444&lt;&gt;"APPROVED",$I444="", $U444=0),"",SUMIFS($U$3:$U$502,$H$3:$H$502,$H444,$M$3:$M$502,"APPROVED",$Q$3:$Q$502,"&lt;="&amp;Settings!$B$4,$I$3:$I$502,"&lt;="&amp;$I444))</f>
        <v/>
      </c>
      <c r="X444" s="21" t="str">
        <f>IF(OR($C444="", $M444&lt;&gt;"APPROVED",$I444="", $U444=0),"",SUMIFS($U$3:$U$502,$H$3:$H$502,$H444,$M$3:$M$502,"APPROVED",$Q$3:$Q$502,"&lt;="&amp;Settings!$B$5,$I$3:$I$502,"&lt;="&amp;$I444))</f>
        <v/>
      </c>
      <c r="Y444" s="21" t="str">
        <f>IF($P444="","",IFERROR(MATCH($P444,Lists!$H$2:$H$4,0),""))</f>
        <v/>
      </c>
      <c r="Z444" s="21" t="str">
        <f t="shared" si="8"/>
        <v/>
      </c>
    </row>
    <row r="445" spans="1:26" ht="15.75" customHeight="1" x14ac:dyDescent="0.3">
      <c r="A445" s="16" t="str">
        <f t="shared" si="9"/>
        <v/>
      </c>
      <c r="B445" s="28"/>
      <c r="C445" s="29"/>
      <c r="D445" s="16"/>
      <c r="E445" s="16"/>
      <c r="F445" s="16"/>
      <c r="G445" s="16"/>
      <c r="H445" s="16"/>
      <c r="I445" s="31"/>
      <c r="J445" s="15"/>
      <c r="K445" s="15"/>
      <c r="L445" s="15"/>
      <c r="M445" s="16"/>
      <c r="N445" s="17"/>
      <c r="O445" s="19" t="str">
        <f t="shared" si="5"/>
        <v/>
      </c>
      <c r="P445" s="17"/>
      <c r="Q445" s="17" t="str">
        <f t="shared" ca="1" si="6"/>
        <v/>
      </c>
      <c r="R445" s="21" t="str">
        <f ca="1">IF($Q445="","",IF($Q445&lt;=Settings!$B$8,Settings!$C$8,IF($Q445&lt;=Settings!$B$9,Settings!$C$9,IF($Q445&lt;=Settings!$B$10,Settings!$C$10,IF($Q445&lt;=Settings!$B$11,Settings!$C$11,Settings!$C$12)))))</f>
        <v/>
      </c>
      <c r="S445" s="21" t="str">
        <f>IF($F445="","",IFERROR(VLOOKUP($F445,Settings!$E$8:$F$11,2,FALSE),0))</f>
        <v/>
      </c>
      <c r="T445" s="21">
        <f>IF($G445="",Settings!$B$16,1)</f>
        <v>1</v>
      </c>
      <c r="U445" s="21" t="str">
        <f t="shared" si="7"/>
        <v/>
      </c>
      <c r="V445" s="32" t="str">
        <f>IF($C445="","",IF($Q445&gt;Settings!$B$4,IF($G445="","|","")&amp;"OLD_7D","")&amp;IF($Q445&gt;Settings!$B$5,IF(OR($G445="", $Q445&gt;Settings!$B$4),"|","")&amp;"OLD_30D",""))</f>
        <v/>
      </c>
      <c r="W445" s="21" t="str">
        <f>IF(OR($C445="", $M445&lt;&gt;"APPROVED",$I445="", $U445=0),"",SUMIFS($U$3:$U$502,$H$3:$H$502,$H445,$M$3:$M$502,"APPROVED",$Q$3:$Q$502,"&lt;="&amp;Settings!$B$4,$I$3:$I$502,"&lt;="&amp;$I445))</f>
        <v/>
      </c>
      <c r="X445" s="21" t="str">
        <f>IF(OR($C445="", $M445&lt;&gt;"APPROVED",$I445="", $U445=0),"",SUMIFS($U$3:$U$502,$H$3:$H$502,$H445,$M$3:$M$502,"APPROVED",$Q$3:$Q$502,"&lt;="&amp;Settings!$B$5,$I$3:$I$502,"&lt;="&amp;$I445))</f>
        <v/>
      </c>
      <c r="Y445" s="21" t="str">
        <f>IF($P445="","",IFERROR(MATCH($P445,Lists!$H$2:$H$4,0),""))</f>
        <v/>
      </c>
      <c r="Z445" s="21" t="str">
        <f t="shared" si="8"/>
        <v/>
      </c>
    </row>
    <row r="446" spans="1:26" ht="15.75" customHeight="1" x14ac:dyDescent="0.3">
      <c r="A446" s="16" t="str">
        <f t="shared" si="9"/>
        <v/>
      </c>
      <c r="B446" s="28"/>
      <c r="C446" s="29"/>
      <c r="D446" s="16"/>
      <c r="E446" s="16"/>
      <c r="F446" s="16"/>
      <c r="G446" s="16"/>
      <c r="H446" s="16"/>
      <c r="I446" s="31"/>
      <c r="J446" s="15"/>
      <c r="K446" s="15"/>
      <c r="L446" s="15"/>
      <c r="M446" s="16"/>
      <c r="N446" s="17"/>
      <c r="O446" s="19" t="str">
        <f t="shared" si="5"/>
        <v/>
      </c>
      <c r="P446" s="17"/>
      <c r="Q446" s="17" t="str">
        <f t="shared" ca="1" si="6"/>
        <v/>
      </c>
      <c r="R446" s="21" t="str">
        <f ca="1">IF($Q446="","",IF($Q446&lt;=Settings!$B$8,Settings!$C$8,IF($Q446&lt;=Settings!$B$9,Settings!$C$9,IF($Q446&lt;=Settings!$B$10,Settings!$C$10,IF($Q446&lt;=Settings!$B$11,Settings!$C$11,Settings!$C$12)))))</f>
        <v/>
      </c>
      <c r="S446" s="21" t="str">
        <f>IF($F446="","",IFERROR(VLOOKUP($F446,Settings!$E$8:$F$11,2,FALSE),0))</f>
        <v/>
      </c>
      <c r="T446" s="21">
        <f>IF($G446="",Settings!$B$16,1)</f>
        <v>1</v>
      </c>
      <c r="U446" s="21" t="str">
        <f t="shared" si="7"/>
        <v/>
      </c>
      <c r="V446" s="32" t="str">
        <f>IF($C446="","",IF($Q446&gt;Settings!$B$4,IF($G446="","|","")&amp;"OLD_7D","")&amp;IF($Q446&gt;Settings!$B$5,IF(OR($G446="", $Q446&gt;Settings!$B$4),"|","")&amp;"OLD_30D",""))</f>
        <v/>
      </c>
      <c r="W446" s="21" t="str">
        <f>IF(OR($C446="", $M446&lt;&gt;"APPROVED",$I446="", $U446=0),"",SUMIFS($U$3:$U$502,$H$3:$H$502,$H446,$M$3:$M$502,"APPROVED",$Q$3:$Q$502,"&lt;="&amp;Settings!$B$4,$I$3:$I$502,"&lt;="&amp;$I446))</f>
        <v/>
      </c>
      <c r="X446" s="21" t="str">
        <f>IF(OR($C446="", $M446&lt;&gt;"APPROVED",$I446="", $U446=0),"",SUMIFS($U$3:$U$502,$H$3:$H$502,$H446,$M$3:$M$502,"APPROVED",$Q$3:$Q$502,"&lt;="&amp;Settings!$B$5,$I$3:$I$502,"&lt;="&amp;$I446))</f>
        <v/>
      </c>
      <c r="Y446" s="21" t="str">
        <f>IF($P446="","",IFERROR(MATCH($P446,Lists!$H$2:$H$4,0),""))</f>
        <v/>
      </c>
      <c r="Z446" s="21" t="str">
        <f t="shared" si="8"/>
        <v/>
      </c>
    </row>
    <row r="447" spans="1:26" ht="15.75" customHeight="1" x14ac:dyDescent="0.3">
      <c r="A447" s="16" t="str">
        <f t="shared" si="9"/>
        <v/>
      </c>
      <c r="B447" s="28"/>
      <c r="C447" s="29"/>
      <c r="D447" s="16"/>
      <c r="E447" s="16"/>
      <c r="F447" s="16"/>
      <c r="G447" s="16"/>
      <c r="H447" s="16"/>
      <c r="I447" s="31"/>
      <c r="J447" s="15"/>
      <c r="K447" s="15"/>
      <c r="L447" s="15"/>
      <c r="M447" s="16"/>
      <c r="N447" s="17"/>
      <c r="O447" s="19" t="str">
        <f t="shared" si="5"/>
        <v/>
      </c>
      <c r="P447" s="17"/>
      <c r="Q447" s="17" t="str">
        <f t="shared" ca="1" si="6"/>
        <v/>
      </c>
      <c r="R447" s="21" t="str">
        <f ca="1">IF($Q447="","",IF($Q447&lt;=Settings!$B$8,Settings!$C$8,IF($Q447&lt;=Settings!$B$9,Settings!$C$9,IF($Q447&lt;=Settings!$B$10,Settings!$C$10,IF($Q447&lt;=Settings!$B$11,Settings!$C$11,Settings!$C$12)))))</f>
        <v/>
      </c>
      <c r="S447" s="21" t="str">
        <f>IF($F447="","",IFERROR(VLOOKUP($F447,Settings!$E$8:$F$11,2,FALSE),0))</f>
        <v/>
      </c>
      <c r="T447" s="21">
        <f>IF($G447="",Settings!$B$16,1)</f>
        <v>1</v>
      </c>
      <c r="U447" s="21" t="str">
        <f t="shared" si="7"/>
        <v/>
      </c>
      <c r="V447" s="32" t="str">
        <f>IF($C447="","",IF($Q447&gt;Settings!$B$4,IF($G447="","|","")&amp;"OLD_7D","")&amp;IF($Q447&gt;Settings!$B$5,IF(OR($G447="", $Q447&gt;Settings!$B$4),"|","")&amp;"OLD_30D",""))</f>
        <v/>
      </c>
      <c r="W447" s="21" t="str">
        <f>IF(OR($C447="", $M447&lt;&gt;"APPROVED",$I447="", $U447=0),"",SUMIFS($U$3:$U$502,$H$3:$H$502,$H447,$M$3:$M$502,"APPROVED",$Q$3:$Q$502,"&lt;="&amp;Settings!$B$4,$I$3:$I$502,"&lt;="&amp;$I447))</f>
        <v/>
      </c>
      <c r="X447" s="21" t="str">
        <f>IF(OR($C447="", $M447&lt;&gt;"APPROVED",$I447="", $U447=0),"",SUMIFS($U$3:$U$502,$H$3:$H$502,$H447,$M$3:$M$502,"APPROVED",$Q$3:$Q$502,"&lt;="&amp;Settings!$B$5,$I$3:$I$502,"&lt;="&amp;$I447))</f>
        <v/>
      </c>
      <c r="Y447" s="21" t="str">
        <f>IF($P447="","",IFERROR(MATCH($P447,Lists!$H$2:$H$4,0),""))</f>
        <v/>
      </c>
      <c r="Z447" s="21" t="str">
        <f t="shared" si="8"/>
        <v/>
      </c>
    </row>
    <row r="448" spans="1:26" ht="15.75" customHeight="1" x14ac:dyDescent="0.3">
      <c r="A448" s="16" t="str">
        <f t="shared" si="9"/>
        <v/>
      </c>
      <c r="B448" s="28"/>
      <c r="C448" s="29"/>
      <c r="D448" s="16"/>
      <c r="E448" s="16"/>
      <c r="F448" s="16"/>
      <c r="G448" s="16"/>
      <c r="H448" s="16"/>
      <c r="I448" s="31"/>
      <c r="J448" s="15"/>
      <c r="K448" s="15"/>
      <c r="L448" s="15"/>
      <c r="M448" s="16"/>
      <c r="N448" s="17"/>
      <c r="O448" s="19" t="str">
        <f t="shared" si="5"/>
        <v/>
      </c>
      <c r="P448" s="17"/>
      <c r="Q448" s="17" t="str">
        <f t="shared" ca="1" si="6"/>
        <v/>
      </c>
      <c r="R448" s="21" t="str">
        <f ca="1">IF($Q448="","",IF($Q448&lt;=Settings!$B$8,Settings!$C$8,IF($Q448&lt;=Settings!$B$9,Settings!$C$9,IF($Q448&lt;=Settings!$B$10,Settings!$C$10,IF($Q448&lt;=Settings!$B$11,Settings!$C$11,Settings!$C$12)))))</f>
        <v/>
      </c>
      <c r="S448" s="21" t="str">
        <f>IF($F448="","",IFERROR(VLOOKUP($F448,Settings!$E$8:$F$11,2,FALSE),0))</f>
        <v/>
      </c>
      <c r="T448" s="21">
        <f>IF($G448="",Settings!$B$16,1)</f>
        <v>1</v>
      </c>
      <c r="U448" s="21" t="str">
        <f t="shared" si="7"/>
        <v/>
      </c>
      <c r="V448" s="32" t="str">
        <f>IF($C448="","",IF($Q448&gt;Settings!$B$4,IF($G448="","|","")&amp;"OLD_7D","")&amp;IF($Q448&gt;Settings!$B$5,IF(OR($G448="", $Q448&gt;Settings!$B$4),"|","")&amp;"OLD_30D",""))</f>
        <v/>
      </c>
      <c r="W448" s="21" t="str">
        <f>IF(OR($C448="", $M448&lt;&gt;"APPROVED",$I448="", $U448=0),"",SUMIFS($U$3:$U$502,$H$3:$H$502,$H448,$M$3:$M$502,"APPROVED",$Q$3:$Q$502,"&lt;="&amp;Settings!$B$4,$I$3:$I$502,"&lt;="&amp;$I448))</f>
        <v/>
      </c>
      <c r="X448" s="21" t="str">
        <f>IF(OR($C448="", $M448&lt;&gt;"APPROVED",$I448="", $U448=0),"",SUMIFS($U$3:$U$502,$H$3:$H$502,$H448,$M$3:$M$502,"APPROVED",$Q$3:$Q$502,"&lt;="&amp;Settings!$B$5,$I$3:$I$502,"&lt;="&amp;$I448))</f>
        <v/>
      </c>
      <c r="Y448" s="21" t="str">
        <f>IF($P448="","",IFERROR(MATCH($P448,Lists!$H$2:$H$4,0),""))</f>
        <v/>
      </c>
      <c r="Z448" s="21" t="str">
        <f t="shared" si="8"/>
        <v/>
      </c>
    </row>
    <row r="449" spans="1:26" ht="15.75" customHeight="1" x14ac:dyDescent="0.3">
      <c r="A449" s="16" t="str">
        <f t="shared" si="9"/>
        <v/>
      </c>
      <c r="B449" s="28"/>
      <c r="C449" s="29"/>
      <c r="D449" s="16"/>
      <c r="E449" s="16"/>
      <c r="F449" s="16"/>
      <c r="G449" s="16"/>
      <c r="H449" s="16"/>
      <c r="I449" s="31"/>
      <c r="J449" s="15"/>
      <c r="K449" s="15"/>
      <c r="L449" s="15"/>
      <c r="M449" s="16"/>
      <c r="N449" s="17"/>
      <c r="O449" s="19" t="str">
        <f t="shared" si="5"/>
        <v/>
      </c>
      <c r="P449" s="17"/>
      <c r="Q449" s="17" t="str">
        <f t="shared" ca="1" si="6"/>
        <v/>
      </c>
      <c r="R449" s="21" t="str">
        <f ca="1">IF($Q449="","",IF($Q449&lt;=Settings!$B$8,Settings!$C$8,IF($Q449&lt;=Settings!$B$9,Settings!$C$9,IF($Q449&lt;=Settings!$B$10,Settings!$C$10,IF($Q449&lt;=Settings!$B$11,Settings!$C$11,Settings!$C$12)))))</f>
        <v/>
      </c>
      <c r="S449" s="21" t="str">
        <f>IF($F449="","",IFERROR(VLOOKUP($F449,Settings!$E$8:$F$11,2,FALSE),0))</f>
        <v/>
      </c>
      <c r="T449" s="21">
        <f>IF($G449="",Settings!$B$16,1)</f>
        <v>1</v>
      </c>
      <c r="U449" s="21" t="str">
        <f t="shared" si="7"/>
        <v/>
      </c>
      <c r="V449" s="32" t="str">
        <f>IF($C449="","",IF($Q449&gt;Settings!$B$4,IF($G449="","|","")&amp;"OLD_7D","")&amp;IF($Q449&gt;Settings!$B$5,IF(OR($G449="", $Q449&gt;Settings!$B$4),"|","")&amp;"OLD_30D",""))</f>
        <v/>
      </c>
      <c r="W449" s="21" t="str">
        <f>IF(OR($C449="", $M449&lt;&gt;"APPROVED",$I449="", $U449=0),"",SUMIFS($U$3:$U$502,$H$3:$H$502,$H449,$M$3:$M$502,"APPROVED",$Q$3:$Q$502,"&lt;="&amp;Settings!$B$4,$I$3:$I$502,"&lt;="&amp;$I449))</f>
        <v/>
      </c>
      <c r="X449" s="21" t="str">
        <f>IF(OR($C449="", $M449&lt;&gt;"APPROVED",$I449="", $U449=0),"",SUMIFS($U$3:$U$502,$H$3:$H$502,$H449,$M$3:$M$502,"APPROVED",$Q$3:$Q$502,"&lt;="&amp;Settings!$B$5,$I$3:$I$502,"&lt;="&amp;$I449))</f>
        <v/>
      </c>
      <c r="Y449" s="21" t="str">
        <f>IF($P449="","",IFERROR(MATCH($P449,Lists!$H$2:$H$4,0),""))</f>
        <v/>
      </c>
      <c r="Z449" s="21" t="str">
        <f t="shared" si="8"/>
        <v/>
      </c>
    </row>
    <row r="450" spans="1:26" ht="15.75" customHeight="1" x14ac:dyDescent="0.3">
      <c r="A450" s="16" t="str">
        <f t="shared" si="9"/>
        <v/>
      </c>
      <c r="B450" s="28"/>
      <c r="C450" s="29"/>
      <c r="D450" s="16"/>
      <c r="E450" s="16"/>
      <c r="F450" s="16"/>
      <c r="G450" s="16"/>
      <c r="H450" s="16"/>
      <c r="I450" s="31"/>
      <c r="J450" s="15"/>
      <c r="K450" s="15"/>
      <c r="L450" s="15"/>
      <c r="M450" s="16"/>
      <c r="N450" s="17"/>
      <c r="O450" s="19" t="str">
        <f t="shared" si="5"/>
        <v/>
      </c>
      <c r="P450" s="17"/>
      <c r="Q450" s="17" t="str">
        <f t="shared" ca="1" si="6"/>
        <v/>
      </c>
      <c r="R450" s="21" t="str">
        <f ca="1">IF($Q450="","",IF($Q450&lt;=Settings!$B$8,Settings!$C$8,IF($Q450&lt;=Settings!$B$9,Settings!$C$9,IF($Q450&lt;=Settings!$B$10,Settings!$C$10,IF($Q450&lt;=Settings!$B$11,Settings!$C$11,Settings!$C$12)))))</f>
        <v/>
      </c>
      <c r="S450" s="21" t="str">
        <f>IF($F450="","",IFERROR(VLOOKUP($F450,Settings!$E$8:$F$11,2,FALSE),0))</f>
        <v/>
      </c>
      <c r="T450" s="21">
        <f>IF($G450="",Settings!$B$16,1)</f>
        <v>1</v>
      </c>
      <c r="U450" s="21" t="str">
        <f t="shared" si="7"/>
        <v/>
      </c>
      <c r="V450" s="32" t="str">
        <f>IF($C450="","",IF($Q450&gt;Settings!$B$4,IF($G450="","|","")&amp;"OLD_7D","")&amp;IF($Q450&gt;Settings!$B$5,IF(OR($G450="", $Q450&gt;Settings!$B$4),"|","")&amp;"OLD_30D",""))</f>
        <v/>
      </c>
      <c r="W450" s="21" t="str">
        <f>IF(OR($C450="", $M450&lt;&gt;"APPROVED",$I450="", $U450=0),"",SUMIFS($U$3:$U$502,$H$3:$H$502,$H450,$M$3:$M$502,"APPROVED",$Q$3:$Q$502,"&lt;="&amp;Settings!$B$4,$I$3:$I$502,"&lt;="&amp;$I450))</f>
        <v/>
      </c>
      <c r="X450" s="21" t="str">
        <f>IF(OR($C450="", $M450&lt;&gt;"APPROVED",$I450="", $U450=0),"",SUMIFS($U$3:$U$502,$H$3:$H$502,$H450,$M$3:$M$502,"APPROVED",$Q$3:$Q$502,"&lt;="&amp;Settings!$B$5,$I$3:$I$502,"&lt;="&amp;$I450))</f>
        <v/>
      </c>
      <c r="Y450" s="21" t="str">
        <f>IF($P450="","",IFERROR(MATCH($P450,Lists!$H$2:$H$4,0),""))</f>
        <v/>
      </c>
      <c r="Z450" s="21" t="str">
        <f t="shared" si="8"/>
        <v/>
      </c>
    </row>
    <row r="451" spans="1:26" ht="15.75" customHeight="1" x14ac:dyDescent="0.3">
      <c r="A451" s="16" t="str">
        <f t="shared" si="9"/>
        <v/>
      </c>
      <c r="B451" s="28"/>
      <c r="C451" s="29"/>
      <c r="D451" s="16"/>
      <c r="E451" s="16"/>
      <c r="F451" s="16"/>
      <c r="G451" s="16"/>
      <c r="H451" s="16"/>
      <c r="I451" s="31"/>
      <c r="J451" s="15"/>
      <c r="K451" s="15"/>
      <c r="L451" s="15"/>
      <c r="M451" s="16"/>
      <c r="N451" s="17"/>
      <c r="O451" s="19" t="str">
        <f t="shared" si="5"/>
        <v/>
      </c>
      <c r="P451" s="17"/>
      <c r="Q451" s="17" t="str">
        <f t="shared" ca="1" si="6"/>
        <v/>
      </c>
      <c r="R451" s="21" t="str">
        <f ca="1">IF($Q451="","",IF($Q451&lt;=Settings!$B$8,Settings!$C$8,IF($Q451&lt;=Settings!$B$9,Settings!$C$9,IF($Q451&lt;=Settings!$B$10,Settings!$C$10,IF($Q451&lt;=Settings!$B$11,Settings!$C$11,Settings!$C$12)))))</f>
        <v/>
      </c>
      <c r="S451" s="21" t="str">
        <f>IF($F451="","",IFERROR(VLOOKUP($F451,Settings!$E$8:$F$11,2,FALSE),0))</f>
        <v/>
      </c>
      <c r="T451" s="21">
        <f>IF($G451="",Settings!$B$16,1)</f>
        <v>1</v>
      </c>
      <c r="U451" s="21" t="str">
        <f t="shared" si="7"/>
        <v/>
      </c>
      <c r="V451" s="32" t="str">
        <f>IF($C451="","",IF($Q451&gt;Settings!$B$4,IF($G451="","|","")&amp;"OLD_7D","")&amp;IF($Q451&gt;Settings!$B$5,IF(OR($G451="", $Q451&gt;Settings!$B$4),"|","")&amp;"OLD_30D",""))</f>
        <v/>
      </c>
      <c r="W451" s="21" t="str">
        <f>IF(OR($C451="", $M451&lt;&gt;"APPROVED",$I451="", $U451=0),"",SUMIFS($U$3:$U$502,$H$3:$H$502,$H451,$M$3:$M$502,"APPROVED",$Q$3:$Q$502,"&lt;="&amp;Settings!$B$4,$I$3:$I$502,"&lt;="&amp;$I451))</f>
        <v/>
      </c>
      <c r="X451" s="21" t="str">
        <f>IF(OR($C451="", $M451&lt;&gt;"APPROVED",$I451="", $U451=0),"",SUMIFS($U$3:$U$502,$H$3:$H$502,$H451,$M$3:$M$502,"APPROVED",$Q$3:$Q$502,"&lt;="&amp;Settings!$B$5,$I$3:$I$502,"&lt;="&amp;$I451))</f>
        <v/>
      </c>
      <c r="Y451" s="21" t="str">
        <f>IF($P451="","",IFERROR(MATCH($P451,Lists!$H$2:$H$4,0),""))</f>
        <v/>
      </c>
      <c r="Z451" s="21" t="str">
        <f t="shared" si="8"/>
        <v/>
      </c>
    </row>
    <row r="452" spans="1:26" ht="15.75" customHeight="1" x14ac:dyDescent="0.3">
      <c r="A452" s="16" t="str">
        <f t="shared" si="9"/>
        <v/>
      </c>
      <c r="B452" s="28"/>
      <c r="C452" s="29"/>
      <c r="D452" s="16"/>
      <c r="E452" s="16"/>
      <c r="F452" s="16"/>
      <c r="G452" s="16"/>
      <c r="H452" s="16"/>
      <c r="I452" s="31"/>
      <c r="J452" s="15"/>
      <c r="K452" s="15"/>
      <c r="L452" s="15"/>
      <c r="M452" s="16"/>
      <c r="N452" s="17"/>
      <c r="O452" s="19" t="str">
        <f t="shared" si="5"/>
        <v/>
      </c>
      <c r="P452" s="17"/>
      <c r="Q452" s="17" t="str">
        <f t="shared" ca="1" si="6"/>
        <v/>
      </c>
      <c r="R452" s="21" t="str">
        <f ca="1">IF($Q452="","",IF($Q452&lt;=Settings!$B$8,Settings!$C$8,IF($Q452&lt;=Settings!$B$9,Settings!$C$9,IF($Q452&lt;=Settings!$B$10,Settings!$C$10,IF($Q452&lt;=Settings!$B$11,Settings!$C$11,Settings!$C$12)))))</f>
        <v/>
      </c>
      <c r="S452" s="21" t="str">
        <f>IF($F452="","",IFERROR(VLOOKUP($F452,Settings!$E$8:$F$11,2,FALSE),0))</f>
        <v/>
      </c>
      <c r="T452" s="21">
        <f>IF($G452="",Settings!$B$16,1)</f>
        <v>1</v>
      </c>
      <c r="U452" s="21" t="str">
        <f t="shared" si="7"/>
        <v/>
      </c>
      <c r="V452" s="32" t="str">
        <f>IF($C452="","",IF($Q452&gt;Settings!$B$4,IF($G452="","|","")&amp;"OLD_7D","")&amp;IF($Q452&gt;Settings!$B$5,IF(OR($G452="", $Q452&gt;Settings!$B$4),"|","")&amp;"OLD_30D",""))</f>
        <v/>
      </c>
      <c r="W452" s="21" t="str">
        <f>IF(OR($C452="", $M452&lt;&gt;"APPROVED",$I452="", $U452=0),"",SUMIFS($U$3:$U$502,$H$3:$H$502,$H452,$M$3:$M$502,"APPROVED",$Q$3:$Q$502,"&lt;="&amp;Settings!$B$4,$I$3:$I$502,"&lt;="&amp;$I452))</f>
        <v/>
      </c>
      <c r="X452" s="21" t="str">
        <f>IF(OR($C452="", $M452&lt;&gt;"APPROVED",$I452="", $U452=0),"",SUMIFS($U$3:$U$502,$H$3:$H$502,$H452,$M$3:$M$502,"APPROVED",$Q$3:$Q$502,"&lt;="&amp;Settings!$B$5,$I$3:$I$502,"&lt;="&amp;$I452))</f>
        <v/>
      </c>
      <c r="Y452" s="21" t="str">
        <f>IF($P452="","",IFERROR(MATCH($P452,Lists!$H$2:$H$4,0),""))</f>
        <v/>
      </c>
      <c r="Z452" s="21" t="str">
        <f t="shared" si="8"/>
        <v/>
      </c>
    </row>
    <row r="453" spans="1:26" ht="15.75" customHeight="1" x14ac:dyDescent="0.3">
      <c r="A453" s="16" t="str">
        <f t="shared" si="9"/>
        <v/>
      </c>
      <c r="B453" s="28"/>
      <c r="C453" s="29"/>
      <c r="D453" s="16"/>
      <c r="E453" s="16"/>
      <c r="F453" s="16"/>
      <c r="G453" s="16"/>
      <c r="H453" s="16"/>
      <c r="I453" s="31"/>
      <c r="J453" s="15"/>
      <c r="K453" s="15"/>
      <c r="L453" s="15"/>
      <c r="M453" s="16"/>
      <c r="N453" s="17"/>
      <c r="O453" s="19" t="str">
        <f t="shared" si="5"/>
        <v/>
      </c>
      <c r="P453" s="17"/>
      <c r="Q453" s="17" t="str">
        <f t="shared" ca="1" si="6"/>
        <v/>
      </c>
      <c r="R453" s="21" t="str">
        <f ca="1">IF($Q453="","",IF($Q453&lt;=Settings!$B$8,Settings!$C$8,IF($Q453&lt;=Settings!$B$9,Settings!$C$9,IF($Q453&lt;=Settings!$B$10,Settings!$C$10,IF($Q453&lt;=Settings!$B$11,Settings!$C$11,Settings!$C$12)))))</f>
        <v/>
      </c>
      <c r="S453" s="21" t="str">
        <f>IF($F453="","",IFERROR(VLOOKUP($F453,Settings!$E$8:$F$11,2,FALSE),0))</f>
        <v/>
      </c>
      <c r="T453" s="21">
        <f>IF($G453="",Settings!$B$16,1)</f>
        <v>1</v>
      </c>
      <c r="U453" s="21" t="str">
        <f t="shared" si="7"/>
        <v/>
      </c>
      <c r="V453" s="32" t="str">
        <f>IF($C453="","",IF($Q453&gt;Settings!$B$4,IF($G453="","|","")&amp;"OLD_7D","")&amp;IF($Q453&gt;Settings!$B$5,IF(OR($G453="", $Q453&gt;Settings!$B$4),"|","")&amp;"OLD_30D",""))</f>
        <v/>
      </c>
      <c r="W453" s="21" t="str">
        <f>IF(OR($C453="", $M453&lt;&gt;"APPROVED",$I453="", $U453=0),"",SUMIFS($U$3:$U$502,$H$3:$H$502,$H453,$M$3:$M$502,"APPROVED",$Q$3:$Q$502,"&lt;="&amp;Settings!$B$4,$I$3:$I$502,"&lt;="&amp;$I453))</f>
        <v/>
      </c>
      <c r="X453" s="21" t="str">
        <f>IF(OR($C453="", $M453&lt;&gt;"APPROVED",$I453="", $U453=0),"",SUMIFS($U$3:$U$502,$H$3:$H$502,$H453,$M$3:$M$502,"APPROVED",$Q$3:$Q$502,"&lt;="&amp;Settings!$B$5,$I$3:$I$502,"&lt;="&amp;$I453))</f>
        <v/>
      </c>
      <c r="Y453" s="21" t="str">
        <f>IF($P453="","",IFERROR(MATCH($P453,Lists!$H$2:$H$4,0),""))</f>
        <v/>
      </c>
      <c r="Z453" s="21" t="str">
        <f t="shared" si="8"/>
        <v/>
      </c>
    </row>
    <row r="454" spans="1:26" ht="15.75" customHeight="1" x14ac:dyDescent="0.3">
      <c r="A454" s="16" t="str">
        <f t="shared" si="9"/>
        <v/>
      </c>
      <c r="B454" s="28"/>
      <c r="C454" s="29"/>
      <c r="D454" s="16"/>
      <c r="E454" s="16"/>
      <c r="F454" s="16"/>
      <c r="G454" s="16"/>
      <c r="H454" s="16"/>
      <c r="I454" s="31"/>
      <c r="J454" s="15"/>
      <c r="K454" s="15"/>
      <c r="L454" s="15"/>
      <c r="M454" s="16"/>
      <c r="N454" s="17"/>
      <c r="O454" s="19" t="str">
        <f t="shared" si="5"/>
        <v/>
      </c>
      <c r="P454" s="17"/>
      <c r="Q454" s="17" t="str">
        <f t="shared" ca="1" si="6"/>
        <v/>
      </c>
      <c r="R454" s="21" t="str">
        <f ca="1">IF($Q454="","",IF($Q454&lt;=Settings!$B$8,Settings!$C$8,IF($Q454&lt;=Settings!$B$9,Settings!$C$9,IF($Q454&lt;=Settings!$B$10,Settings!$C$10,IF($Q454&lt;=Settings!$B$11,Settings!$C$11,Settings!$C$12)))))</f>
        <v/>
      </c>
      <c r="S454" s="21" t="str">
        <f>IF($F454="","",IFERROR(VLOOKUP($F454,Settings!$E$8:$F$11,2,FALSE),0))</f>
        <v/>
      </c>
      <c r="T454" s="21">
        <f>IF($G454="",Settings!$B$16,1)</f>
        <v>1</v>
      </c>
      <c r="U454" s="21" t="str">
        <f t="shared" si="7"/>
        <v/>
      </c>
      <c r="V454" s="32" t="str">
        <f>IF($C454="","",IF($Q454&gt;Settings!$B$4,IF($G454="","|","")&amp;"OLD_7D","")&amp;IF($Q454&gt;Settings!$B$5,IF(OR($G454="", $Q454&gt;Settings!$B$4),"|","")&amp;"OLD_30D",""))</f>
        <v/>
      </c>
      <c r="W454" s="21" t="str">
        <f>IF(OR($C454="", $M454&lt;&gt;"APPROVED",$I454="", $U454=0),"",SUMIFS($U$3:$U$502,$H$3:$H$502,$H454,$M$3:$M$502,"APPROVED",$Q$3:$Q$502,"&lt;="&amp;Settings!$B$4,$I$3:$I$502,"&lt;="&amp;$I454))</f>
        <v/>
      </c>
      <c r="X454" s="21" t="str">
        <f>IF(OR($C454="", $M454&lt;&gt;"APPROVED",$I454="", $U454=0),"",SUMIFS($U$3:$U$502,$H$3:$H$502,$H454,$M$3:$M$502,"APPROVED",$Q$3:$Q$502,"&lt;="&amp;Settings!$B$5,$I$3:$I$502,"&lt;="&amp;$I454))</f>
        <v/>
      </c>
      <c r="Y454" s="21" t="str">
        <f>IF($P454="","",IFERROR(MATCH($P454,Lists!$H$2:$H$4,0),""))</f>
        <v/>
      </c>
      <c r="Z454" s="21" t="str">
        <f t="shared" si="8"/>
        <v/>
      </c>
    </row>
    <row r="455" spans="1:26" ht="15.75" customHeight="1" x14ac:dyDescent="0.3">
      <c r="A455" s="16" t="str">
        <f t="shared" si="9"/>
        <v/>
      </c>
      <c r="B455" s="28"/>
      <c r="C455" s="29"/>
      <c r="D455" s="16"/>
      <c r="E455" s="16"/>
      <c r="F455" s="16"/>
      <c r="G455" s="16"/>
      <c r="H455" s="16"/>
      <c r="I455" s="31"/>
      <c r="J455" s="15"/>
      <c r="K455" s="15"/>
      <c r="L455" s="15"/>
      <c r="M455" s="16"/>
      <c r="N455" s="17"/>
      <c r="O455" s="19" t="str">
        <f t="shared" si="5"/>
        <v/>
      </c>
      <c r="P455" s="17"/>
      <c r="Q455" s="17" t="str">
        <f t="shared" ca="1" si="6"/>
        <v/>
      </c>
      <c r="R455" s="21" t="str">
        <f ca="1">IF($Q455="","",IF($Q455&lt;=Settings!$B$8,Settings!$C$8,IF($Q455&lt;=Settings!$B$9,Settings!$C$9,IF($Q455&lt;=Settings!$B$10,Settings!$C$10,IF($Q455&lt;=Settings!$B$11,Settings!$C$11,Settings!$C$12)))))</f>
        <v/>
      </c>
      <c r="S455" s="21" t="str">
        <f>IF($F455="","",IFERROR(VLOOKUP($F455,Settings!$E$8:$F$11,2,FALSE),0))</f>
        <v/>
      </c>
      <c r="T455" s="21">
        <f>IF($G455="",Settings!$B$16,1)</f>
        <v>1</v>
      </c>
      <c r="U455" s="21" t="str">
        <f t="shared" si="7"/>
        <v/>
      </c>
      <c r="V455" s="32" t="str">
        <f>IF($C455="","",IF($Q455&gt;Settings!$B$4,IF($G455="","|","")&amp;"OLD_7D","")&amp;IF($Q455&gt;Settings!$B$5,IF(OR($G455="", $Q455&gt;Settings!$B$4),"|","")&amp;"OLD_30D",""))</f>
        <v/>
      </c>
      <c r="W455" s="21" t="str">
        <f>IF(OR($C455="", $M455&lt;&gt;"APPROVED",$I455="", $U455=0),"",SUMIFS($U$3:$U$502,$H$3:$H$502,$H455,$M$3:$M$502,"APPROVED",$Q$3:$Q$502,"&lt;="&amp;Settings!$B$4,$I$3:$I$502,"&lt;="&amp;$I455))</f>
        <v/>
      </c>
      <c r="X455" s="21" t="str">
        <f>IF(OR($C455="", $M455&lt;&gt;"APPROVED",$I455="", $U455=0),"",SUMIFS($U$3:$U$502,$H$3:$H$502,$H455,$M$3:$M$502,"APPROVED",$Q$3:$Q$502,"&lt;="&amp;Settings!$B$5,$I$3:$I$502,"&lt;="&amp;$I455))</f>
        <v/>
      </c>
      <c r="Y455" s="21" t="str">
        <f>IF($P455="","",IFERROR(MATCH($P455,Lists!$H$2:$H$4,0),""))</f>
        <v/>
      </c>
      <c r="Z455" s="21" t="str">
        <f t="shared" si="8"/>
        <v/>
      </c>
    </row>
    <row r="456" spans="1:26" ht="15.75" customHeight="1" x14ac:dyDescent="0.3">
      <c r="A456" s="16" t="str">
        <f t="shared" si="9"/>
        <v/>
      </c>
      <c r="B456" s="28"/>
      <c r="C456" s="29"/>
      <c r="D456" s="16"/>
      <c r="E456" s="16"/>
      <c r="F456" s="16"/>
      <c r="G456" s="16"/>
      <c r="H456" s="16"/>
      <c r="I456" s="31"/>
      <c r="J456" s="15"/>
      <c r="K456" s="15"/>
      <c r="L456" s="15"/>
      <c r="M456" s="16"/>
      <c r="N456" s="17"/>
      <c r="O456" s="19" t="str">
        <f t="shared" si="5"/>
        <v/>
      </c>
      <c r="P456" s="17"/>
      <c r="Q456" s="17" t="str">
        <f t="shared" ca="1" si="6"/>
        <v/>
      </c>
      <c r="R456" s="21" t="str">
        <f ca="1">IF($Q456="","",IF($Q456&lt;=Settings!$B$8,Settings!$C$8,IF($Q456&lt;=Settings!$B$9,Settings!$C$9,IF($Q456&lt;=Settings!$B$10,Settings!$C$10,IF($Q456&lt;=Settings!$B$11,Settings!$C$11,Settings!$C$12)))))</f>
        <v/>
      </c>
      <c r="S456" s="21" t="str">
        <f>IF($F456="","",IFERROR(VLOOKUP($F456,Settings!$E$8:$F$11,2,FALSE),0))</f>
        <v/>
      </c>
      <c r="T456" s="21">
        <f>IF($G456="",Settings!$B$16,1)</f>
        <v>1</v>
      </c>
      <c r="U456" s="21" t="str">
        <f t="shared" si="7"/>
        <v/>
      </c>
      <c r="V456" s="32" t="str">
        <f>IF($C456="","",IF($Q456&gt;Settings!$B$4,IF($G456="","|","")&amp;"OLD_7D","")&amp;IF($Q456&gt;Settings!$B$5,IF(OR($G456="", $Q456&gt;Settings!$B$4),"|","")&amp;"OLD_30D",""))</f>
        <v/>
      </c>
      <c r="W456" s="21" t="str">
        <f>IF(OR($C456="", $M456&lt;&gt;"APPROVED",$I456="", $U456=0),"",SUMIFS($U$3:$U$502,$H$3:$H$502,$H456,$M$3:$M$502,"APPROVED",$Q$3:$Q$502,"&lt;="&amp;Settings!$B$4,$I$3:$I$502,"&lt;="&amp;$I456))</f>
        <v/>
      </c>
      <c r="X456" s="21" t="str">
        <f>IF(OR($C456="", $M456&lt;&gt;"APPROVED",$I456="", $U456=0),"",SUMIFS($U$3:$U$502,$H$3:$H$502,$H456,$M$3:$M$502,"APPROVED",$Q$3:$Q$502,"&lt;="&amp;Settings!$B$5,$I$3:$I$502,"&lt;="&amp;$I456))</f>
        <v/>
      </c>
      <c r="Y456" s="21" t="str">
        <f>IF($P456="","",IFERROR(MATCH($P456,Lists!$H$2:$H$4,0),""))</f>
        <v/>
      </c>
      <c r="Z456" s="21" t="str">
        <f t="shared" si="8"/>
        <v/>
      </c>
    </row>
    <row r="457" spans="1:26" ht="15.75" customHeight="1" x14ac:dyDescent="0.3">
      <c r="A457" s="16" t="str">
        <f t="shared" si="9"/>
        <v/>
      </c>
      <c r="B457" s="28"/>
      <c r="C457" s="29"/>
      <c r="D457" s="16"/>
      <c r="E457" s="16"/>
      <c r="F457" s="16"/>
      <c r="G457" s="16"/>
      <c r="H457" s="16"/>
      <c r="I457" s="31"/>
      <c r="J457" s="15"/>
      <c r="K457" s="15"/>
      <c r="L457" s="15"/>
      <c r="M457" s="16"/>
      <c r="N457" s="17"/>
      <c r="O457" s="19" t="str">
        <f t="shared" si="5"/>
        <v/>
      </c>
      <c r="P457" s="17"/>
      <c r="Q457" s="17" t="str">
        <f t="shared" ca="1" si="6"/>
        <v/>
      </c>
      <c r="R457" s="21" t="str">
        <f ca="1">IF($Q457="","",IF($Q457&lt;=Settings!$B$8,Settings!$C$8,IF($Q457&lt;=Settings!$B$9,Settings!$C$9,IF($Q457&lt;=Settings!$B$10,Settings!$C$10,IF($Q457&lt;=Settings!$B$11,Settings!$C$11,Settings!$C$12)))))</f>
        <v/>
      </c>
      <c r="S457" s="21" t="str">
        <f>IF($F457="","",IFERROR(VLOOKUP($F457,Settings!$E$8:$F$11,2,FALSE),0))</f>
        <v/>
      </c>
      <c r="T457" s="21">
        <f>IF($G457="",Settings!$B$16,1)</f>
        <v>1</v>
      </c>
      <c r="U457" s="21" t="str">
        <f t="shared" si="7"/>
        <v/>
      </c>
      <c r="V457" s="32" t="str">
        <f>IF($C457="","",IF($Q457&gt;Settings!$B$4,IF($G457="","|","")&amp;"OLD_7D","")&amp;IF($Q457&gt;Settings!$B$5,IF(OR($G457="", $Q457&gt;Settings!$B$4),"|","")&amp;"OLD_30D",""))</f>
        <v/>
      </c>
      <c r="W457" s="21" t="str">
        <f>IF(OR($C457="", $M457&lt;&gt;"APPROVED",$I457="", $U457=0),"",SUMIFS($U$3:$U$502,$H$3:$H$502,$H457,$M$3:$M$502,"APPROVED",$Q$3:$Q$502,"&lt;="&amp;Settings!$B$4,$I$3:$I$502,"&lt;="&amp;$I457))</f>
        <v/>
      </c>
      <c r="X457" s="21" t="str">
        <f>IF(OR($C457="", $M457&lt;&gt;"APPROVED",$I457="", $U457=0),"",SUMIFS($U$3:$U$502,$H$3:$H$502,$H457,$M$3:$M$502,"APPROVED",$Q$3:$Q$502,"&lt;="&amp;Settings!$B$5,$I$3:$I$502,"&lt;="&amp;$I457))</f>
        <v/>
      </c>
      <c r="Y457" s="21" t="str">
        <f>IF($P457="","",IFERROR(MATCH($P457,Lists!$H$2:$H$4,0),""))</f>
        <v/>
      </c>
      <c r="Z457" s="21" t="str">
        <f t="shared" si="8"/>
        <v/>
      </c>
    </row>
    <row r="458" spans="1:26" ht="15.75" customHeight="1" x14ac:dyDescent="0.3">
      <c r="A458" s="16" t="str">
        <f t="shared" si="9"/>
        <v/>
      </c>
      <c r="B458" s="28"/>
      <c r="C458" s="29"/>
      <c r="D458" s="16"/>
      <c r="E458" s="16"/>
      <c r="F458" s="16"/>
      <c r="G458" s="16"/>
      <c r="H458" s="16"/>
      <c r="I458" s="31"/>
      <c r="J458" s="15"/>
      <c r="K458" s="15"/>
      <c r="L458" s="15"/>
      <c r="M458" s="16"/>
      <c r="N458" s="17"/>
      <c r="O458" s="19" t="str">
        <f t="shared" si="5"/>
        <v/>
      </c>
      <c r="P458" s="17"/>
      <c r="Q458" s="17" t="str">
        <f t="shared" ca="1" si="6"/>
        <v/>
      </c>
      <c r="R458" s="21" t="str">
        <f ca="1">IF($Q458="","",IF($Q458&lt;=Settings!$B$8,Settings!$C$8,IF($Q458&lt;=Settings!$B$9,Settings!$C$9,IF($Q458&lt;=Settings!$B$10,Settings!$C$10,IF($Q458&lt;=Settings!$B$11,Settings!$C$11,Settings!$C$12)))))</f>
        <v/>
      </c>
      <c r="S458" s="21" t="str">
        <f>IF($F458="","",IFERROR(VLOOKUP($F458,Settings!$E$8:$F$11,2,FALSE),0))</f>
        <v/>
      </c>
      <c r="T458" s="21">
        <f>IF($G458="",Settings!$B$16,1)</f>
        <v>1</v>
      </c>
      <c r="U458" s="21" t="str">
        <f t="shared" si="7"/>
        <v/>
      </c>
      <c r="V458" s="32" t="str">
        <f>IF($C458="","",IF($Q458&gt;Settings!$B$4,IF($G458="","|","")&amp;"OLD_7D","")&amp;IF($Q458&gt;Settings!$B$5,IF(OR($G458="", $Q458&gt;Settings!$B$4),"|","")&amp;"OLD_30D",""))</f>
        <v/>
      </c>
      <c r="W458" s="21" t="str">
        <f>IF(OR($C458="", $M458&lt;&gt;"APPROVED",$I458="", $U458=0),"",SUMIFS($U$3:$U$502,$H$3:$H$502,$H458,$M$3:$M$502,"APPROVED",$Q$3:$Q$502,"&lt;="&amp;Settings!$B$4,$I$3:$I$502,"&lt;="&amp;$I458))</f>
        <v/>
      </c>
      <c r="X458" s="21" t="str">
        <f>IF(OR($C458="", $M458&lt;&gt;"APPROVED",$I458="", $U458=0),"",SUMIFS($U$3:$U$502,$H$3:$H$502,$H458,$M$3:$M$502,"APPROVED",$Q$3:$Q$502,"&lt;="&amp;Settings!$B$5,$I$3:$I$502,"&lt;="&amp;$I458))</f>
        <v/>
      </c>
      <c r="Y458" s="21" t="str">
        <f>IF($P458="","",IFERROR(MATCH($P458,Lists!$H$2:$H$4,0),""))</f>
        <v/>
      </c>
      <c r="Z458" s="21" t="str">
        <f t="shared" si="8"/>
        <v/>
      </c>
    </row>
    <row r="459" spans="1:26" ht="15.75" customHeight="1" x14ac:dyDescent="0.3">
      <c r="A459" s="16" t="str">
        <f t="shared" si="9"/>
        <v/>
      </c>
      <c r="B459" s="28"/>
      <c r="C459" s="29"/>
      <c r="D459" s="16"/>
      <c r="E459" s="16"/>
      <c r="F459" s="16"/>
      <c r="G459" s="16"/>
      <c r="H459" s="16"/>
      <c r="I459" s="31"/>
      <c r="J459" s="15"/>
      <c r="K459" s="15"/>
      <c r="L459" s="15"/>
      <c r="M459" s="16"/>
      <c r="N459" s="17"/>
      <c r="O459" s="19" t="str">
        <f t="shared" si="5"/>
        <v/>
      </c>
      <c r="P459" s="17"/>
      <c r="Q459" s="17" t="str">
        <f t="shared" ca="1" si="6"/>
        <v/>
      </c>
      <c r="R459" s="21" t="str">
        <f ca="1">IF($Q459="","",IF($Q459&lt;=Settings!$B$8,Settings!$C$8,IF($Q459&lt;=Settings!$B$9,Settings!$C$9,IF($Q459&lt;=Settings!$B$10,Settings!$C$10,IF($Q459&lt;=Settings!$B$11,Settings!$C$11,Settings!$C$12)))))</f>
        <v/>
      </c>
      <c r="S459" s="21" t="str">
        <f>IF($F459="","",IFERROR(VLOOKUP($F459,Settings!$E$8:$F$11,2,FALSE),0))</f>
        <v/>
      </c>
      <c r="T459" s="21">
        <f>IF($G459="",Settings!$B$16,1)</f>
        <v>1</v>
      </c>
      <c r="U459" s="21" t="str">
        <f t="shared" si="7"/>
        <v/>
      </c>
      <c r="V459" s="32" t="str">
        <f>IF($C459="","",IF($Q459&gt;Settings!$B$4,IF($G459="","|","")&amp;"OLD_7D","")&amp;IF($Q459&gt;Settings!$B$5,IF(OR($G459="", $Q459&gt;Settings!$B$4),"|","")&amp;"OLD_30D",""))</f>
        <v/>
      </c>
      <c r="W459" s="21" t="str">
        <f>IF(OR($C459="", $M459&lt;&gt;"APPROVED",$I459="", $U459=0),"",SUMIFS($U$3:$U$502,$H$3:$H$502,$H459,$M$3:$M$502,"APPROVED",$Q$3:$Q$502,"&lt;="&amp;Settings!$B$4,$I$3:$I$502,"&lt;="&amp;$I459))</f>
        <v/>
      </c>
      <c r="X459" s="21" t="str">
        <f>IF(OR($C459="", $M459&lt;&gt;"APPROVED",$I459="", $U459=0),"",SUMIFS($U$3:$U$502,$H$3:$H$502,$H459,$M$3:$M$502,"APPROVED",$Q$3:$Q$502,"&lt;="&amp;Settings!$B$5,$I$3:$I$502,"&lt;="&amp;$I459))</f>
        <v/>
      </c>
      <c r="Y459" s="21" t="str">
        <f>IF($P459="","",IFERROR(MATCH($P459,Lists!$H$2:$H$4,0),""))</f>
        <v/>
      </c>
      <c r="Z459" s="21" t="str">
        <f t="shared" si="8"/>
        <v/>
      </c>
    </row>
    <row r="460" spans="1:26" ht="15.75" customHeight="1" x14ac:dyDescent="0.3">
      <c r="A460" s="16" t="str">
        <f t="shared" si="9"/>
        <v/>
      </c>
      <c r="B460" s="28"/>
      <c r="C460" s="29"/>
      <c r="D460" s="16"/>
      <c r="E460" s="16"/>
      <c r="F460" s="16"/>
      <c r="G460" s="16"/>
      <c r="H460" s="16"/>
      <c r="I460" s="31"/>
      <c r="J460" s="15"/>
      <c r="K460" s="15"/>
      <c r="L460" s="15"/>
      <c r="M460" s="16"/>
      <c r="N460" s="17"/>
      <c r="O460" s="19" t="str">
        <f t="shared" si="5"/>
        <v/>
      </c>
      <c r="P460" s="17"/>
      <c r="Q460" s="17" t="str">
        <f t="shared" ca="1" si="6"/>
        <v/>
      </c>
      <c r="R460" s="21" t="str">
        <f ca="1">IF($Q460="","",IF($Q460&lt;=Settings!$B$8,Settings!$C$8,IF($Q460&lt;=Settings!$B$9,Settings!$C$9,IF($Q460&lt;=Settings!$B$10,Settings!$C$10,IF($Q460&lt;=Settings!$B$11,Settings!$C$11,Settings!$C$12)))))</f>
        <v/>
      </c>
      <c r="S460" s="21" t="str">
        <f>IF($F460="","",IFERROR(VLOOKUP($F460,Settings!$E$8:$F$11,2,FALSE),0))</f>
        <v/>
      </c>
      <c r="T460" s="21">
        <f>IF($G460="",Settings!$B$16,1)</f>
        <v>1</v>
      </c>
      <c r="U460" s="21" t="str">
        <f t="shared" si="7"/>
        <v/>
      </c>
      <c r="V460" s="32" t="str">
        <f>IF($C460="","",IF($Q460&gt;Settings!$B$4,IF($G460="","|","")&amp;"OLD_7D","")&amp;IF($Q460&gt;Settings!$B$5,IF(OR($G460="", $Q460&gt;Settings!$B$4),"|","")&amp;"OLD_30D",""))</f>
        <v/>
      </c>
      <c r="W460" s="21" t="str">
        <f>IF(OR($C460="", $M460&lt;&gt;"APPROVED",$I460="", $U460=0),"",SUMIFS($U$3:$U$502,$H$3:$H$502,$H460,$M$3:$M$502,"APPROVED",$Q$3:$Q$502,"&lt;="&amp;Settings!$B$4,$I$3:$I$502,"&lt;="&amp;$I460))</f>
        <v/>
      </c>
      <c r="X460" s="21" t="str">
        <f>IF(OR($C460="", $M460&lt;&gt;"APPROVED",$I460="", $U460=0),"",SUMIFS($U$3:$U$502,$H$3:$H$502,$H460,$M$3:$M$502,"APPROVED",$Q$3:$Q$502,"&lt;="&amp;Settings!$B$5,$I$3:$I$502,"&lt;="&amp;$I460))</f>
        <v/>
      </c>
      <c r="Y460" s="21" t="str">
        <f>IF($P460="","",IFERROR(MATCH($P460,Lists!$H$2:$H$4,0),""))</f>
        <v/>
      </c>
      <c r="Z460" s="21" t="str">
        <f t="shared" si="8"/>
        <v/>
      </c>
    </row>
    <row r="461" spans="1:26" ht="15.75" customHeight="1" x14ac:dyDescent="0.3">
      <c r="A461" s="16" t="str">
        <f t="shared" si="9"/>
        <v/>
      </c>
      <c r="B461" s="28"/>
      <c r="C461" s="29"/>
      <c r="D461" s="16"/>
      <c r="E461" s="16"/>
      <c r="F461" s="16"/>
      <c r="G461" s="16"/>
      <c r="H461" s="16"/>
      <c r="I461" s="31"/>
      <c r="J461" s="15"/>
      <c r="K461" s="15"/>
      <c r="L461" s="15"/>
      <c r="M461" s="16"/>
      <c r="N461" s="17"/>
      <c r="O461" s="19" t="str">
        <f t="shared" si="5"/>
        <v/>
      </c>
      <c r="P461" s="17"/>
      <c r="Q461" s="17" t="str">
        <f t="shared" ca="1" si="6"/>
        <v/>
      </c>
      <c r="R461" s="21" t="str">
        <f ca="1">IF($Q461="","",IF($Q461&lt;=Settings!$B$8,Settings!$C$8,IF($Q461&lt;=Settings!$B$9,Settings!$C$9,IF($Q461&lt;=Settings!$B$10,Settings!$C$10,IF($Q461&lt;=Settings!$B$11,Settings!$C$11,Settings!$C$12)))))</f>
        <v/>
      </c>
      <c r="S461" s="21" t="str">
        <f>IF($F461="","",IFERROR(VLOOKUP($F461,Settings!$E$8:$F$11,2,FALSE),0))</f>
        <v/>
      </c>
      <c r="T461" s="21">
        <f>IF($G461="",Settings!$B$16,1)</f>
        <v>1</v>
      </c>
      <c r="U461" s="21" t="str">
        <f t="shared" si="7"/>
        <v/>
      </c>
      <c r="V461" s="32" t="str">
        <f>IF($C461="","",IF($Q461&gt;Settings!$B$4,IF($G461="","|","")&amp;"OLD_7D","")&amp;IF($Q461&gt;Settings!$B$5,IF(OR($G461="", $Q461&gt;Settings!$B$4),"|","")&amp;"OLD_30D",""))</f>
        <v/>
      </c>
      <c r="W461" s="21" t="str">
        <f>IF(OR($C461="", $M461&lt;&gt;"APPROVED",$I461="", $U461=0),"",SUMIFS($U$3:$U$502,$H$3:$H$502,$H461,$M$3:$M$502,"APPROVED",$Q$3:$Q$502,"&lt;="&amp;Settings!$B$4,$I$3:$I$502,"&lt;="&amp;$I461))</f>
        <v/>
      </c>
      <c r="X461" s="21" t="str">
        <f>IF(OR($C461="", $M461&lt;&gt;"APPROVED",$I461="", $U461=0),"",SUMIFS($U$3:$U$502,$H$3:$H$502,$H461,$M$3:$M$502,"APPROVED",$Q$3:$Q$502,"&lt;="&amp;Settings!$B$5,$I$3:$I$502,"&lt;="&amp;$I461))</f>
        <v/>
      </c>
      <c r="Y461" s="21" t="str">
        <f>IF($P461="","",IFERROR(MATCH($P461,Lists!$H$2:$H$4,0),""))</f>
        <v/>
      </c>
      <c r="Z461" s="21" t="str">
        <f t="shared" si="8"/>
        <v/>
      </c>
    </row>
    <row r="462" spans="1:26" ht="15.75" customHeight="1" x14ac:dyDescent="0.3">
      <c r="A462" s="16" t="str">
        <f t="shared" si="9"/>
        <v/>
      </c>
      <c r="B462" s="28"/>
      <c r="C462" s="29"/>
      <c r="D462" s="16"/>
      <c r="E462" s="16"/>
      <c r="F462" s="16"/>
      <c r="G462" s="16"/>
      <c r="H462" s="16"/>
      <c r="I462" s="31"/>
      <c r="J462" s="15"/>
      <c r="K462" s="15"/>
      <c r="L462" s="15"/>
      <c r="M462" s="16"/>
      <c r="N462" s="17"/>
      <c r="O462" s="19" t="str">
        <f t="shared" si="5"/>
        <v/>
      </c>
      <c r="P462" s="17"/>
      <c r="Q462" s="17" t="str">
        <f t="shared" ca="1" si="6"/>
        <v/>
      </c>
      <c r="R462" s="21" t="str">
        <f ca="1">IF($Q462="","",IF($Q462&lt;=Settings!$B$8,Settings!$C$8,IF($Q462&lt;=Settings!$B$9,Settings!$C$9,IF($Q462&lt;=Settings!$B$10,Settings!$C$10,IF($Q462&lt;=Settings!$B$11,Settings!$C$11,Settings!$C$12)))))</f>
        <v/>
      </c>
      <c r="S462" s="21" t="str">
        <f>IF($F462="","",IFERROR(VLOOKUP($F462,Settings!$E$8:$F$11,2,FALSE),0))</f>
        <v/>
      </c>
      <c r="T462" s="21">
        <f>IF($G462="",Settings!$B$16,1)</f>
        <v>1</v>
      </c>
      <c r="U462" s="21" t="str">
        <f t="shared" si="7"/>
        <v/>
      </c>
      <c r="V462" s="32" t="str">
        <f>IF($C462="","",IF($Q462&gt;Settings!$B$4,IF($G462="","|","")&amp;"OLD_7D","")&amp;IF($Q462&gt;Settings!$B$5,IF(OR($G462="", $Q462&gt;Settings!$B$4),"|","")&amp;"OLD_30D",""))</f>
        <v/>
      </c>
      <c r="W462" s="21" t="str">
        <f>IF(OR($C462="", $M462&lt;&gt;"APPROVED",$I462="", $U462=0),"",SUMIFS($U$3:$U$502,$H$3:$H$502,$H462,$M$3:$M$502,"APPROVED",$Q$3:$Q$502,"&lt;="&amp;Settings!$B$4,$I$3:$I$502,"&lt;="&amp;$I462))</f>
        <v/>
      </c>
      <c r="X462" s="21" t="str">
        <f>IF(OR($C462="", $M462&lt;&gt;"APPROVED",$I462="", $U462=0),"",SUMIFS($U$3:$U$502,$H$3:$H$502,$H462,$M$3:$M$502,"APPROVED",$Q$3:$Q$502,"&lt;="&amp;Settings!$B$5,$I$3:$I$502,"&lt;="&amp;$I462))</f>
        <v/>
      </c>
      <c r="Y462" s="21" t="str">
        <f>IF($P462="","",IFERROR(MATCH($P462,Lists!$H$2:$H$4,0),""))</f>
        <v/>
      </c>
      <c r="Z462" s="21" t="str">
        <f t="shared" si="8"/>
        <v/>
      </c>
    </row>
    <row r="463" spans="1:26" ht="15.75" customHeight="1" x14ac:dyDescent="0.3">
      <c r="A463" s="16" t="str">
        <f t="shared" si="9"/>
        <v/>
      </c>
      <c r="B463" s="28"/>
      <c r="C463" s="29"/>
      <c r="D463" s="16"/>
      <c r="E463" s="16"/>
      <c r="F463" s="16"/>
      <c r="G463" s="16"/>
      <c r="H463" s="16"/>
      <c r="I463" s="31"/>
      <c r="J463" s="15"/>
      <c r="K463" s="15"/>
      <c r="L463" s="15"/>
      <c r="M463" s="16"/>
      <c r="N463" s="17"/>
      <c r="O463" s="19" t="str">
        <f t="shared" si="5"/>
        <v/>
      </c>
      <c r="P463" s="17"/>
      <c r="Q463" s="17" t="str">
        <f t="shared" ca="1" si="6"/>
        <v/>
      </c>
      <c r="R463" s="21" t="str">
        <f ca="1">IF($Q463="","",IF($Q463&lt;=Settings!$B$8,Settings!$C$8,IF($Q463&lt;=Settings!$B$9,Settings!$C$9,IF($Q463&lt;=Settings!$B$10,Settings!$C$10,IF($Q463&lt;=Settings!$B$11,Settings!$C$11,Settings!$C$12)))))</f>
        <v/>
      </c>
      <c r="S463" s="21" t="str">
        <f>IF($F463="","",IFERROR(VLOOKUP($F463,Settings!$E$8:$F$11,2,FALSE),0))</f>
        <v/>
      </c>
      <c r="T463" s="21">
        <f>IF($G463="",Settings!$B$16,1)</f>
        <v>1</v>
      </c>
      <c r="U463" s="21" t="str">
        <f t="shared" si="7"/>
        <v/>
      </c>
      <c r="V463" s="32" t="str">
        <f>IF($C463="","",IF($Q463&gt;Settings!$B$4,IF($G463="","|","")&amp;"OLD_7D","")&amp;IF($Q463&gt;Settings!$B$5,IF(OR($G463="", $Q463&gt;Settings!$B$4),"|","")&amp;"OLD_30D",""))</f>
        <v/>
      </c>
      <c r="W463" s="21" t="str">
        <f>IF(OR($C463="", $M463&lt;&gt;"APPROVED",$I463="", $U463=0),"",SUMIFS($U$3:$U$502,$H$3:$H$502,$H463,$M$3:$M$502,"APPROVED",$Q$3:$Q$502,"&lt;="&amp;Settings!$B$4,$I$3:$I$502,"&lt;="&amp;$I463))</f>
        <v/>
      </c>
      <c r="X463" s="21" t="str">
        <f>IF(OR($C463="", $M463&lt;&gt;"APPROVED",$I463="", $U463=0),"",SUMIFS($U$3:$U$502,$H$3:$H$502,$H463,$M$3:$M$502,"APPROVED",$Q$3:$Q$502,"&lt;="&amp;Settings!$B$5,$I$3:$I$502,"&lt;="&amp;$I463))</f>
        <v/>
      </c>
      <c r="Y463" s="21" t="str">
        <f>IF($P463="","",IFERROR(MATCH($P463,Lists!$H$2:$H$4,0),""))</f>
        <v/>
      </c>
      <c r="Z463" s="21" t="str">
        <f t="shared" si="8"/>
        <v/>
      </c>
    </row>
    <row r="464" spans="1:26" ht="15.75" customHeight="1" x14ac:dyDescent="0.3">
      <c r="A464" s="16" t="str">
        <f t="shared" si="9"/>
        <v/>
      </c>
      <c r="B464" s="28"/>
      <c r="C464" s="29"/>
      <c r="D464" s="16"/>
      <c r="E464" s="16"/>
      <c r="F464" s="16"/>
      <c r="G464" s="16"/>
      <c r="H464" s="16"/>
      <c r="I464" s="31"/>
      <c r="J464" s="15"/>
      <c r="K464" s="15"/>
      <c r="L464" s="15"/>
      <c r="M464" s="16"/>
      <c r="N464" s="17"/>
      <c r="O464" s="19" t="str">
        <f t="shared" si="5"/>
        <v/>
      </c>
      <c r="P464" s="17"/>
      <c r="Q464" s="17" t="str">
        <f t="shared" ca="1" si="6"/>
        <v/>
      </c>
      <c r="R464" s="21" t="str">
        <f ca="1">IF($Q464="","",IF($Q464&lt;=Settings!$B$8,Settings!$C$8,IF($Q464&lt;=Settings!$B$9,Settings!$C$9,IF($Q464&lt;=Settings!$B$10,Settings!$C$10,IF($Q464&lt;=Settings!$B$11,Settings!$C$11,Settings!$C$12)))))</f>
        <v/>
      </c>
      <c r="S464" s="21" t="str">
        <f>IF($F464="","",IFERROR(VLOOKUP($F464,Settings!$E$8:$F$11,2,FALSE),0))</f>
        <v/>
      </c>
      <c r="T464" s="21">
        <f>IF($G464="",Settings!$B$16,1)</f>
        <v>1</v>
      </c>
      <c r="U464" s="21" t="str">
        <f t="shared" si="7"/>
        <v/>
      </c>
      <c r="V464" s="32" t="str">
        <f>IF($C464="","",IF($Q464&gt;Settings!$B$4,IF($G464="","|","")&amp;"OLD_7D","")&amp;IF($Q464&gt;Settings!$B$5,IF(OR($G464="", $Q464&gt;Settings!$B$4),"|","")&amp;"OLD_30D",""))</f>
        <v/>
      </c>
      <c r="W464" s="21" t="str">
        <f>IF(OR($C464="", $M464&lt;&gt;"APPROVED",$I464="", $U464=0),"",SUMIFS($U$3:$U$502,$H$3:$H$502,$H464,$M$3:$M$502,"APPROVED",$Q$3:$Q$502,"&lt;="&amp;Settings!$B$4,$I$3:$I$502,"&lt;="&amp;$I464))</f>
        <v/>
      </c>
      <c r="X464" s="21" t="str">
        <f>IF(OR($C464="", $M464&lt;&gt;"APPROVED",$I464="", $U464=0),"",SUMIFS($U$3:$U$502,$H$3:$H$502,$H464,$M$3:$M$502,"APPROVED",$Q$3:$Q$502,"&lt;="&amp;Settings!$B$5,$I$3:$I$502,"&lt;="&amp;$I464))</f>
        <v/>
      </c>
      <c r="Y464" s="21" t="str">
        <f>IF($P464="","",IFERROR(MATCH($P464,Lists!$H$2:$H$4,0),""))</f>
        <v/>
      </c>
      <c r="Z464" s="21" t="str">
        <f t="shared" si="8"/>
        <v/>
      </c>
    </row>
    <row r="465" spans="1:26" ht="15.75" customHeight="1" x14ac:dyDescent="0.3">
      <c r="A465" s="16" t="str">
        <f t="shared" si="9"/>
        <v/>
      </c>
      <c r="B465" s="28"/>
      <c r="C465" s="29"/>
      <c r="D465" s="16"/>
      <c r="E465" s="16"/>
      <c r="F465" s="16"/>
      <c r="G465" s="16"/>
      <c r="H465" s="16"/>
      <c r="I465" s="31"/>
      <c r="J465" s="15"/>
      <c r="K465" s="15"/>
      <c r="L465" s="15"/>
      <c r="M465" s="16"/>
      <c r="N465" s="17"/>
      <c r="O465" s="19" t="str">
        <f t="shared" si="5"/>
        <v/>
      </c>
      <c r="P465" s="17"/>
      <c r="Q465" s="17" t="str">
        <f t="shared" ca="1" si="6"/>
        <v/>
      </c>
      <c r="R465" s="21" t="str">
        <f ca="1">IF($Q465="","",IF($Q465&lt;=Settings!$B$8,Settings!$C$8,IF($Q465&lt;=Settings!$B$9,Settings!$C$9,IF($Q465&lt;=Settings!$B$10,Settings!$C$10,IF($Q465&lt;=Settings!$B$11,Settings!$C$11,Settings!$C$12)))))</f>
        <v/>
      </c>
      <c r="S465" s="21" t="str">
        <f>IF($F465="","",IFERROR(VLOOKUP($F465,Settings!$E$8:$F$11,2,FALSE),0))</f>
        <v/>
      </c>
      <c r="T465" s="21">
        <f>IF($G465="",Settings!$B$16,1)</f>
        <v>1</v>
      </c>
      <c r="U465" s="21" t="str">
        <f t="shared" si="7"/>
        <v/>
      </c>
      <c r="V465" s="32" t="str">
        <f>IF($C465="","",IF($Q465&gt;Settings!$B$4,IF($G465="","|","")&amp;"OLD_7D","")&amp;IF($Q465&gt;Settings!$B$5,IF(OR($G465="", $Q465&gt;Settings!$B$4),"|","")&amp;"OLD_30D",""))</f>
        <v/>
      </c>
      <c r="W465" s="21" t="str">
        <f>IF(OR($C465="", $M465&lt;&gt;"APPROVED",$I465="", $U465=0),"",SUMIFS($U$3:$U$502,$H$3:$H$502,$H465,$M$3:$M$502,"APPROVED",$Q$3:$Q$502,"&lt;="&amp;Settings!$B$4,$I$3:$I$502,"&lt;="&amp;$I465))</f>
        <v/>
      </c>
      <c r="X465" s="21" t="str">
        <f>IF(OR($C465="", $M465&lt;&gt;"APPROVED",$I465="", $U465=0),"",SUMIFS($U$3:$U$502,$H$3:$H$502,$H465,$M$3:$M$502,"APPROVED",$Q$3:$Q$502,"&lt;="&amp;Settings!$B$5,$I$3:$I$502,"&lt;="&amp;$I465))</f>
        <v/>
      </c>
      <c r="Y465" s="21" t="str">
        <f>IF($P465="","",IFERROR(MATCH($P465,Lists!$H$2:$H$4,0),""))</f>
        <v/>
      </c>
      <c r="Z465" s="21" t="str">
        <f t="shared" si="8"/>
        <v/>
      </c>
    </row>
    <row r="466" spans="1:26" ht="15.75" customHeight="1" x14ac:dyDescent="0.3">
      <c r="A466" s="16" t="str">
        <f t="shared" si="9"/>
        <v/>
      </c>
      <c r="B466" s="28"/>
      <c r="C466" s="29"/>
      <c r="D466" s="16"/>
      <c r="E466" s="16"/>
      <c r="F466" s="16"/>
      <c r="G466" s="16"/>
      <c r="H466" s="16"/>
      <c r="I466" s="31"/>
      <c r="J466" s="15"/>
      <c r="K466" s="15"/>
      <c r="L466" s="15"/>
      <c r="M466" s="16"/>
      <c r="N466" s="17"/>
      <c r="O466" s="19" t="str">
        <f t="shared" si="5"/>
        <v/>
      </c>
      <c r="P466" s="17"/>
      <c r="Q466" s="17" t="str">
        <f t="shared" ca="1" si="6"/>
        <v/>
      </c>
      <c r="R466" s="21" t="str">
        <f ca="1">IF($Q466="","",IF($Q466&lt;=Settings!$B$8,Settings!$C$8,IF($Q466&lt;=Settings!$B$9,Settings!$C$9,IF($Q466&lt;=Settings!$B$10,Settings!$C$10,IF($Q466&lt;=Settings!$B$11,Settings!$C$11,Settings!$C$12)))))</f>
        <v/>
      </c>
      <c r="S466" s="21" t="str">
        <f>IF($F466="","",IFERROR(VLOOKUP($F466,Settings!$E$8:$F$11,2,FALSE),0))</f>
        <v/>
      </c>
      <c r="T466" s="21">
        <f>IF($G466="",Settings!$B$16,1)</f>
        <v>1</v>
      </c>
      <c r="U466" s="21" t="str">
        <f t="shared" si="7"/>
        <v/>
      </c>
      <c r="V466" s="32" t="str">
        <f>IF($C466="","",IF($Q466&gt;Settings!$B$4,IF($G466="","|","")&amp;"OLD_7D","")&amp;IF($Q466&gt;Settings!$B$5,IF(OR($G466="", $Q466&gt;Settings!$B$4),"|","")&amp;"OLD_30D",""))</f>
        <v/>
      </c>
      <c r="W466" s="21" t="str">
        <f>IF(OR($C466="", $M466&lt;&gt;"APPROVED",$I466="", $U466=0),"",SUMIFS($U$3:$U$502,$H$3:$H$502,$H466,$M$3:$M$502,"APPROVED",$Q$3:$Q$502,"&lt;="&amp;Settings!$B$4,$I$3:$I$502,"&lt;="&amp;$I466))</f>
        <v/>
      </c>
      <c r="X466" s="21" t="str">
        <f>IF(OR($C466="", $M466&lt;&gt;"APPROVED",$I466="", $U466=0),"",SUMIFS($U$3:$U$502,$H$3:$H$502,$H466,$M$3:$M$502,"APPROVED",$Q$3:$Q$502,"&lt;="&amp;Settings!$B$5,$I$3:$I$502,"&lt;="&amp;$I466))</f>
        <v/>
      </c>
      <c r="Y466" s="21" t="str">
        <f>IF($P466="","",IFERROR(MATCH($P466,Lists!$H$2:$H$4,0),""))</f>
        <v/>
      </c>
      <c r="Z466" s="21" t="str">
        <f t="shared" si="8"/>
        <v/>
      </c>
    </row>
    <row r="467" spans="1:26" ht="15.75" customHeight="1" x14ac:dyDescent="0.3">
      <c r="A467" s="16" t="str">
        <f t="shared" si="9"/>
        <v/>
      </c>
      <c r="B467" s="28"/>
      <c r="C467" s="29"/>
      <c r="D467" s="16"/>
      <c r="E467" s="16"/>
      <c r="F467" s="16"/>
      <c r="G467" s="16"/>
      <c r="H467" s="16"/>
      <c r="I467" s="31"/>
      <c r="J467" s="15"/>
      <c r="K467" s="15"/>
      <c r="L467" s="15"/>
      <c r="M467" s="16"/>
      <c r="N467" s="17"/>
      <c r="O467" s="19" t="str">
        <f t="shared" si="5"/>
        <v/>
      </c>
      <c r="P467" s="17"/>
      <c r="Q467" s="17" t="str">
        <f t="shared" ca="1" si="6"/>
        <v/>
      </c>
      <c r="R467" s="21" t="str">
        <f ca="1">IF($Q467="","",IF($Q467&lt;=Settings!$B$8,Settings!$C$8,IF($Q467&lt;=Settings!$B$9,Settings!$C$9,IF($Q467&lt;=Settings!$B$10,Settings!$C$10,IF($Q467&lt;=Settings!$B$11,Settings!$C$11,Settings!$C$12)))))</f>
        <v/>
      </c>
      <c r="S467" s="21" t="str">
        <f>IF($F467="","",IFERROR(VLOOKUP($F467,Settings!$E$8:$F$11,2,FALSE),0))</f>
        <v/>
      </c>
      <c r="T467" s="21">
        <f>IF($G467="",Settings!$B$16,1)</f>
        <v>1</v>
      </c>
      <c r="U467" s="21" t="str">
        <f t="shared" si="7"/>
        <v/>
      </c>
      <c r="V467" s="32" t="str">
        <f>IF($C467="","",IF($Q467&gt;Settings!$B$4,IF($G467="","|","")&amp;"OLD_7D","")&amp;IF($Q467&gt;Settings!$B$5,IF(OR($G467="", $Q467&gt;Settings!$B$4),"|","")&amp;"OLD_30D",""))</f>
        <v/>
      </c>
      <c r="W467" s="21" t="str">
        <f>IF(OR($C467="", $M467&lt;&gt;"APPROVED",$I467="", $U467=0),"",SUMIFS($U$3:$U$502,$H$3:$H$502,$H467,$M$3:$M$502,"APPROVED",$Q$3:$Q$502,"&lt;="&amp;Settings!$B$4,$I$3:$I$502,"&lt;="&amp;$I467))</f>
        <v/>
      </c>
      <c r="X467" s="21" t="str">
        <f>IF(OR($C467="", $M467&lt;&gt;"APPROVED",$I467="", $U467=0),"",SUMIFS($U$3:$U$502,$H$3:$H$502,$H467,$M$3:$M$502,"APPROVED",$Q$3:$Q$502,"&lt;="&amp;Settings!$B$5,$I$3:$I$502,"&lt;="&amp;$I467))</f>
        <v/>
      </c>
      <c r="Y467" s="21" t="str">
        <f>IF($P467="","",IFERROR(MATCH($P467,Lists!$H$2:$H$4,0),""))</f>
        <v/>
      </c>
      <c r="Z467" s="21" t="str">
        <f t="shared" si="8"/>
        <v/>
      </c>
    </row>
    <row r="468" spans="1:26" ht="15.75" customHeight="1" x14ac:dyDescent="0.3">
      <c r="A468" s="16" t="str">
        <f t="shared" si="9"/>
        <v/>
      </c>
      <c r="B468" s="28"/>
      <c r="C468" s="29"/>
      <c r="D468" s="16"/>
      <c r="E468" s="16"/>
      <c r="F468" s="16"/>
      <c r="G468" s="16"/>
      <c r="H468" s="16"/>
      <c r="I468" s="31"/>
      <c r="J468" s="15"/>
      <c r="K468" s="15"/>
      <c r="L468" s="15"/>
      <c r="M468" s="16"/>
      <c r="N468" s="17"/>
      <c r="O468" s="19" t="str">
        <f t="shared" si="5"/>
        <v/>
      </c>
      <c r="P468" s="17"/>
      <c r="Q468" s="17" t="str">
        <f t="shared" ca="1" si="6"/>
        <v/>
      </c>
      <c r="R468" s="21" t="str">
        <f ca="1">IF($Q468="","",IF($Q468&lt;=Settings!$B$8,Settings!$C$8,IF($Q468&lt;=Settings!$B$9,Settings!$C$9,IF($Q468&lt;=Settings!$B$10,Settings!$C$10,IF($Q468&lt;=Settings!$B$11,Settings!$C$11,Settings!$C$12)))))</f>
        <v/>
      </c>
      <c r="S468" s="21" t="str">
        <f>IF($F468="","",IFERROR(VLOOKUP($F468,Settings!$E$8:$F$11,2,FALSE),0))</f>
        <v/>
      </c>
      <c r="T468" s="21">
        <f>IF($G468="",Settings!$B$16,1)</f>
        <v>1</v>
      </c>
      <c r="U468" s="21" t="str">
        <f t="shared" si="7"/>
        <v/>
      </c>
      <c r="V468" s="32" t="str">
        <f>IF($C468="","",IF($Q468&gt;Settings!$B$4,IF($G468="","|","")&amp;"OLD_7D","")&amp;IF($Q468&gt;Settings!$B$5,IF(OR($G468="", $Q468&gt;Settings!$B$4),"|","")&amp;"OLD_30D",""))</f>
        <v/>
      </c>
      <c r="W468" s="21" t="str">
        <f>IF(OR($C468="", $M468&lt;&gt;"APPROVED",$I468="", $U468=0),"",SUMIFS($U$3:$U$502,$H$3:$H$502,$H468,$M$3:$M$502,"APPROVED",$Q$3:$Q$502,"&lt;="&amp;Settings!$B$4,$I$3:$I$502,"&lt;="&amp;$I468))</f>
        <v/>
      </c>
      <c r="X468" s="21" t="str">
        <f>IF(OR($C468="", $M468&lt;&gt;"APPROVED",$I468="", $U468=0),"",SUMIFS($U$3:$U$502,$H$3:$H$502,$H468,$M$3:$M$502,"APPROVED",$Q$3:$Q$502,"&lt;="&amp;Settings!$B$5,$I$3:$I$502,"&lt;="&amp;$I468))</f>
        <v/>
      </c>
      <c r="Y468" s="21" t="str">
        <f>IF($P468="","",IFERROR(MATCH($P468,Lists!$H$2:$H$4,0),""))</f>
        <v/>
      </c>
      <c r="Z468" s="21" t="str">
        <f t="shared" si="8"/>
        <v/>
      </c>
    </row>
    <row r="469" spans="1:26" ht="15.75" customHeight="1" x14ac:dyDescent="0.3">
      <c r="A469" s="16" t="str">
        <f t="shared" si="9"/>
        <v/>
      </c>
      <c r="B469" s="28"/>
      <c r="C469" s="29"/>
      <c r="D469" s="16"/>
      <c r="E469" s="16"/>
      <c r="F469" s="16"/>
      <c r="G469" s="16"/>
      <c r="H469" s="16"/>
      <c r="I469" s="31"/>
      <c r="J469" s="15"/>
      <c r="K469" s="15"/>
      <c r="L469" s="15"/>
      <c r="M469" s="16"/>
      <c r="N469" s="17"/>
      <c r="O469" s="19" t="str">
        <f t="shared" si="5"/>
        <v/>
      </c>
      <c r="P469" s="17"/>
      <c r="Q469" s="17" t="str">
        <f t="shared" ca="1" si="6"/>
        <v/>
      </c>
      <c r="R469" s="21" t="str">
        <f ca="1">IF($Q469="","",IF($Q469&lt;=Settings!$B$8,Settings!$C$8,IF($Q469&lt;=Settings!$B$9,Settings!$C$9,IF($Q469&lt;=Settings!$B$10,Settings!$C$10,IF($Q469&lt;=Settings!$B$11,Settings!$C$11,Settings!$C$12)))))</f>
        <v/>
      </c>
      <c r="S469" s="21" t="str">
        <f>IF($F469="","",IFERROR(VLOOKUP($F469,Settings!$E$8:$F$11,2,FALSE),0))</f>
        <v/>
      </c>
      <c r="T469" s="21">
        <f>IF($G469="",Settings!$B$16,1)</f>
        <v>1</v>
      </c>
      <c r="U469" s="21" t="str">
        <f t="shared" si="7"/>
        <v/>
      </c>
      <c r="V469" s="32" t="str">
        <f>IF($C469="","",IF($Q469&gt;Settings!$B$4,IF($G469="","|","")&amp;"OLD_7D","")&amp;IF($Q469&gt;Settings!$B$5,IF(OR($G469="", $Q469&gt;Settings!$B$4),"|","")&amp;"OLD_30D",""))</f>
        <v/>
      </c>
      <c r="W469" s="21" t="str">
        <f>IF(OR($C469="", $M469&lt;&gt;"APPROVED",$I469="", $U469=0),"",SUMIFS($U$3:$U$502,$H$3:$H$502,$H469,$M$3:$M$502,"APPROVED",$Q$3:$Q$502,"&lt;="&amp;Settings!$B$4,$I$3:$I$502,"&lt;="&amp;$I469))</f>
        <v/>
      </c>
      <c r="X469" s="21" t="str">
        <f>IF(OR($C469="", $M469&lt;&gt;"APPROVED",$I469="", $U469=0),"",SUMIFS($U$3:$U$502,$H$3:$H$502,$H469,$M$3:$M$502,"APPROVED",$Q$3:$Q$502,"&lt;="&amp;Settings!$B$5,$I$3:$I$502,"&lt;="&amp;$I469))</f>
        <v/>
      </c>
      <c r="Y469" s="21" t="str">
        <f>IF($P469="","",IFERROR(MATCH($P469,Lists!$H$2:$H$4,0),""))</f>
        <v/>
      </c>
      <c r="Z469" s="21" t="str">
        <f t="shared" si="8"/>
        <v/>
      </c>
    </row>
    <row r="470" spans="1:26" ht="15.75" customHeight="1" x14ac:dyDescent="0.3">
      <c r="A470" s="16" t="str">
        <f t="shared" si="9"/>
        <v/>
      </c>
      <c r="B470" s="28"/>
      <c r="C470" s="29"/>
      <c r="D470" s="16"/>
      <c r="E470" s="16"/>
      <c r="F470" s="16"/>
      <c r="G470" s="16"/>
      <c r="H470" s="16"/>
      <c r="I470" s="31"/>
      <c r="J470" s="15"/>
      <c r="K470" s="15"/>
      <c r="L470" s="15"/>
      <c r="M470" s="16"/>
      <c r="N470" s="17"/>
      <c r="O470" s="19" t="str">
        <f t="shared" si="5"/>
        <v/>
      </c>
      <c r="P470" s="17"/>
      <c r="Q470" s="17" t="str">
        <f t="shared" ca="1" si="6"/>
        <v/>
      </c>
      <c r="R470" s="21" t="str">
        <f ca="1">IF($Q470="","",IF($Q470&lt;=Settings!$B$8,Settings!$C$8,IF($Q470&lt;=Settings!$B$9,Settings!$C$9,IF($Q470&lt;=Settings!$B$10,Settings!$C$10,IF($Q470&lt;=Settings!$B$11,Settings!$C$11,Settings!$C$12)))))</f>
        <v/>
      </c>
      <c r="S470" s="21" t="str">
        <f>IF($F470="","",IFERROR(VLOOKUP($F470,Settings!$E$8:$F$11,2,FALSE),0))</f>
        <v/>
      </c>
      <c r="T470" s="21">
        <f>IF($G470="",Settings!$B$16,1)</f>
        <v>1</v>
      </c>
      <c r="U470" s="21" t="str">
        <f t="shared" si="7"/>
        <v/>
      </c>
      <c r="V470" s="32" t="str">
        <f>IF($C470="","",IF($Q470&gt;Settings!$B$4,IF($G470="","|","")&amp;"OLD_7D","")&amp;IF($Q470&gt;Settings!$B$5,IF(OR($G470="", $Q470&gt;Settings!$B$4),"|","")&amp;"OLD_30D",""))</f>
        <v/>
      </c>
      <c r="W470" s="21" t="str">
        <f>IF(OR($C470="", $M470&lt;&gt;"APPROVED",$I470="", $U470=0),"",SUMIFS($U$3:$U$502,$H$3:$H$502,$H470,$M$3:$M$502,"APPROVED",$Q$3:$Q$502,"&lt;="&amp;Settings!$B$4,$I$3:$I$502,"&lt;="&amp;$I470))</f>
        <v/>
      </c>
      <c r="X470" s="21" t="str">
        <f>IF(OR($C470="", $M470&lt;&gt;"APPROVED",$I470="", $U470=0),"",SUMIFS($U$3:$U$502,$H$3:$H$502,$H470,$M$3:$M$502,"APPROVED",$Q$3:$Q$502,"&lt;="&amp;Settings!$B$5,$I$3:$I$502,"&lt;="&amp;$I470))</f>
        <v/>
      </c>
      <c r="Y470" s="21" t="str">
        <f>IF($P470="","",IFERROR(MATCH($P470,Lists!$H$2:$H$4,0),""))</f>
        <v/>
      </c>
      <c r="Z470" s="21" t="str">
        <f t="shared" si="8"/>
        <v/>
      </c>
    </row>
    <row r="471" spans="1:26" ht="15.75" customHeight="1" x14ac:dyDescent="0.3">
      <c r="A471" s="16" t="str">
        <f t="shared" si="9"/>
        <v/>
      </c>
      <c r="B471" s="28"/>
      <c r="C471" s="29"/>
      <c r="D471" s="16"/>
      <c r="E471" s="16"/>
      <c r="F471" s="16"/>
      <c r="G471" s="16"/>
      <c r="H471" s="16"/>
      <c r="I471" s="31"/>
      <c r="J471" s="15"/>
      <c r="K471" s="15"/>
      <c r="L471" s="15"/>
      <c r="M471" s="16"/>
      <c r="N471" s="17"/>
      <c r="O471" s="19" t="str">
        <f t="shared" si="5"/>
        <v/>
      </c>
      <c r="P471" s="17"/>
      <c r="Q471" s="17" t="str">
        <f t="shared" ca="1" si="6"/>
        <v/>
      </c>
      <c r="R471" s="21" t="str">
        <f ca="1">IF($Q471="","",IF($Q471&lt;=Settings!$B$8,Settings!$C$8,IF($Q471&lt;=Settings!$B$9,Settings!$C$9,IF($Q471&lt;=Settings!$B$10,Settings!$C$10,IF($Q471&lt;=Settings!$B$11,Settings!$C$11,Settings!$C$12)))))</f>
        <v/>
      </c>
      <c r="S471" s="21" t="str">
        <f>IF($F471="","",IFERROR(VLOOKUP($F471,Settings!$E$8:$F$11,2,FALSE),0))</f>
        <v/>
      </c>
      <c r="T471" s="21">
        <f>IF($G471="",Settings!$B$16,1)</f>
        <v>1</v>
      </c>
      <c r="U471" s="21" t="str">
        <f t="shared" si="7"/>
        <v/>
      </c>
      <c r="V471" s="32" t="str">
        <f>IF($C471="","",IF($Q471&gt;Settings!$B$4,IF($G471="","|","")&amp;"OLD_7D","")&amp;IF($Q471&gt;Settings!$B$5,IF(OR($G471="", $Q471&gt;Settings!$B$4),"|","")&amp;"OLD_30D",""))</f>
        <v/>
      </c>
      <c r="W471" s="21" t="str">
        <f>IF(OR($C471="", $M471&lt;&gt;"APPROVED",$I471="", $U471=0),"",SUMIFS($U$3:$U$502,$H$3:$H$502,$H471,$M$3:$M$502,"APPROVED",$Q$3:$Q$502,"&lt;="&amp;Settings!$B$4,$I$3:$I$502,"&lt;="&amp;$I471))</f>
        <v/>
      </c>
      <c r="X471" s="21" t="str">
        <f>IF(OR($C471="", $M471&lt;&gt;"APPROVED",$I471="", $U471=0),"",SUMIFS($U$3:$U$502,$H$3:$H$502,$H471,$M$3:$M$502,"APPROVED",$Q$3:$Q$502,"&lt;="&amp;Settings!$B$5,$I$3:$I$502,"&lt;="&amp;$I471))</f>
        <v/>
      </c>
      <c r="Y471" s="21" t="str">
        <f>IF($P471="","",IFERROR(MATCH($P471,Lists!$H$2:$H$4,0),""))</f>
        <v/>
      </c>
      <c r="Z471" s="21" t="str">
        <f t="shared" si="8"/>
        <v/>
      </c>
    </row>
    <row r="472" spans="1:26" ht="15.75" customHeight="1" x14ac:dyDescent="0.3">
      <c r="A472" s="16" t="str">
        <f t="shared" si="9"/>
        <v/>
      </c>
      <c r="B472" s="28"/>
      <c r="C472" s="29"/>
      <c r="D472" s="16"/>
      <c r="E472" s="16"/>
      <c r="F472" s="16"/>
      <c r="G472" s="16"/>
      <c r="H472" s="16"/>
      <c r="I472" s="31"/>
      <c r="J472" s="15"/>
      <c r="K472" s="15"/>
      <c r="L472" s="15"/>
      <c r="M472" s="16"/>
      <c r="N472" s="17"/>
      <c r="O472" s="19" t="str">
        <f t="shared" si="5"/>
        <v/>
      </c>
      <c r="P472" s="17"/>
      <c r="Q472" s="17" t="str">
        <f t="shared" ca="1" si="6"/>
        <v/>
      </c>
      <c r="R472" s="21" t="str">
        <f ca="1">IF($Q472="","",IF($Q472&lt;=Settings!$B$8,Settings!$C$8,IF($Q472&lt;=Settings!$B$9,Settings!$C$9,IF($Q472&lt;=Settings!$B$10,Settings!$C$10,IF($Q472&lt;=Settings!$B$11,Settings!$C$11,Settings!$C$12)))))</f>
        <v/>
      </c>
      <c r="S472" s="21" t="str">
        <f>IF($F472="","",IFERROR(VLOOKUP($F472,Settings!$E$8:$F$11,2,FALSE),0))</f>
        <v/>
      </c>
      <c r="T472" s="21">
        <f>IF($G472="",Settings!$B$16,1)</f>
        <v>1</v>
      </c>
      <c r="U472" s="21" t="str">
        <f t="shared" si="7"/>
        <v/>
      </c>
      <c r="V472" s="32" t="str">
        <f>IF($C472="","",IF($Q472&gt;Settings!$B$4,IF($G472="","|","")&amp;"OLD_7D","")&amp;IF($Q472&gt;Settings!$B$5,IF(OR($G472="", $Q472&gt;Settings!$B$4),"|","")&amp;"OLD_30D",""))</f>
        <v/>
      </c>
      <c r="W472" s="21" t="str">
        <f>IF(OR($C472="", $M472&lt;&gt;"APPROVED",$I472="", $U472=0),"",SUMIFS($U$3:$U$502,$H$3:$H$502,$H472,$M$3:$M$502,"APPROVED",$Q$3:$Q$502,"&lt;="&amp;Settings!$B$4,$I$3:$I$502,"&lt;="&amp;$I472))</f>
        <v/>
      </c>
      <c r="X472" s="21" t="str">
        <f>IF(OR($C472="", $M472&lt;&gt;"APPROVED",$I472="", $U472=0),"",SUMIFS($U$3:$U$502,$H$3:$H$502,$H472,$M$3:$M$502,"APPROVED",$Q$3:$Q$502,"&lt;="&amp;Settings!$B$5,$I$3:$I$502,"&lt;="&amp;$I472))</f>
        <v/>
      </c>
      <c r="Y472" s="21" t="str">
        <f>IF($P472="","",IFERROR(MATCH($P472,Lists!$H$2:$H$4,0),""))</f>
        <v/>
      </c>
      <c r="Z472" s="21" t="str">
        <f t="shared" si="8"/>
        <v/>
      </c>
    </row>
    <row r="473" spans="1:26" ht="15.75" customHeight="1" x14ac:dyDescent="0.3">
      <c r="A473" s="16" t="str">
        <f t="shared" si="9"/>
        <v/>
      </c>
      <c r="B473" s="28"/>
      <c r="C473" s="29"/>
      <c r="D473" s="16"/>
      <c r="E473" s="16"/>
      <c r="F473" s="16"/>
      <c r="G473" s="16"/>
      <c r="H473" s="16"/>
      <c r="I473" s="31"/>
      <c r="J473" s="15"/>
      <c r="K473" s="15"/>
      <c r="L473" s="15"/>
      <c r="M473" s="16"/>
      <c r="N473" s="17"/>
      <c r="O473" s="19" t="str">
        <f t="shared" si="5"/>
        <v/>
      </c>
      <c r="P473" s="17"/>
      <c r="Q473" s="17" t="str">
        <f t="shared" ca="1" si="6"/>
        <v/>
      </c>
      <c r="R473" s="21" t="str">
        <f ca="1">IF($Q473="","",IF($Q473&lt;=Settings!$B$8,Settings!$C$8,IF($Q473&lt;=Settings!$B$9,Settings!$C$9,IF($Q473&lt;=Settings!$B$10,Settings!$C$10,IF($Q473&lt;=Settings!$B$11,Settings!$C$11,Settings!$C$12)))))</f>
        <v/>
      </c>
      <c r="S473" s="21" t="str">
        <f>IF($F473="","",IFERROR(VLOOKUP($F473,Settings!$E$8:$F$11,2,FALSE),0))</f>
        <v/>
      </c>
      <c r="T473" s="21">
        <f>IF($G473="",Settings!$B$16,1)</f>
        <v>1</v>
      </c>
      <c r="U473" s="21" t="str">
        <f t="shared" si="7"/>
        <v/>
      </c>
      <c r="V473" s="32" t="str">
        <f>IF($C473="","",IF($Q473&gt;Settings!$B$4,IF($G473="","|","")&amp;"OLD_7D","")&amp;IF($Q473&gt;Settings!$B$5,IF(OR($G473="", $Q473&gt;Settings!$B$4),"|","")&amp;"OLD_30D",""))</f>
        <v/>
      </c>
      <c r="W473" s="21" t="str">
        <f>IF(OR($C473="", $M473&lt;&gt;"APPROVED",$I473="", $U473=0),"",SUMIFS($U$3:$U$502,$H$3:$H$502,$H473,$M$3:$M$502,"APPROVED",$Q$3:$Q$502,"&lt;="&amp;Settings!$B$4,$I$3:$I$502,"&lt;="&amp;$I473))</f>
        <v/>
      </c>
      <c r="X473" s="21" t="str">
        <f>IF(OR($C473="", $M473&lt;&gt;"APPROVED",$I473="", $U473=0),"",SUMIFS($U$3:$U$502,$H$3:$H$502,$H473,$M$3:$M$502,"APPROVED",$Q$3:$Q$502,"&lt;="&amp;Settings!$B$5,$I$3:$I$502,"&lt;="&amp;$I473))</f>
        <v/>
      </c>
      <c r="Y473" s="21" t="str">
        <f>IF($P473="","",IFERROR(MATCH($P473,Lists!$H$2:$H$4,0),""))</f>
        <v/>
      </c>
      <c r="Z473" s="21" t="str">
        <f t="shared" si="8"/>
        <v/>
      </c>
    </row>
    <row r="474" spans="1:26" ht="15.75" customHeight="1" x14ac:dyDescent="0.3">
      <c r="A474" s="16" t="str">
        <f t="shared" si="9"/>
        <v/>
      </c>
      <c r="B474" s="28"/>
      <c r="C474" s="29"/>
      <c r="D474" s="16"/>
      <c r="E474" s="16"/>
      <c r="F474" s="16"/>
      <c r="G474" s="16"/>
      <c r="H474" s="16"/>
      <c r="I474" s="31"/>
      <c r="J474" s="15"/>
      <c r="K474" s="15"/>
      <c r="L474" s="15"/>
      <c r="M474" s="16"/>
      <c r="N474" s="17"/>
      <c r="O474" s="19" t="str">
        <f t="shared" si="5"/>
        <v/>
      </c>
      <c r="P474" s="17"/>
      <c r="Q474" s="17" t="str">
        <f t="shared" ca="1" si="6"/>
        <v/>
      </c>
      <c r="R474" s="21" t="str">
        <f ca="1">IF($Q474="","",IF($Q474&lt;=Settings!$B$8,Settings!$C$8,IF($Q474&lt;=Settings!$B$9,Settings!$C$9,IF($Q474&lt;=Settings!$B$10,Settings!$C$10,IF($Q474&lt;=Settings!$B$11,Settings!$C$11,Settings!$C$12)))))</f>
        <v/>
      </c>
      <c r="S474" s="21" t="str">
        <f>IF($F474="","",IFERROR(VLOOKUP($F474,Settings!$E$8:$F$11,2,FALSE),0))</f>
        <v/>
      </c>
      <c r="T474" s="21">
        <f>IF($G474="",Settings!$B$16,1)</f>
        <v>1</v>
      </c>
      <c r="U474" s="21" t="str">
        <f t="shared" si="7"/>
        <v/>
      </c>
      <c r="V474" s="32" t="str">
        <f>IF($C474="","",IF($Q474&gt;Settings!$B$4,IF($G474="","|","")&amp;"OLD_7D","")&amp;IF($Q474&gt;Settings!$B$5,IF(OR($G474="", $Q474&gt;Settings!$B$4),"|","")&amp;"OLD_30D",""))</f>
        <v/>
      </c>
      <c r="W474" s="21" t="str">
        <f>IF(OR($C474="", $M474&lt;&gt;"APPROVED",$I474="", $U474=0),"",SUMIFS($U$3:$U$502,$H$3:$H$502,$H474,$M$3:$M$502,"APPROVED",$Q$3:$Q$502,"&lt;="&amp;Settings!$B$4,$I$3:$I$502,"&lt;="&amp;$I474))</f>
        <v/>
      </c>
      <c r="X474" s="21" t="str">
        <f>IF(OR($C474="", $M474&lt;&gt;"APPROVED",$I474="", $U474=0),"",SUMIFS($U$3:$U$502,$H$3:$H$502,$H474,$M$3:$M$502,"APPROVED",$Q$3:$Q$502,"&lt;="&amp;Settings!$B$5,$I$3:$I$502,"&lt;="&amp;$I474))</f>
        <v/>
      </c>
      <c r="Y474" s="21" t="str">
        <f>IF($P474="","",IFERROR(MATCH($P474,Lists!$H$2:$H$4,0),""))</f>
        <v/>
      </c>
      <c r="Z474" s="21" t="str">
        <f t="shared" si="8"/>
        <v/>
      </c>
    </row>
    <row r="475" spans="1:26" ht="15.75" customHeight="1" x14ac:dyDescent="0.3">
      <c r="A475" s="16" t="str">
        <f t="shared" si="9"/>
        <v/>
      </c>
      <c r="B475" s="28"/>
      <c r="C475" s="29"/>
      <c r="D475" s="16"/>
      <c r="E475" s="16"/>
      <c r="F475" s="16"/>
      <c r="G475" s="16"/>
      <c r="H475" s="16"/>
      <c r="I475" s="31"/>
      <c r="J475" s="15"/>
      <c r="K475" s="15"/>
      <c r="L475" s="15"/>
      <c r="M475" s="16"/>
      <c r="N475" s="17"/>
      <c r="O475" s="19" t="str">
        <f t="shared" si="5"/>
        <v/>
      </c>
      <c r="P475" s="17"/>
      <c r="Q475" s="17" t="str">
        <f t="shared" ca="1" si="6"/>
        <v/>
      </c>
      <c r="R475" s="21" t="str">
        <f ca="1">IF($Q475="","",IF($Q475&lt;=Settings!$B$8,Settings!$C$8,IF($Q475&lt;=Settings!$B$9,Settings!$C$9,IF($Q475&lt;=Settings!$B$10,Settings!$C$10,IF($Q475&lt;=Settings!$B$11,Settings!$C$11,Settings!$C$12)))))</f>
        <v/>
      </c>
      <c r="S475" s="21" t="str">
        <f>IF($F475="","",IFERROR(VLOOKUP($F475,Settings!$E$8:$F$11,2,FALSE),0))</f>
        <v/>
      </c>
      <c r="T475" s="21">
        <f>IF($G475="",Settings!$B$16,1)</f>
        <v>1</v>
      </c>
      <c r="U475" s="21" t="str">
        <f t="shared" si="7"/>
        <v/>
      </c>
      <c r="V475" s="32" t="str">
        <f>IF($C475="","",IF($Q475&gt;Settings!$B$4,IF($G475="","|","")&amp;"OLD_7D","")&amp;IF($Q475&gt;Settings!$B$5,IF(OR($G475="", $Q475&gt;Settings!$B$4),"|","")&amp;"OLD_30D",""))</f>
        <v/>
      </c>
      <c r="W475" s="21" t="str">
        <f>IF(OR($C475="", $M475&lt;&gt;"APPROVED",$I475="", $U475=0),"",SUMIFS($U$3:$U$502,$H$3:$H$502,$H475,$M$3:$M$502,"APPROVED",$Q$3:$Q$502,"&lt;="&amp;Settings!$B$4,$I$3:$I$502,"&lt;="&amp;$I475))</f>
        <v/>
      </c>
      <c r="X475" s="21" t="str">
        <f>IF(OR($C475="", $M475&lt;&gt;"APPROVED",$I475="", $U475=0),"",SUMIFS($U$3:$U$502,$H$3:$H$502,$H475,$M$3:$M$502,"APPROVED",$Q$3:$Q$502,"&lt;="&amp;Settings!$B$5,$I$3:$I$502,"&lt;="&amp;$I475))</f>
        <v/>
      </c>
      <c r="Y475" s="21" t="str">
        <f>IF($P475="","",IFERROR(MATCH($P475,Lists!$H$2:$H$4,0),""))</f>
        <v/>
      </c>
      <c r="Z475" s="21" t="str">
        <f t="shared" si="8"/>
        <v/>
      </c>
    </row>
    <row r="476" spans="1:26" ht="15.75" customHeight="1" x14ac:dyDescent="0.3">
      <c r="A476" s="16" t="str">
        <f t="shared" si="9"/>
        <v/>
      </c>
      <c r="B476" s="28"/>
      <c r="C476" s="29"/>
      <c r="D476" s="16"/>
      <c r="E476" s="16"/>
      <c r="F476" s="16"/>
      <c r="G476" s="16"/>
      <c r="H476" s="16"/>
      <c r="I476" s="31"/>
      <c r="J476" s="15"/>
      <c r="K476" s="15"/>
      <c r="L476" s="15"/>
      <c r="M476" s="16"/>
      <c r="N476" s="17"/>
      <c r="O476" s="19" t="str">
        <f t="shared" si="5"/>
        <v/>
      </c>
      <c r="P476" s="17"/>
      <c r="Q476" s="17" t="str">
        <f t="shared" ca="1" si="6"/>
        <v/>
      </c>
      <c r="R476" s="21" t="str">
        <f ca="1">IF($Q476="","",IF($Q476&lt;=Settings!$B$8,Settings!$C$8,IF($Q476&lt;=Settings!$B$9,Settings!$C$9,IF($Q476&lt;=Settings!$B$10,Settings!$C$10,IF($Q476&lt;=Settings!$B$11,Settings!$C$11,Settings!$C$12)))))</f>
        <v/>
      </c>
      <c r="S476" s="21" t="str">
        <f>IF($F476="","",IFERROR(VLOOKUP($F476,Settings!$E$8:$F$11,2,FALSE),0))</f>
        <v/>
      </c>
      <c r="T476" s="21">
        <f>IF($G476="",Settings!$B$16,1)</f>
        <v>1</v>
      </c>
      <c r="U476" s="21" t="str">
        <f t="shared" si="7"/>
        <v/>
      </c>
      <c r="V476" s="32" t="str">
        <f>IF($C476="","",IF($Q476&gt;Settings!$B$4,IF($G476="","|","")&amp;"OLD_7D","")&amp;IF($Q476&gt;Settings!$B$5,IF(OR($G476="", $Q476&gt;Settings!$B$4),"|","")&amp;"OLD_30D",""))</f>
        <v/>
      </c>
      <c r="W476" s="21" t="str">
        <f>IF(OR($C476="", $M476&lt;&gt;"APPROVED",$I476="", $U476=0),"",SUMIFS($U$3:$U$502,$H$3:$H$502,$H476,$M$3:$M$502,"APPROVED",$Q$3:$Q$502,"&lt;="&amp;Settings!$B$4,$I$3:$I$502,"&lt;="&amp;$I476))</f>
        <v/>
      </c>
      <c r="X476" s="21" t="str">
        <f>IF(OR($C476="", $M476&lt;&gt;"APPROVED",$I476="", $U476=0),"",SUMIFS($U$3:$U$502,$H$3:$H$502,$H476,$M$3:$M$502,"APPROVED",$Q$3:$Q$502,"&lt;="&amp;Settings!$B$5,$I$3:$I$502,"&lt;="&amp;$I476))</f>
        <v/>
      </c>
      <c r="Y476" s="21" t="str">
        <f>IF($P476="","",IFERROR(MATCH($P476,Lists!$H$2:$H$4,0),""))</f>
        <v/>
      </c>
      <c r="Z476" s="21" t="str">
        <f t="shared" si="8"/>
        <v/>
      </c>
    </row>
    <row r="477" spans="1:26" ht="15.75" customHeight="1" x14ac:dyDescent="0.3">
      <c r="A477" s="16" t="str">
        <f t="shared" si="9"/>
        <v/>
      </c>
      <c r="B477" s="28"/>
      <c r="C477" s="29"/>
      <c r="D477" s="16"/>
      <c r="E477" s="16"/>
      <c r="F477" s="16"/>
      <c r="G477" s="16"/>
      <c r="H477" s="16"/>
      <c r="I477" s="31"/>
      <c r="J477" s="15"/>
      <c r="K477" s="15"/>
      <c r="L477" s="15"/>
      <c r="M477" s="16"/>
      <c r="N477" s="17"/>
      <c r="O477" s="19" t="str">
        <f t="shared" si="5"/>
        <v/>
      </c>
      <c r="P477" s="17"/>
      <c r="Q477" s="17" t="str">
        <f t="shared" ca="1" si="6"/>
        <v/>
      </c>
      <c r="R477" s="21" t="str">
        <f ca="1">IF($Q477="","",IF($Q477&lt;=Settings!$B$8,Settings!$C$8,IF($Q477&lt;=Settings!$B$9,Settings!$C$9,IF($Q477&lt;=Settings!$B$10,Settings!$C$10,IF($Q477&lt;=Settings!$B$11,Settings!$C$11,Settings!$C$12)))))</f>
        <v/>
      </c>
      <c r="S477" s="21" t="str">
        <f>IF($F477="","",IFERROR(VLOOKUP($F477,Settings!$E$8:$F$11,2,FALSE),0))</f>
        <v/>
      </c>
      <c r="T477" s="21">
        <f>IF($G477="",Settings!$B$16,1)</f>
        <v>1</v>
      </c>
      <c r="U477" s="21" t="str">
        <f t="shared" si="7"/>
        <v/>
      </c>
      <c r="V477" s="32" t="str">
        <f>IF($C477="","",IF($Q477&gt;Settings!$B$4,IF($G477="","|","")&amp;"OLD_7D","")&amp;IF($Q477&gt;Settings!$B$5,IF(OR($G477="", $Q477&gt;Settings!$B$4),"|","")&amp;"OLD_30D",""))</f>
        <v/>
      </c>
      <c r="W477" s="21" t="str">
        <f>IF(OR($C477="", $M477&lt;&gt;"APPROVED",$I477="", $U477=0),"",SUMIFS($U$3:$U$502,$H$3:$H$502,$H477,$M$3:$M$502,"APPROVED",$Q$3:$Q$502,"&lt;="&amp;Settings!$B$4,$I$3:$I$502,"&lt;="&amp;$I477))</f>
        <v/>
      </c>
      <c r="X477" s="21" t="str">
        <f>IF(OR($C477="", $M477&lt;&gt;"APPROVED",$I477="", $U477=0),"",SUMIFS($U$3:$U$502,$H$3:$H$502,$H477,$M$3:$M$502,"APPROVED",$Q$3:$Q$502,"&lt;="&amp;Settings!$B$5,$I$3:$I$502,"&lt;="&amp;$I477))</f>
        <v/>
      </c>
      <c r="Y477" s="21" t="str">
        <f>IF($P477="","",IFERROR(MATCH($P477,Lists!$H$2:$H$4,0),""))</f>
        <v/>
      </c>
      <c r="Z477" s="21" t="str">
        <f t="shared" si="8"/>
        <v/>
      </c>
    </row>
    <row r="478" spans="1:26" ht="15.75" customHeight="1" x14ac:dyDescent="0.3">
      <c r="A478" s="16" t="str">
        <f t="shared" si="9"/>
        <v/>
      </c>
      <c r="B478" s="28"/>
      <c r="C478" s="29"/>
      <c r="D478" s="16"/>
      <c r="E478" s="16"/>
      <c r="F478" s="16"/>
      <c r="G478" s="16"/>
      <c r="H478" s="16"/>
      <c r="I478" s="31"/>
      <c r="J478" s="15"/>
      <c r="K478" s="15"/>
      <c r="L478" s="15"/>
      <c r="M478" s="16"/>
      <c r="N478" s="17"/>
      <c r="O478" s="19" t="str">
        <f t="shared" si="5"/>
        <v/>
      </c>
      <c r="P478" s="17"/>
      <c r="Q478" s="17" t="str">
        <f t="shared" ca="1" si="6"/>
        <v/>
      </c>
      <c r="R478" s="21" t="str">
        <f ca="1">IF($Q478="","",IF($Q478&lt;=Settings!$B$8,Settings!$C$8,IF($Q478&lt;=Settings!$B$9,Settings!$C$9,IF($Q478&lt;=Settings!$B$10,Settings!$C$10,IF($Q478&lt;=Settings!$B$11,Settings!$C$11,Settings!$C$12)))))</f>
        <v/>
      </c>
      <c r="S478" s="21" t="str">
        <f>IF($F478="","",IFERROR(VLOOKUP($F478,Settings!$E$8:$F$11,2,FALSE),0))</f>
        <v/>
      </c>
      <c r="T478" s="21">
        <f>IF($G478="",Settings!$B$16,1)</f>
        <v>1</v>
      </c>
      <c r="U478" s="21" t="str">
        <f t="shared" si="7"/>
        <v/>
      </c>
      <c r="V478" s="32" t="str">
        <f>IF($C478="","",IF($Q478&gt;Settings!$B$4,IF($G478="","|","")&amp;"OLD_7D","")&amp;IF($Q478&gt;Settings!$B$5,IF(OR($G478="", $Q478&gt;Settings!$B$4),"|","")&amp;"OLD_30D",""))</f>
        <v/>
      </c>
      <c r="W478" s="21" t="str">
        <f>IF(OR($C478="", $M478&lt;&gt;"APPROVED",$I478="", $U478=0),"",SUMIFS($U$3:$U$502,$H$3:$H$502,$H478,$M$3:$M$502,"APPROVED",$Q$3:$Q$502,"&lt;="&amp;Settings!$B$4,$I$3:$I$502,"&lt;="&amp;$I478))</f>
        <v/>
      </c>
      <c r="X478" s="21" t="str">
        <f>IF(OR($C478="", $M478&lt;&gt;"APPROVED",$I478="", $U478=0),"",SUMIFS($U$3:$U$502,$H$3:$H$502,$H478,$M$3:$M$502,"APPROVED",$Q$3:$Q$502,"&lt;="&amp;Settings!$B$5,$I$3:$I$502,"&lt;="&amp;$I478))</f>
        <v/>
      </c>
      <c r="Y478" s="21" t="str">
        <f>IF($P478="","",IFERROR(MATCH($P478,Lists!$H$2:$H$4,0),""))</f>
        <v/>
      </c>
      <c r="Z478" s="21" t="str">
        <f t="shared" si="8"/>
        <v/>
      </c>
    </row>
    <row r="479" spans="1:26" ht="15.75" customHeight="1" x14ac:dyDescent="0.3">
      <c r="A479" s="16" t="str">
        <f t="shared" si="9"/>
        <v/>
      </c>
      <c r="B479" s="28"/>
      <c r="C479" s="29"/>
      <c r="D479" s="16"/>
      <c r="E479" s="16"/>
      <c r="F479" s="16"/>
      <c r="G479" s="16"/>
      <c r="H479" s="16"/>
      <c r="I479" s="31"/>
      <c r="J479" s="15"/>
      <c r="K479" s="15"/>
      <c r="L479" s="15"/>
      <c r="M479" s="16"/>
      <c r="N479" s="17"/>
      <c r="O479" s="19" t="str">
        <f t="shared" si="5"/>
        <v/>
      </c>
      <c r="P479" s="17"/>
      <c r="Q479" s="17" t="str">
        <f t="shared" ca="1" si="6"/>
        <v/>
      </c>
      <c r="R479" s="21" t="str">
        <f ca="1">IF($Q479="","",IF($Q479&lt;=Settings!$B$8,Settings!$C$8,IF($Q479&lt;=Settings!$B$9,Settings!$C$9,IF($Q479&lt;=Settings!$B$10,Settings!$C$10,IF($Q479&lt;=Settings!$B$11,Settings!$C$11,Settings!$C$12)))))</f>
        <v/>
      </c>
      <c r="S479" s="21" t="str">
        <f>IF($F479="","",IFERROR(VLOOKUP($F479,Settings!$E$8:$F$11,2,FALSE),0))</f>
        <v/>
      </c>
      <c r="T479" s="21">
        <f>IF($G479="",Settings!$B$16,1)</f>
        <v>1</v>
      </c>
      <c r="U479" s="21" t="str">
        <f t="shared" si="7"/>
        <v/>
      </c>
      <c r="V479" s="32" t="str">
        <f>IF($C479="","",IF($Q479&gt;Settings!$B$4,IF($G479="","|","")&amp;"OLD_7D","")&amp;IF($Q479&gt;Settings!$B$5,IF(OR($G479="", $Q479&gt;Settings!$B$4),"|","")&amp;"OLD_30D",""))</f>
        <v/>
      </c>
      <c r="W479" s="21" t="str">
        <f>IF(OR($C479="", $M479&lt;&gt;"APPROVED",$I479="", $U479=0),"",SUMIFS($U$3:$U$502,$H$3:$H$502,$H479,$M$3:$M$502,"APPROVED",$Q$3:$Q$502,"&lt;="&amp;Settings!$B$4,$I$3:$I$502,"&lt;="&amp;$I479))</f>
        <v/>
      </c>
      <c r="X479" s="21" t="str">
        <f>IF(OR($C479="", $M479&lt;&gt;"APPROVED",$I479="", $U479=0),"",SUMIFS($U$3:$U$502,$H$3:$H$502,$H479,$M$3:$M$502,"APPROVED",$Q$3:$Q$502,"&lt;="&amp;Settings!$B$5,$I$3:$I$502,"&lt;="&amp;$I479))</f>
        <v/>
      </c>
      <c r="Y479" s="21" t="str">
        <f>IF($P479="","",IFERROR(MATCH($P479,Lists!$H$2:$H$4,0),""))</f>
        <v/>
      </c>
      <c r="Z479" s="21" t="str">
        <f t="shared" si="8"/>
        <v/>
      </c>
    </row>
    <row r="480" spans="1:26" ht="15.75" customHeight="1" x14ac:dyDescent="0.3">
      <c r="A480" s="16" t="str">
        <f t="shared" si="9"/>
        <v/>
      </c>
      <c r="B480" s="28"/>
      <c r="C480" s="29"/>
      <c r="D480" s="16"/>
      <c r="E480" s="16"/>
      <c r="F480" s="16"/>
      <c r="G480" s="16"/>
      <c r="H480" s="16"/>
      <c r="I480" s="31"/>
      <c r="J480" s="15"/>
      <c r="K480" s="15"/>
      <c r="L480" s="15"/>
      <c r="M480" s="16"/>
      <c r="N480" s="17"/>
      <c r="O480" s="19" t="str">
        <f t="shared" si="5"/>
        <v/>
      </c>
      <c r="P480" s="17"/>
      <c r="Q480" s="17" t="str">
        <f t="shared" ca="1" si="6"/>
        <v/>
      </c>
      <c r="R480" s="21" t="str">
        <f ca="1">IF($Q480="","",IF($Q480&lt;=Settings!$B$8,Settings!$C$8,IF($Q480&lt;=Settings!$B$9,Settings!$C$9,IF($Q480&lt;=Settings!$B$10,Settings!$C$10,IF($Q480&lt;=Settings!$B$11,Settings!$C$11,Settings!$C$12)))))</f>
        <v/>
      </c>
      <c r="S480" s="21" t="str">
        <f>IF($F480="","",IFERROR(VLOOKUP($F480,Settings!$E$8:$F$11,2,FALSE),0))</f>
        <v/>
      </c>
      <c r="T480" s="21">
        <f>IF($G480="",Settings!$B$16,1)</f>
        <v>1</v>
      </c>
      <c r="U480" s="21" t="str">
        <f t="shared" si="7"/>
        <v/>
      </c>
      <c r="V480" s="32" t="str">
        <f>IF($C480="","",IF($Q480&gt;Settings!$B$4,IF($G480="","|","")&amp;"OLD_7D","")&amp;IF($Q480&gt;Settings!$B$5,IF(OR($G480="", $Q480&gt;Settings!$B$4),"|","")&amp;"OLD_30D",""))</f>
        <v/>
      </c>
      <c r="W480" s="21" t="str">
        <f>IF(OR($C480="", $M480&lt;&gt;"APPROVED",$I480="", $U480=0),"",SUMIFS($U$3:$U$502,$H$3:$H$502,$H480,$M$3:$M$502,"APPROVED",$Q$3:$Q$502,"&lt;="&amp;Settings!$B$4,$I$3:$I$502,"&lt;="&amp;$I480))</f>
        <v/>
      </c>
      <c r="X480" s="21" t="str">
        <f>IF(OR($C480="", $M480&lt;&gt;"APPROVED",$I480="", $U480=0),"",SUMIFS($U$3:$U$502,$H$3:$H$502,$H480,$M$3:$M$502,"APPROVED",$Q$3:$Q$502,"&lt;="&amp;Settings!$B$5,$I$3:$I$502,"&lt;="&amp;$I480))</f>
        <v/>
      </c>
      <c r="Y480" s="21" t="str">
        <f>IF($P480="","",IFERROR(MATCH($P480,Lists!$H$2:$H$4,0),""))</f>
        <v/>
      </c>
      <c r="Z480" s="21" t="str">
        <f t="shared" si="8"/>
        <v/>
      </c>
    </row>
    <row r="481" spans="1:26" ht="15.75" customHeight="1" x14ac:dyDescent="0.3">
      <c r="A481" s="16" t="str">
        <f t="shared" si="9"/>
        <v/>
      </c>
      <c r="B481" s="28"/>
      <c r="C481" s="29"/>
      <c r="D481" s="16"/>
      <c r="E481" s="16"/>
      <c r="F481" s="16"/>
      <c r="G481" s="16"/>
      <c r="H481" s="16"/>
      <c r="I481" s="31"/>
      <c r="J481" s="15"/>
      <c r="K481" s="15"/>
      <c r="L481" s="15"/>
      <c r="M481" s="16"/>
      <c r="N481" s="17"/>
      <c r="O481" s="19" t="str">
        <f t="shared" si="5"/>
        <v/>
      </c>
      <c r="P481" s="17"/>
      <c r="Q481" s="17" t="str">
        <f t="shared" ca="1" si="6"/>
        <v/>
      </c>
      <c r="R481" s="21" t="str">
        <f ca="1">IF($Q481="","",IF($Q481&lt;=Settings!$B$8,Settings!$C$8,IF($Q481&lt;=Settings!$B$9,Settings!$C$9,IF($Q481&lt;=Settings!$B$10,Settings!$C$10,IF($Q481&lt;=Settings!$B$11,Settings!$C$11,Settings!$C$12)))))</f>
        <v/>
      </c>
      <c r="S481" s="21" t="str">
        <f>IF($F481="","",IFERROR(VLOOKUP($F481,Settings!$E$8:$F$11,2,FALSE),0))</f>
        <v/>
      </c>
      <c r="T481" s="21">
        <f>IF($G481="",Settings!$B$16,1)</f>
        <v>1</v>
      </c>
      <c r="U481" s="21" t="str">
        <f t="shared" si="7"/>
        <v/>
      </c>
      <c r="V481" s="32" t="str">
        <f>IF($C481="","",IF($Q481&gt;Settings!$B$4,IF($G481="","|","")&amp;"OLD_7D","")&amp;IF($Q481&gt;Settings!$B$5,IF(OR($G481="", $Q481&gt;Settings!$B$4),"|","")&amp;"OLD_30D",""))</f>
        <v/>
      </c>
      <c r="W481" s="21" t="str">
        <f>IF(OR($C481="", $M481&lt;&gt;"APPROVED",$I481="", $U481=0),"",SUMIFS($U$3:$U$502,$H$3:$H$502,$H481,$M$3:$M$502,"APPROVED",$Q$3:$Q$502,"&lt;="&amp;Settings!$B$4,$I$3:$I$502,"&lt;="&amp;$I481))</f>
        <v/>
      </c>
      <c r="X481" s="21" t="str">
        <f>IF(OR($C481="", $M481&lt;&gt;"APPROVED",$I481="", $U481=0),"",SUMIFS($U$3:$U$502,$H$3:$H$502,$H481,$M$3:$M$502,"APPROVED",$Q$3:$Q$502,"&lt;="&amp;Settings!$B$5,$I$3:$I$502,"&lt;="&amp;$I481))</f>
        <v/>
      </c>
      <c r="Y481" s="21" t="str">
        <f>IF($P481="","",IFERROR(MATCH($P481,Lists!$H$2:$H$4,0),""))</f>
        <v/>
      </c>
      <c r="Z481" s="21" t="str">
        <f t="shared" si="8"/>
        <v/>
      </c>
    </row>
    <row r="482" spans="1:26" ht="15.75" customHeight="1" x14ac:dyDescent="0.3">
      <c r="A482" s="16" t="str">
        <f t="shared" si="9"/>
        <v/>
      </c>
      <c r="B482" s="28"/>
      <c r="C482" s="29"/>
      <c r="D482" s="16"/>
      <c r="E482" s="16"/>
      <c r="F482" s="16"/>
      <c r="G482" s="16"/>
      <c r="H482" s="16"/>
      <c r="I482" s="31"/>
      <c r="J482" s="15"/>
      <c r="K482" s="15"/>
      <c r="L482" s="15"/>
      <c r="M482" s="16"/>
      <c r="N482" s="17"/>
      <c r="O482" s="19" t="str">
        <f t="shared" si="5"/>
        <v/>
      </c>
      <c r="P482" s="17"/>
      <c r="Q482" s="17" t="str">
        <f t="shared" ca="1" si="6"/>
        <v/>
      </c>
      <c r="R482" s="21" t="str">
        <f ca="1">IF($Q482="","",IF($Q482&lt;=Settings!$B$8,Settings!$C$8,IF($Q482&lt;=Settings!$B$9,Settings!$C$9,IF($Q482&lt;=Settings!$B$10,Settings!$C$10,IF($Q482&lt;=Settings!$B$11,Settings!$C$11,Settings!$C$12)))))</f>
        <v/>
      </c>
      <c r="S482" s="21" t="str">
        <f>IF($F482="","",IFERROR(VLOOKUP($F482,Settings!$E$8:$F$11,2,FALSE),0))</f>
        <v/>
      </c>
      <c r="T482" s="21">
        <f>IF($G482="",Settings!$B$16,1)</f>
        <v>1</v>
      </c>
      <c r="U482" s="21" t="str">
        <f t="shared" si="7"/>
        <v/>
      </c>
      <c r="V482" s="32" t="str">
        <f>IF($C482="","",IF($Q482&gt;Settings!$B$4,IF($G482="","|","")&amp;"OLD_7D","")&amp;IF($Q482&gt;Settings!$B$5,IF(OR($G482="", $Q482&gt;Settings!$B$4),"|","")&amp;"OLD_30D",""))</f>
        <v/>
      </c>
      <c r="W482" s="21" t="str">
        <f>IF(OR($C482="", $M482&lt;&gt;"APPROVED",$I482="", $U482=0),"",SUMIFS($U$3:$U$502,$H$3:$H$502,$H482,$M$3:$M$502,"APPROVED",$Q$3:$Q$502,"&lt;="&amp;Settings!$B$4,$I$3:$I$502,"&lt;="&amp;$I482))</f>
        <v/>
      </c>
      <c r="X482" s="21" t="str">
        <f>IF(OR($C482="", $M482&lt;&gt;"APPROVED",$I482="", $U482=0),"",SUMIFS($U$3:$U$502,$H$3:$H$502,$H482,$M$3:$M$502,"APPROVED",$Q$3:$Q$502,"&lt;="&amp;Settings!$B$5,$I$3:$I$502,"&lt;="&amp;$I482))</f>
        <v/>
      </c>
      <c r="Y482" s="21" t="str">
        <f>IF($P482="","",IFERROR(MATCH($P482,Lists!$H$2:$H$4,0),""))</f>
        <v/>
      </c>
      <c r="Z482" s="21" t="str">
        <f t="shared" si="8"/>
        <v/>
      </c>
    </row>
    <row r="483" spans="1:26" ht="15.75" customHeight="1" x14ac:dyDescent="0.3">
      <c r="A483" s="16" t="str">
        <f t="shared" si="9"/>
        <v/>
      </c>
      <c r="B483" s="28"/>
      <c r="C483" s="29"/>
      <c r="D483" s="16"/>
      <c r="E483" s="16"/>
      <c r="F483" s="16"/>
      <c r="G483" s="16"/>
      <c r="H483" s="16"/>
      <c r="I483" s="31"/>
      <c r="J483" s="15"/>
      <c r="K483" s="15"/>
      <c r="L483" s="15"/>
      <c r="M483" s="16"/>
      <c r="N483" s="17"/>
      <c r="O483" s="19" t="str">
        <f t="shared" si="5"/>
        <v/>
      </c>
      <c r="P483" s="17"/>
      <c r="Q483" s="17" t="str">
        <f t="shared" ca="1" si="6"/>
        <v/>
      </c>
      <c r="R483" s="21" t="str">
        <f ca="1">IF($Q483="","",IF($Q483&lt;=Settings!$B$8,Settings!$C$8,IF($Q483&lt;=Settings!$B$9,Settings!$C$9,IF($Q483&lt;=Settings!$B$10,Settings!$C$10,IF($Q483&lt;=Settings!$B$11,Settings!$C$11,Settings!$C$12)))))</f>
        <v/>
      </c>
      <c r="S483" s="21" t="str">
        <f>IF($F483="","",IFERROR(VLOOKUP($F483,Settings!$E$8:$F$11,2,FALSE),0))</f>
        <v/>
      </c>
      <c r="T483" s="21">
        <f>IF($G483="",Settings!$B$16,1)</f>
        <v>1</v>
      </c>
      <c r="U483" s="21" t="str">
        <f t="shared" si="7"/>
        <v/>
      </c>
      <c r="V483" s="32" t="str">
        <f>IF($C483="","",IF($Q483&gt;Settings!$B$4,IF($G483="","|","")&amp;"OLD_7D","")&amp;IF($Q483&gt;Settings!$B$5,IF(OR($G483="", $Q483&gt;Settings!$B$4),"|","")&amp;"OLD_30D",""))</f>
        <v/>
      </c>
      <c r="W483" s="21" t="str">
        <f>IF(OR($C483="", $M483&lt;&gt;"APPROVED",$I483="", $U483=0),"",SUMIFS($U$3:$U$502,$H$3:$H$502,$H483,$M$3:$M$502,"APPROVED",$Q$3:$Q$502,"&lt;="&amp;Settings!$B$4,$I$3:$I$502,"&lt;="&amp;$I483))</f>
        <v/>
      </c>
      <c r="X483" s="21" t="str">
        <f>IF(OR($C483="", $M483&lt;&gt;"APPROVED",$I483="", $U483=0),"",SUMIFS($U$3:$U$502,$H$3:$H$502,$H483,$M$3:$M$502,"APPROVED",$Q$3:$Q$502,"&lt;="&amp;Settings!$B$5,$I$3:$I$502,"&lt;="&amp;$I483))</f>
        <v/>
      </c>
      <c r="Y483" s="21" t="str">
        <f>IF($P483="","",IFERROR(MATCH($P483,Lists!$H$2:$H$4,0),""))</f>
        <v/>
      </c>
      <c r="Z483" s="21" t="str">
        <f t="shared" si="8"/>
        <v/>
      </c>
    </row>
    <row r="484" spans="1:26" ht="15.75" customHeight="1" x14ac:dyDescent="0.3">
      <c r="A484" s="16" t="str">
        <f t="shared" si="9"/>
        <v/>
      </c>
      <c r="B484" s="28"/>
      <c r="C484" s="29"/>
      <c r="D484" s="16"/>
      <c r="E484" s="16"/>
      <c r="F484" s="16"/>
      <c r="G484" s="16"/>
      <c r="H484" s="16"/>
      <c r="I484" s="31"/>
      <c r="J484" s="15"/>
      <c r="K484" s="15"/>
      <c r="L484" s="15"/>
      <c r="M484" s="16"/>
      <c r="N484" s="17"/>
      <c r="O484" s="19" t="str">
        <f t="shared" si="5"/>
        <v/>
      </c>
      <c r="P484" s="17"/>
      <c r="Q484" s="17" t="str">
        <f t="shared" ca="1" si="6"/>
        <v/>
      </c>
      <c r="R484" s="21" t="str">
        <f ca="1">IF($Q484="","",IF($Q484&lt;=Settings!$B$8,Settings!$C$8,IF($Q484&lt;=Settings!$B$9,Settings!$C$9,IF($Q484&lt;=Settings!$B$10,Settings!$C$10,IF($Q484&lt;=Settings!$B$11,Settings!$C$11,Settings!$C$12)))))</f>
        <v/>
      </c>
      <c r="S484" s="21" t="str">
        <f>IF($F484="","",IFERROR(VLOOKUP($F484,Settings!$E$8:$F$11,2,FALSE),0))</f>
        <v/>
      </c>
      <c r="T484" s="21">
        <f>IF($G484="",Settings!$B$16,1)</f>
        <v>1</v>
      </c>
      <c r="U484" s="21" t="str">
        <f t="shared" si="7"/>
        <v/>
      </c>
      <c r="V484" s="32" t="str">
        <f>IF($C484="","",IF($Q484&gt;Settings!$B$4,IF($G484="","|","")&amp;"OLD_7D","")&amp;IF($Q484&gt;Settings!$B$5,IF(OR($G484="", $Q484&gt;Settings!$B$4),"|","")&amp;"OLD_30D",""))</f>
        <v/>
      </c>
      <c r="W484" s="21" t="str">
        <f>IF(OR($C484="", $M484&lt;&gt;"APPROVED",$I484="", $U484=0),"",SUMIFS($U$3:$U$502,$H$3:$H$502,$H484,$M$3:$M$502,"APPROVED",$Q$3:$Q$502,"&lt;="&amp;Settings!$B$4,$I$3:$I$502,"&lt;="&amp;$I484))</f>
        <v/>
      </c>
      <c r="X484" s="21" t="str">
        <f>IF(OR($C484="", $M484&lt;&gt;"APPROVED",$I484="", $U484=0),"",SUMIFS($U$3:$U$502,$H$3:$H$502,$H484,$M$3:$M$502,"APPROVED",$Q$3:$Q$502,"&lt;="&amp;Settings!$B$5,$I$3:$I$502,"&lt;="&amp;$I484))</f>
        <v/>
      </c>
      <c r="Y484" s="21" t="str">
        <f>IF($P484="","",IFERROR(MATCH($P484,Lists!$H$2:$H$4,0),""))</f>
        <v/>
      </c>
      <c r="Z484" s="21" t="str">
        <f t="shared" si="8"/>
        <v/>
      </c>
    </row>
    <row r="485" spans="1:26" ht="15.75" customHeight="1" x14ac:dyDescent="0.3">
      <c r="A485" s="16" t="str">
        <f t="shared" si="9"/>
        <v/>
      </c>
      <c r="B485" s="28"/>
      <c r="C485" s="29"/>
      <c r="D485" s="16"/>
      <c r="E485" s="16"/>
      <c r="F485" s="16"/>
      <c r="G485" s="16"/>
      <c r="H485" s="16"/>
      <c r="I485" s="31"/>
      <c r="J485" s="15"/>
      <c r="K485" s="15"/>
      <c r="L485" s="15"/>
      <c r="M485" s="16"/>
      <c r="N485" s="17"/>
      <c r="O485" s="19" t="str">
        <f t="shared" si="5"/>
        <v/>
      </c>
      <c r="P485" s="17"/>
      <c r="Q485" s="17" t="str">
        <f t="shared" ca="1" si="6"/>
        <v/>
      </c>
      <c r="R485" s="21" t="str">
        <f ca="1">IF($Q485="","",IF($Q485&lt;=Settings!$B$8,Settings!$C$8,IF($Q485&lt;=Settings!$B$9,Settings!$C$9,IF($Q485&lt;=Settings!$B$10,Settings!$C$10,IF($Q485&lt;=Settings!$B$11,Settings!$C$11,Settings!$C$12)))))</f>
        <v/>
      </c>
      <c r="S485" s="21" t="str">
        <f>IF($F485="","",IFERROR(VLOOKUP($F485,Settings!$E$8:$F$11,2,FALSE),0))</f>
        <v/>
      </c>
      <c r="T485" s="21">
        <f>IF($G485="",Settings!$B$16,1)</f>
        <v>1</v>
      </c>
      <c r="U485" s="21" t="str">
        <f t="shared" si="7"/>
        <v/>
      </c>
      <c r="V485" s="32" t="str">
        <f>IF($C485="","",IF($Q485&gt;Settings!$B$4,IF($G485="","|","")&amp;"OLD_7D","")&amp;IF($Q485&gt;Settings!$B$5,IF(OR($G485="", $Q485&gt;Settings!$B$4),"|","")&amp;"OLD_30D",""))</f>
        <v/>
      </c>
      <c r="W485" s="21" t="str">
        <f>IF(OR($C485="", $M485&lt;&gt;"APPROVED",$I485="", $U485=0),"",SUMIFS($U$3:$U$502,$H$3:$H$502,$H485,$M$3:$M$502,"APPROVED",$Q$3:$Q$502,"&lt;="&amp;Settings!$B$4,$I$3:$I$502,"&lt;="&amp;$I485))</f>
        <v/>
      </c>
      <c r="X485" s="21" t="str">
        <f>IF(OR($C485="", $M485&lt;&gt;"APPROVED",$I485="", $U485=0),"",SUMIFS($U$3:$U$502,$H$3:$H$502,$H485,$M$3:$M$502,"APPROVED",$Q$3:$Q$502,"&lt;="&amp;Settings!$B$5,$I$3:$I$502,"&lt;="&amp;$I485))</f>
        <v/>
      </c>
      <c r="Y485" s="21" t="str">
        <f>IF($P485="","",IFERROR(MATCH($P485,Lists!$H$2:$H$4,0),""))</f>
        <v/>
      </c>
      <c r="Z485" s="21" t="str">
        <f t="shared" si="8"/>
        <v/>
      </c>
    </row>
    <row r="486" spans="1:26" ht="15.75" customHeight="1" x14ac:dyDescent="0.3">
      <c r="A486" s="16" t="str">
        <f t="shared" si="9"/>
        <v/>
      </c>
      <c r="B486" s="28"/>
      <c r="C486" s="29"/>
      <c r="D486" s="16"/>
      <c r="E486" s="16"/>
      <c r="F486" s="16"/>
      <c r="G486" s="16"/>
      <c r="H486" s="16"/>
      <c r="I486" s="31"/>
      <c r="J486" s="15"/>
      <c r="K486" s="15"/>
      <c r="L486" s="15"/>
      <c r="M486" s="16"/>
      <c r="N486" s="17"/>
      <c r="O486" s="19" t="str">
        <f t="shared" si="5"/>
        <v/>
      </c>
      <c r="P486" s="17"/>
      <c r="Q486" s="17" t="str">
        <f t="shared" ca="1" si="6"/>
        <v/>
      </c>
      <c r="R486" s="21" t="str">
        <f ca="1">IF($Q486="","",IF($Q486&lt;=Settings!$B$8,Settings!$C$8,IF($Q486&lt;=Settings!$B$9,Settings!$C$9,IF($Q486&lt;=Settings!$B$10,Settings!$C$10,IF($Q486&lt;=Settings!$B$11,Settings!$C$11,Settings!$C$12)))))</f>
        <v/>
      </c>
      <c r="S486" s="21" t="str">
        <f>IF($F486="","",IFERROR(VLOOKUP($F486,Settings!$E$8:$F$11,2,FALSE),0))</f>
        <v/>
      </c>
      <c r="T486" s="21">
        <f>IF($G486="",Settings!$B$16,1)</f>
        <v>1</v>
      </c>
      <c r="U486" s="21" t="str">
        <f t="shared" si="7"/>
        <v/>
      </c>
      <c r="V486" s="32" t="str">
        <f>IF($C486="","",IF($Q486&gt;Settings!$B$4,IF($G486="","|","")&amp;"OLD_7D","")&amp;IF($Q486&gt;Settings!$B$5,IF(OR($G486="", $Q486&gt;Settings!$B$4),"|","")&amp;"OLD_30D",""))</f>
        <v/>
      </c>
      <c r="W486" s="21" t="str">
        <f>IF(OR($C486="", $M486&lt;&gt;"APPROVED",$I486="", $U486=0),"",SUMIFS($U$3:$U$502,$H$3:$H$502,$H486,$M$3:$M$502,"APPROVED",$Q$3:$Q$502,"&lt;="&amp;Settings!$B$4,$I$3:$I$502,"&lt;="&amp;$I486))</f>
        <v/>
      </c>
      <c r="X486" s="21" t="str">
        <f>IF(OR($C486="", $M486&lt;&gt;"APPROVED",$I486="", $U486=0),"",SUMIFS($U$3:$U$502,$H$3:$H$502,$H486,$M$3:$M$502,"APPROVED",$Q$3:$Q$502,"&lt;="&amp;Settings!$B$5,$I$3:$I$502,"&lt;="&amp;$I486))</f>
        <v/>
      </c>
      <c r="Y486" s="21" t="str">
        <f>IF($P486="","",IFERROR(MATCH($P486,Lists!$H$2:$H$4,0),""))</f>
        <v/>
      </c>
      <c r="Z486" s="21" t="str">
        <f t="shared" si="8"/>
        <v/>
      </c>
    </row>
    <row r="487" spans="1:26" ht="15.75" customHeight="1" x14ac:dyDescent="0.3">
      <c r="A487" s="16" t="str">
        <f t="shared" si="9"/>
        <v/>
      </c>
      <c r="B487" s="28"/>
      <c r="C487" s="29"/>
      <c r="D487" s="16"/>
      <c r="E487" s="16"/>
      <c r="F487" s="16"/>
      <c r="G487" s="16"/>
      <c r="H487" s="16"/>
      <c r="I487" s="31"/>
      <c r="J487" s="15"/>
      <c r="K487" s="15"/>
      <c r="L487" s="15"/>
      <c r="M487" s="16"/>
      <c r="N487" s="17"/>
      <c r="O487" s="19" t="str">
        <f t="shared" si="5"/>
        <v/>
      </c>
      <c r="P487" s="17"/>
      <c r="Q487" s="17" t="str">
        <f t="shared" ca="1" si="6"/>
        <v/>
      </c>
      <c r="R487" s="21" t="str">
        <f ca="1">IF($Q487="","",IF($Q487&lt;=Settings!$B$8,Settings!$C$8,IF($Q487&lt;=Settings!$B$9,Settings!$C$9,IF($Q487&lt;=Settings!$B$10,Settings!$C$10,IF($Q487&lt;=Settings!$B$11,Settings!$C$11,Settings!$C$12)))))</f>
        <v/>
      </c>
      <c r="S487" s="21" t="str">
        <f>IF($F487="","",IFERROR(VLOOKUP($F487,Settings!$E$8:$F$11,2,FALSE),0))</f>
        <v/>
      </c>
      <c r="T487" s="21">
        <f>IF($G487="",Settings!$B$16,1)</f>
        <v>1</v>
      </c>
      <c r="U487" s="21" t="str">
        <f t="shared" si="7"/>
        <v/>
      </c>
      <c r="V487" s="32" t="str">
        <f>IF($C487="","",IF($Q487&gt;Settings!$B$4,IF($G487="","|","")&amp;"OLD_7D","")&amp;IF($Q487&gt;Settings!$B$5,IF(OR($G487="", $Q487&gt;Settings!$B$4),"|","")&amp;"OLD_30D",""))</f>
        <v/>
      </c>
      <c r="W487" s="21" t="str">
        <f>IF(OR($C487="", $M487&lt;&gt;"APPROVED",$I487="", $U487=0),"",SUMIFS($U$3:$U$502,$H$3:$H$502,$H487,$M$3:$M$502,"APPROVED",$Q$3:$Q$502,"&lt;="&amp;Settings!$B$4,$I$3:$I$502,"&lt;="&amp;$I487))</f>
        <v/>
      </c>
      <c r="X487" s="21" t="str">
        <f>IF(OR($C487="", $M487&lt;&gt;"APPROVED",$I487="", $U487=0),"",SUMIFS($U$3:$U$502,$H$3:$H$502,$H487,$M$3:$M$502,"APPROVED",$Q$3:$Q$502,"&lt;="&amp;Settings!$B$5,$I$3:$I$502,"&lt;="&amp;$I487))</f>
        <v/>
      </c>
      <c r="Y487" s="21" t="str">
        <f>IF($P487="","",IFERROR(MATCH($P487,Lists!$H$2:$H$4,0),""))</f>
        <v/>
      </c>
      <c r="Z487" s="21" t="str">
        <f t="shared" si="8"/>
        <v/>
      </c>
    </row>
    <row r="488" spans="1:26" ht="15.75" customHeight="1" x14ac:dyDescent="0.3">
      <c r="A488" s="16" t="str">
        <f t="shared" si="9"/>
        <v/>
      </c>
      <c r="B488" s="28"/>
      <c r="C488" s="29"/>
      <c r="D488" s="16"/>
      <c r="E488" s="16"/>
      <c r="F488" s="16"/>
      <c r="G488" s="16"/>
      <c r="H488" s="16"/>
      <c r="I488" s="31"/>
      <c r="J488" s="15"/>
      <c r="K488" s="15"/>
      <c r="L488" s="15"/>
      <c r="M488" s="16"/>
      <c r="N488" s="17"/>
      <c r="O488" s="19" t="str">
        <f t="shared" si="5"/>
        <v/>
      </c>
      <c r="P488" s="17"/>
      <c r="Q488" s="17" t="str">
        <f t="shared" ca="1" si="6"/>
        <v/>
      </c>
      <c r="R488" s="21" t="str">
        <f ca="1">IF($Q488="","",IF($Q488&lt;=Settings!$B$8,Settings!$C$8,IF($Q488&lt;=Settings!$B$9,Settings!$C$9,IF($Q488&lt;=Settings!$B$10,Settings!$C$10,IF($Q488&lt;=Settings!$B$11,Settings!$C$11,Settings!$C$12)))))</f>
        <v/>
      </c>
      <c r="S488" s="21" t="str">
        <f>IF($F488="","",IFERROR(VLOOKUP($F488,Settings!$E$8:$F$11,2,FALSE),0))</f>
        <v/>
      </c>
      <c r="T488" s="21">
        <f>IF($G488="",Settings!$B$16,1)</f>
        <v>1</v>
      </c>
      <c r="U488" s="21" t="str">
        <f t="shared" si="7"/>
        <v/>
      </c>
      <c r="V488" s="32" t="str">
        <f>IF($C488="","",IF($Q488&gt;Settings!$B$4,IF($G488="","|","")&amp;"OLD_7D","")&amp;IF($Q488&gt;Settings!$B$5,IF(OR($G488="", $Q488&gt;Settings!$B$4),"|","")&amp;"OLD_30D",""))</f>
        <v/>
      </c>
      <c r="W488" s="21" t="str">
        <f>IF(OR($C488="", $M488&lt;&gt;"APPROVED",$I488="", $U488=0),"",SUMIFS($U$3:$U$502,$H$3:$H$502,$H488,$M$3:$M$502,"APPROVED",$Q$3:$Q$502,"&lt;="&amp;Settings!$B$4,$I$3:$I$502,"&lt;="&amp;$I488))</f>
        <v/>
      </c>
      <c r="X488" s="21" t="str">
        <f>IF(OR($C488="", $M488&lt;&gt;"APPROVED",$I488="", $U488=0),"",SUMIFS($U$3:$U$502,$H$3:$H$502,$H488,$M$3:$M$502,"APPROVED",$Q$3:$Q$502,"&lt;="&amp;Settings!$B$5,$I$3:$I$502,"&lt;="&amp;$I488))</f>
        <v/>
      </c>
      <c r="Y488" s="21" t="str">
        <f>IF($P488="","",IFERROR(MATCH($P488,Lists!$H$2:$H$4,0),""))</f>
        <v/>
      </c>
      <c r="Z488" s="21" t="str">
        <f t="shared" si="8"/>
        <v/>
      </c>
    </row>
    <row r="489" spans="1:26" ht="15.75" customHeight="1" x14ac:dyDescent="0.3">
      <c r="A489" s="16" t="str">
        <f t="shared" si="9"/>
        <v/>
      </c>
      <c r="B489" s="28"/>
      <c r="C489" s="29"/>
      <c r="D489" s="16"/>
      <c r="E489" s="16"/>
      <c r="F489" s="16"/>
      <c r="G489" s="16"/>
      <c r="H489" s="16"/>
      <c r="I489" s="31"/>
      <c r="J489" s="15"/>
      <c r="K489" s="15"/>
      <c r="L489" s="15"/>
      <c r="M489" s="16"/>
      <c r="N489" s="17"/>
      <c r="O489" s="19" t="str">
        <f t="shared" si="5"/>
        <v/>
      </c>
      <c r="P489" s="17"/>
      <c r="Q489" s="17" t="str">
        <f t="shared" ca="1" si="6"/>
        <v/>
      </c>
      <c r="R489" s="21" t="str">
        <f ca="1">IF($Q489="","",IF($Q489&lt;=Settings!$B$8,Settings!$C$8,IF($Q489&lt;=Settings!$B$9,Settings!$C$9,IF($Q489&lt;=Settings!$B$10,Settings!$C$10,IF($Q489&lt;=Settings!$B$11,Settings!$C$11,Settings!$C$12)))))</f>
        <v/>
      </c>
      <c r="S489" s="21" t="str">
        <f>IF($F489="","",IFERROR(VLOOKUP($F489,Settings!$E$8:$F$11,2,FALSE),0))</f>
        <v/>
      </c>
      <c r="T489" s="21">
        <f>IF($G489="",Settings!$B$16,1)</f>
        <v>1</v>
      </c>
      <c r="U489" s="21" t="str">
        <f t="shared" si="7"/>
        <v/>
      </c>
      <c r="V489" s="32" t="str">
        <f>IF($C489="","",IF($Q489&gt;Settings!$B$4,IF($G489="","|","")&amp;"OLD_7D","")&amp;IF($Q489&gt;Settings!$B$5,IF(OR($G489="", $Q489&gt;Settings!$B$4),"|","")&amp;"OLD_30D",""))</f>
        <v/>
      </c>
      <c r="W489" s="21" t="str">
        <f>IF(OR($C489="", $M489&lt;&gt;"APPROVED",$I489="", $U489=0),"",SUMIFS($U$3:$U$502,$H$3:$H$502,$H489,$M$3:$M$502,"APPROVED",$Q$3:$Q$502,"&lt;="&amp;Settings!$B$4,$I$3:$I$502,"&lt;="&amp;$I489))</f>
        <v/>
      </c>
      <c r="X489" s="21" t="str">
        <f>IF(OR($C489="", $M489&lt;&gt;"APPROVED",$I489="", $U489=0),"",SUMIFS($U$3:$U$502,$H$3:$H$502,$H489,$M$3:$M$502,"APPROVED",$Q$3:$Q$502,"&lt;="&amp;Settings!$B$5,$I$3:$I$502,"&lt;="&amp;$I489))</f>
        <v/>
      </c>
      <c r="Y489" s="21" t="str">
        <f>IF($P489="","",IFERROR(MATCH($P489,Lists!$H$2:$H$4,0),""))</f>
        <v/>
      </c>
      <c r="Z489" s="21" t="str">
        <f t="shared" si="8"/>
        <v/>
      </c>
    </row>
    <row r="490" spans="1:26" ht="15.75" customHeight="1" x14ac:dyDescent="0.3">
      <c r="A490" s="16" t="str">
        <f t="shared" si="9"/>
        <v/>
      </c>
      <c r="B490" s="28"/>
      <c r="C490" s="29"/>
      <c r="D490" s="16"/>
      <c r="E490" s="16"/>
      <c r="F490" s="16"/>
      <c r="G490" s="16"/>
      <c r="H490" s="16"/>
      <c r="I490" s="31"/>
      <c r="J490" s="15"/>
      <c r="K490" s="15"/>
      <c r="L490" s="15"/>
      <c r="M490" s="16"/>
      <c r="N490" s="17"/>
      <c r="O490" s="19" t="str">
        <f t="shared" si="5"/>
        <v/>
      </c>
      <c r="P490" s="17"/>
      <c r="Q490" s="17" t="str">
        <f t="shared" ca="1" si="6"/>
        <v/>
      </c>
      <c r="R490" s="21" t="str">
        <f ca="1">IF($Q490="","",IF($Q490&lt;=Settings!$B$8,Settings!$C$8,IF($Q490&lt;=Settings!$B$9,Settings!$C$9,IF($Q490&lt;=Settings!$B$10,Settings!$C$10,IF($Q490&lt;=Settings!$B$11,Settings!$C$11,Settings!$C$12)))))</f>
        <v/>
      </c>
      <c r="S490" s="21" t="str">
        <f>IF($F490="","",IFERROR(VLOOKUP($F490,Settings!$E$8:$F$11,2,FALSE),0))</f>
        <v/>
      </c>
      <c r="T490" s="21">
        <f>IF($G490="",Settings!$B$16,1)</f>
        <v>1</v>
      </c>
      <c r="U490" s="21" t="str">
        <f t="shared" si="7"/>
        <v/>
      </c>
      <c r="V490" s="32" t="str">
        <f>IF($C490="","",IF($Q490&gt;Settings!$B$4,IF($G490="","|","")&amp;"OLD_7D","")&amp;IF($Q490&gt;Settings!$B$5,IF(OR($G490="", $Q490&gt;Settings!$B$4),"|","")&amp;"OLD_30D",""))</f>
        <v/>
      </c>
      <c r="W490" s="21" t="str">
        <f>IF(OR($C490="", $M490&lt;&gt;"APPROVED",$I490="", $U490=0),"",SUMIFS($U$3:$U$502,$H$3:$H$502,$H490,$M$3:$M$502,"APPROVED",$Q$3:$Q$502,"&lt;="&amp;Settings!$B$4,$I$3:$I$502,"&lt;="&amp;$I490))</f>
        <v/>
      </c>
      <c r="X490" s="21" t="str">
        <f>IF(OR($C490="", $M490&lt;&gt;"APPROVED",$I490="", $U490=0),"",SUMIFS($U$3:$U$502,$H$3:$H$502,$H490,$M$3:$M$502,"APPROVED",$Q$3:$Q$502,"&lt;="&amp;Settings!$B$5,$I$3:$I$502,"&lt;="&amp;$I490))</f>
        <v/>
      </c>
      <c r="Y490" s="21" t="str">
        <f>IF($P490="","",IFERROR(MATCH($P490,Lists!$H$2:$H$4,0),""))</f>
        <v/>
      </c>
      <c r="Z490" s="21" t="str">
        <f t="shared" si="8"/>
        <v/>
      </c>
    </row>
    <row r="491" spans="1:26" ht="15.75" customHeight="1" x14ac:dyDescent="0.3">
      <c r="A491" s="16" t="str">
        <f t="shared" si="9"/>
        <v/>
      </c>
      <c r="B491" s="28"/>
      <c r="C491" s="29"/>
      <c r="D491" s="16"/>
      <c r="E491" s="16"/>
      <c r="F491" s="16"/>
      <c r="G491" s="16"/>
      <c r="H491" s="16"/>
      <c r="I491" s="31"/>
      <c r="J491" s="15"/>
      <c r="K491" s="15"/>
      <c r="L491" s="15"/>
      <c r="M491" s="16"/>
      <c r="N491" s="17"/>
      <c r="O491" s="19" t="str">
        <f t="shared" si="5"/>
        <v/>
      </c>
      <c r="P491" s="17"/>
      <c r="Q491" s="17" t="str">
        <f t="shared" ca="1" si="6"/>
        <v/>
      </c>
      <c r="R491" s="21" t="str">
        <f ca="1">IF($Q491="","",IF($Q491&lt;=Settings!$B$8,Settings!$C$8,IF($Q491&lt;=Settings!$B$9,Settings!$C$9,IF($Q491&lt;=Settings!$B$10,Settings!$C$10,IF($Q491&lt;=Settings!$B$11,Settings!$C$11,Settings!$C$12)))))</f>
        <v/>
      </c>
      <c r="S491" s="21" t="str">
        <f>IF($F491="","",IFERROR(VLOOKUP($F491,Settings!$E$8:$F$11,2,FALSE),0))</f>
        <v/>
      </c>
      <c r="T491" s="21">
        <f>IF($G491="",Settings!$B$16,1)</f>
        <v>1</v>
      </c>
      <c r="U491" s="21" t="str">
        <f t="shared" si="7"/>
        <v/>
      </c>
      <c r="V491" s="32" t="str">
        <f>IF($C491="","",IF($Q491&gt;Settings!$B$4,IF($G491="","|","")&amp;"OLD_7D","")&amp;IF($Q491&gt;Settings!$B$5,IF(OR($G491="", $Q491&gt;Settings!$B$4),"|","")&amp;"OLD_30D",""))</f>
        <v/>
      </c>
      <c r="W491" s="21" t="str">
        <f>IF(OR($C491="", $M491&lt;&gt;"APPROVED",$I491="", $U491=0),"",SUMIFS($U$3:$U$502,$H$3:$H$502,$H491,$M$3:$M$502,"APPROVED",$Q$3:$Q$502,"&lt;="&amp;Settings!$B$4,$I$3:$I$502,"&lt;="&amp;$I491))</f>
        <v/>
      </c>
      <c r="X491" s="21" t="str">
        <f>IF(OR($C491="", $M491&lt;&gt;"APPROVED",$I491="", $U491=0),"",SUMIFS($U$3:$U$502,$H$3:$H$502,$H491,$M$3:$M$502,"APPROVED",$Q$3:$Q$502,"&lt;="&amp;Settings!$B$5,$I$3:$I$502,"&lt;="&amp;$I491))</f>
        <v/>
      </c>
      <c r="Y491" s="21" t="str">
        <f>IF($P491="","",IFERROR(MATCH($P491,Lists!$H$2:$H$4,0),""))</f>
        <v/>
      </c>
      <c r="Z491" s="21" t="str">
        <f t="shared" si="8"/>
        <v/>
      </c>
    </row>
    <row r="492" spans="1:26" ht="15.75" customHeight="1" x14ac:dyDescent="0.3">
      <c r="A492" s="16" t="str">
        <f t="shared" si="9"/>
        <v/>
      </c>
      <c r="B492" s="28"/>
      <c r="C492" s="29"/>
      <c r="D492" s="16"/>
      <c r="E492" s="16"/>
      <c r="F492" s="16"/>
      <c r="G492" s="16"/>
      <c r="H492" s="16"/>
      <c r="I492" s="31"/>
      <c r="J492" s="15"/>
      <c r="K492" s="15"/>
      <c r="L492" s="15"/>
      <c r="M492" s="16"/>
      <c r="N492" s="17"/>
      <c r="O492" s="19" t="str">
        <f t="shared" si="5"/>
        <v/>
      </c>
      <c r="P492" s="17"/>
      <c r="Q492" s="17" t="str">
        <f t="shared" ca="1" si="6"/>
        <v/>
      </c>
      <c r="R492" s="21" t="str">
        <f ca="1">IF($Q492="","",IF($Q492&lt;=Settings!$B$8,Settings!$C$8,IF($Q492&lt;=Settings!$B$9,Settings!$C$9,IF($Q492&lt;=Settings!$B$10,Settings!$C$10,IF($Q492&lt;=Settings!$B$11,Settings!$C$11,Settings!$C$12)))))</f>
        <v/>
      </c>
      <c r="S492" s="21" t="str">
        <f>IF($F492="","",IFERROR(VLOOKUP($F492,Settings!$E$8:$F$11,2,FALSE),0))</f>
        <v/>
      </c>
      <c r="T492" s="21">
        <f>IF($G492="",Settings!$B$16,1)</f>
        <v>1</v>
      </c>
      <c r="U492" s="21" t="str">
        <f t="shared" si="7"/>
        <v/>
      </c>
      <c r="V492" s="32" t="str">
        <f>IF($C492="","",IF($Q492&gt;Settings!$B$4,IF($G492="","|","")&amp;"OLD_7D","")&amp;IF($Q492&gt;Settings!$B$5,IF(OR($G492="", $Q492&gt;Settings!$B$4),"|","")&amp;"OLD_30D",""))</f>
        <v/>
      </c>
      <c r="W492" s="21" t="str">
        <f>IF(OR($C492="", $M492&lt;&gt;"APPROVED",$I492="", $U492=0),"",SUMIFS($U$3:$U$502,$H$3:$H$502,$H492,$M$3:$M$502,"APPROVED",$Q$3:$Q$502,"&lt;="&amp;Settings!$B$4,$I$3:$I$502,"&lt;="&amp;$I492))</f>
        <v/>
      </c>
      <c r="X492" s="21" t="str">
        <f>IF(OR($C492="", $M492&lt;&gt;"APPROVED",$I492="", $U492=0),"",SUMIFS($U$3:$U$502,$H$3:$H$502,$H492,$M$3:$M$502,"APPROVED",$Q$3:$Q$502,"&lt;="&amp;Settings!$B$5,$I$3:$I$502,"&lt;="&amp;$I492))</f>
        <v/>
      </c>
      <c r="Y492" s="21" t="str">
        <f>IF($P492="","",IFERROR(MATCH($P492,Lists!$H$2:$H$4,0),""))</f>
        <v/>
      </c>
      <c r="Z492" s="21" t="str">
        <f t="shared" si="8"/>
        <v/>
      </c>
    </row>
    <row r="493" spans="1:26" ht="15.75" customHeight="1" x14ac:dyDescent="0.3">
      <c r="A493" s="16" t="str">
        <f t="shared" si="9"/>
        <v/>
      </c>
      <c r="B493" s="28"/>
      <c r="C493" s="29"/>
      <c r="D493" s="16"/>
      <c r="E493" s="16"/>
      <c r="F493" s="16"/>
      <c r="G493" s="16"/>
      <c r="H493" s="16"/>
      <c r="I493" s="31"/>
      <c r="J493" s="15"/>
      <c r="K493" s="15"/>
      <c r="L493" s="15"/>
      <c r="M493" s="16"/>
      <c r="N493" s="17"/>
      <c r="O493" s="19" t="str">
        <f t="shared" si="5"/>
        <v/>
      </c>
      <c r="P493" s="17"/>
      <c r="Q493" s="17" t="str">
        <f t="shared" ca="1" si="6"/>
        <v/>
      </c>
      <c r="R493" s="21" t="str">
        <f ca="1">IF($Q493="","",IF($Q493&lt;=Settings!$B$8,Settings!$C$8,IF($Q493&lt;=Settings!$B$9,Settings!$C$9,IF($Q493&lt;=Settings!$B$10,Settings!$C$10,IF($Q493&lt;=Settings!$B$11,Settings!$C$11,Settings!$C$12)))))</f>
        <v/>
      </c>
      <c r="S493" s="21" t="str">
        <f>IF($F493="","",IFERROR(VLOOKUP($F493,Settings!$E$8:$F$11,2,FALSE),0))</f>
        <v/>
      </c>
      <c r="T493" s="21">
        <f>IF($G493="",Settings!$B$16,1)</f>
        <v>1</v>
      </c>
      <c r="U493" s="21" t="str">
        <f t="shared" si="7"/>
        <v/>
      </c>
      <c r="V493" s="32" t="str">
        <f>IF($C493="","",IF($Q493&gt;Settings!$B$4,IF($G493="","|","")&amp;"OLD_7D","")&amp;IF($Q493&gt;Settings!$B$5,IF(OR($G493="", $Q493&gt;Settings!$B$4),"|","")&amp;"OLD_30D",""))</f>
        <v/>
      </c>
      <c r="W493" s="21" t="str">
        <f>IF(OR($C493="", $M493&lt;&gt;"APPROVED",$I493="", $U493=0),"",SUMIFS($U$3:$U$502,$H$3:$H$502,$H493,$M$3:$M$502,"APPROVED",$Q$3:$Q$502,"&lt;="&amp;Settings!$B$4,$I$3:$I$502,"&lt;="&amp;$I493))</f>
        <v/>
      </c>
      <c r="X493" s="21" t="str">
        <f>IF(OR($C493="", $M493&lt;&gt;"APPROVED",$I493="", $U493=0),"",SUMIFS($U$3:$U$502,$H$3:$H$502,$H493,$M$3:$M$502,"APPROVED",$Q$3:$Q$502,"&lt;="&amp;Settings!$B$5,$I$3:$I$502,"&lt;="&amp;$I493))</f>
        <v/>
      </c>
      <c r="Y493" s="21" t="str">
        <f>IF($P493="","",IFERROR(MATCH($P493,Lists!$H$2:$H$4,0),""))</f>
        <v/>
      </c>
      <c r="Z493" s="21" t="str">
        <f t="shared" si="8"/>
        <v/>
      </c>
    </row>
    <row r="494" spans="1:26" ht="15.75" customHeight="1" x14ac:dyDescent="0.3">
      <c r="A494" s="16" t="str">
        <f t="shared" si="9"/>
        <v/>
      </c>
      <c r="B494" s="28"/>
      <c r="C494" s="29"/>
      <c r="D494" s="16"/>
      <c r="E494" s="16"/>
      <c r="F494" s="16"/>
      <c r="G494" s="16"/>
      <c r="H494" s="16"/>
      <c r="I494" s="31"/>
      <c r="J494" s="15"/>
      <c r="K494" s="15"/>
      <c r="L494" s="15"/>
      <c r="M494" s="16"/>
      <c r="N494" s="17"/>
      <c r="O494" s="19" t="str">
        <f t="shared" si="5"/>
        <v/>
      </c>
      <c r="P494" s="17"/>
      <c r="Q494" s="17" t="str">
        <f t="shared" ca="1" si="6"/>
        <v/>
      </c>
      <c r="R494" s="21" t="str">
        <f ca="1">IF($Q494="","",IF($Q494&lt;=Settings!$B$8,Settings!$C$8,IF($Q494&lt;=Settings!$B$9,Settings!$C$9,IF($Q494&lt;=Settings!$B$10,Settings!$C$10,IF($Q494&lt;=Settings!$B$11,Settings!$C$11,Settings!$C$12)))))</f>
        <v/>
      </c>
      <c r="S494" s="21" t="str">
        <f>IF($F494="","",IFERROR(VLOOKUP($F494,Settings!$E$8:$F$11,2,FALSE),0))</f>
        <v/>
      </c>
      <c r="T494" s="21">
        <f>IF($G494="",Settings!$B$16,1)</f>
        <v>1</v>
      </c>
      <c r="U494" s="21" t="str">
        <f t="shared" si="7"/>
        <v/>
      </c>
      <c r="V494" s="32" t="str">
        <f>IF($C494="","",IF($Q494&gt;Settings!$B$4,IF($G494="","|","")&amp;"OLD_7D","")&amp;IF($Q494&gt;Settings!$B$5,IF(OR($G494="", $Q494&gt;Settings!$B$4),"|","")&amp;"OLD_30D",""))</f>
        <v/>
      </c>
      <c r="W494" s="21" t="str">
        <f>IF(OR($C494="", $M494&lt;&gt;"APPROVED",$I494="", $U494=0),"",SUMIFS($U$3:$U$502,$H$3:$H$502,$H494,$M$3:$M$502,"APPROVED",$Q$3:$Q$502,"&lt;="&amp;Settings!$B$4,$I$3:$I$502,"&lt;="&amp;$I494))</f>
        <v/>
      </c>
      <c r="X494" s="21" t="str">
        <f>IF(OR($C494="", $M494&lt;&gt;"APPROVED",$I494="", $U494=0),"",SUMIFS($U$3:$U$502,$H$3:$H$502,$H494,$M$3:$M$502,"APPROVED",$Q$3:$Q$502,"&lt;="&amp;Settings!$B$5,$I$3:$I$502,"&lt;="&amp;$I494))</f>
        <v/>
      </c>
      <c r="Y494" s="21" t="str">
        <f>IF($P494="","",IFERROR(MATCH($P494,Lists!$H$2:$H$4,0),""))</f>
        <v/>
      </c>
      <c r="Z494" s="21" t="str">
        <f t="shared" si="8"/>
        <v/>
      </c>
    </row>
    <row r="495" spans="1:26" ht="15.75" customHeight="1" x14ac:dyDescent="0.3">
      <c r="A495" s="16" t="str">
        <f t="shared" si="9"/>
        <v/>
      </c>
      <c r="B495" s="28"/>
      <c r="C495" s="29"/>
      <c r="D495" s="16"/>
      <c r="E495" s="16"/>
      <c r="F495" s="16"/>
      <c r="G495" s="16"/>
      <c r="H495" s="16"/>
      <c r="I495" s="31"/>
      <c r="J495" s="15"/>
      <c r="K495" s="15"/>
      <c r="L495" s="15"/>
      <c r="M495" s="16"/>
      <c r="N495" s="17"/>
      <c r="O495" s="19" t="str">
        <f t="shared" si="5"/>
        <v/>
      </c>
      <c r="P495" s="17"/>
      <c r="Q495" s="17" t="str">
        <f t="shared" ca="1" si="6"/>
        <v/>
      </c>
      <c r="R495" s="21" t="str">
        <f ca="1">IF($Q495="","",IF($Q495&lt;=Settings!$B$8,Settings!$C$8,IF($Q495&lt;=Settings!$B$9,Settings!$C$9,IF($Q495&lt;=Settings!$B$10,Settings!$C$10,IF($Q495&lt;=Settings!$B$11,Settings!$C$11,Settings!$C$12)))))</f>
        <v/>
      </c>
      <c r="S495" s="21" t="str">
        <f>IF($F495="","",IFERROR(VLOOKUP($F495,Settings!$E$8:$F$11,2,FALSE),0))</f>
        <v/>
      </c>
      <c r="T495" s="21">
        <f>IF($G495="",Settings!$B$16,1)</f>
        <v>1</v>
      </c>
      <c r="U495" s="21" t="str">
        <f t="shared" si="7"/>
        <v/>
      </c>
      <c r="V495" s="32" t="str">
        <f>IF($C495="","",IF($Q495&gt;Settings!$B$4,IF($G495="","|","")&amp;"OLD_7D","")&amp;IF($Q495&gt;Settings!$B$5,IF(OR($G495="", $Q495&gt;Settings!$B$4),"|","")&amp;"OLD_30D",""))</f>
        <v/>
      </c>
      <c r="W495" s="21" t="str">
        <f>IF(OR($C495="", $M495&lt;&gt;"APPROVED",$I495="", $U495=0),"",SUMIFS($U$3:$U$502,$H$3:$H$502,$H495,$M$3:$M$502,"APPROVED",$Q$3:$Q$502,"&lt;="&amp;Settings!$B$4,$I$3:$I$502,"&lt;="&amp;$I495))</f>
        <v/>
      </c>
      <c r="X495" s="21" t="str">
        <f>IF(OR($C495="", $M495&lt;&gt;"APPROVED",$I495="", $U495=0),"",SUMIFS($U$3:$U$502,$H$3:$H$502,$H495,$M$3:$M$502,"APPROVED",$Q$3:$Q$502,"&lt;="&amp;Settings!$B$5,$I$3:$I$502,"&lt;="&amp;$I495))</f>
        <v/>
      </c>
      <c r="Y495" s="21" t="str">
        <f>IF($P495="","",IFERROR(MATCH($P495,Lists!$H$2:$H$4,0),""))</f>
        <v/>
      </c>
      <c r="Z495" s="21" t="str">
        <f t="shared" si="8"/>
        <v/>
      </c>
    </row>
    <row r="496" spans="1:26" ht="15.75" customHeight="1" x14ac:dyDescent="0.3">
      <c r="A496" s="16" t="str">
        <f t="shared" si="9"/>
        <v/>
      </c>
      <c r="B496" s="28"/>
      <c r="C496" s="29"/>
      <c r="D496" s="16"/>
      <c r="E496" s="16"/>
      <c r="F496" s="16"/>
      <c r="G496" s="16"/>
      <c r="H496" s="16"/>
      <c r="I496" s="31"/>
      <c r="J496" s="15"/>
      <c r="K496" s="15"/>
      <c r="L496" s="15"/>
      <c r="M496" s="16"/>
      <c r="N496" s="17"/>
      <c r="O496" s="19" t="str">
        <f t="shared" si="5"/>
        <v/>
      </c>
      <c r="P496" s="17"/>
      <c r="Q496" s="17" t="str">
        <f t="shared" ca="1" si="6"/>
        <v/>
      </c>
      <c r="R496" s="21" t="str">
        <f ca="1">IF($Q496="","",IF($Q496&lt;=Settings!$B$8,Settings!$C$8,IF($Q496&lt;=Settings!$B$9,Settings!$C$9,IF($Q496&lt;=Settings!$B$10,Settings!$C$10,IF($Q496&lt;=Settings!$B$11,Settings!$C$11,Settings!$C$12)))))</f>
        <v/>
      </c>
      <c r="S496" s="21" t="str">
        <f>IF($F496="","",IFERROR(VLOOKUP($F496,Settings!$E$8:$F$11,2,FALSE),0))</f>
        <v/>
      </c>
      <c r="T496" s="21">
        <f>IF($G496="",Settings!$B$16,1)</f>
        <v>1</v>
      </c>
      <c r="U496" s="21" t="str">
        <f t="shared" si="7"/>
        <v/>
      </c>
      <c r="V496" s="32" t="str">
        <f>IF($C496="","",IF($Q496&gt;Settings!$B$4,IF($G496="","|","")&amp;"OLD_7D","")&amp;IF($Q496&gt;Settings!$B$5,IF(OR($G496="", $Q496&gt;Settings!$B$4),"|","")&amp;"OLD_30D",""))</f>
        <v/>
      </c>
      <c r="W496" s="21" t="str">
        <f>IF(OR($C496="", $M496&lt;&gt;"APPROVED",$I496="", $U496=0),"",SUMIFS($U$3:$U$502,$H$3:$H$502,$H496,$M$3:$M$502,"APPROVED",$Q$3:$Q$502,"&lt;="&amp;Settings!$B$4,$I$3:$I$502,"&lt;="&amp;$I496))</f>
        <v/>
      </c>
      <c r="X496" s="21" t="str">
        <f>IF(OR($C496="", $M496&lt;&gt;"APPROVED",$I496="", $U496=0),"",SUMIFS($U$3:$U$502,$H$3:$H$502,$H496,$M$3:$M$502,"APPROVED",$Q$3:$Q$502,"&lt;="&amp;Settings!$B$5,$I$3:$I$502,"&lt;="&amp;$I496))</f>
        <v/>
      </c>
      <c r="Y496" s="21" t="str">
        <f>IF($P496="","",IFERROR(MATCH($P496,Lists!$H$2:$H$4,0),""))</f>
        <v/>
      </c>
      <c r="Z496" s="21" t="str">
        <f t="shared" si="8"/>
        <v/>
      </c>
    </row>
    <row r="497" spans="1:26" ht="15.75" customHeight="1" x14ac:dyDescent="0.3">
      <c r="A497" s="16" t="str">
        <f t="shared" si="9"/>
        <v/>
      </c>
      <c r="B497" s="28"/>
      <c r="C497" s="29"/>
      <c r="D497" s="16"/>
      <c r="E497" s="16"/>
      <c r="F497" s="16"/>
      <c r="G497" s="16"/>
      <c r="H497" s="16"/>
      <c r="I497" s="31"/>
      <c r="J497" s="15"/>
      <c r="K497" s="15"/>
      <c r="L497" s="15"/>
      <c r="M497" s="16"/>
      <c r="N497" s="17"/>
      <c r="O497" s="19" t="str">
        <f t="shared" si="5"/>
        <v/>
      </c>
      <c r="P497" s="17"/>
      <c r="Q497" s="17" t="str">
        <f t="shared" ca="1" si="6"/>
        <v/>
      </c>
      <c r="R497" s="21" t="str">
        <f ca="1">IF($Q497="","",IF($Q497&lt;=Settings!$B$8,Settings!$C$8,IF($Q497&lt;=Settings!$B$9,Settings!$C$9,IF($Q497&lt;=Settings!$B$10,Settings!$C$10,IF($Q497&lt;=Settings!$B$11,Settings!$C$11,Settings!$C$12)))))</f>
        <v/>
      </c>
      <c r="S497" s="21" t="str">
        <f>IF($F497="","",IFERROR(VLOOKUP($F497,Settings!$E$8:$F$11,2,FALSE),0))</f>
        <v/>
      </c>
      <c r="T497" s="21">
        <f>IF($G497="",Settings!$B$16,1)</f>
        <v>1</v>
      </c>
      <c r="U497" s="21" t="str">
        <f t="shared" si="7"/>
        <v/>
      </c>
      <c r="V497" s="32" t="str">
        <f>IF($C497="","",IF($Q497&gt;Settings!$B$4,IF($G497="","|","")&amp;"OLD_7D","")&amp;IF($Q497&gt;Settings!$B$5,IF(OR($G497="", $Q497&gt;Settings!$B$4),"|","")&amp;"OLD_30D",""))</f>
        <v/>
      </c>
      <c r="W497" s="21" t="str">
        <f>IF(OR($C497="", $M497&lt;&gt;"APPROVED",$I497="", $U497=0),"",SUMIFS($U$3:$U$502,$H$3:$H$502,$H497,$M$3:$M$502,"APPROVED",$Q$3:$Q$502,"&lt;="&amp;Settings!$B$4,$I$3:$I$502,"&lt;="&amp;$I497))</f>
        <v/>
      </c>
      <c r="X497" s="21" t="str">
        <f>IF(OR($C497="", $M497&lt;&gt;"APPROVED",$I497="", $U497=0),"",SUMIFS($U$3:$U$502,$H$3:$H$502,$H497,$M$3:$M$502,"APPROVED",$Q$3:$Q$502,"&lt;="&amp;Settings!$B$5,$I$3:$I$502,"&lt;="&amp;$I497))</f>
        <v/>
      </c>
      <c r="Y497" s="21" t="str">
        <f>IF($P497="","",IFERROR(MATCH($P497,Lists!$H$2:$H$4,0),""))</f>
        <v/>
      </c>
      <c r="Z497" s="21" t="str">
        <f t="shared" si="8"/>
        <v/>
      </c>
    </row>
    <row r="498" spans="1:26" ht="15.75" customHeight="1" x14ac:dyDescent="0.3">
      <c r="A498" s="16" t="str">
        <f t="shared" si="9"/>
        <v/>
      </c>
      <c r="B498" s="28"/>
      <c r="C498" s="29"/>
      <c r="D498" s="16"/>
      <c r="E498" s="16"/>
      <c r="F498" s="16"/>
      <c r="G498" s="16"/>
      <c r="H498" s="16"/>
      <c r="I498" s="31"/>
      <c r="J498" s="15"/>
      <c r="K498" s="15"/>
      <c r="L498" s="15"/>
      <c r="M498" s="16"/>
      <c r="N498" s="17"/>
      <c r="O498" s="19" t="str">
        <f t="shared" si="5"/>
        <v/>
      </c>
      <c r="P498" s="17"/>
      <c r="Q498" s="17" t="str">
        <f t="shared" ca="1" si="6"/>
        <v/>
      </c>
      <c r="R498" s="21" t="str">
        <f ca="1">IF($Q498="","",IF($Q498&lt;=Settings!$B$8,Settings!$C$8,IF($Q498&lt;=Settings!$B$9,Settings!$C$9,IF($Q498&lt;=Settings!$B$10,Settings!$C$10,IF($Q498&lt;=Settings!$B$11,Settings!$C$11,Settings!$C$12)))))</f>
        <v/>
      </c>
      <c r="S498" s="21" t="str">
        <f>IF($F498="","",IFERROR(VLOOKUP($F498,Settings!$E$8:$F$11,2,FALSE),0))</f>
        <v/>
      </c>
      <c r="T498" s="21">
        <f>IF($G498="",Settings!$B$16,1)</f>
        <v>1</v>
      </c>
      <c r="U498" s="21" t="str">
        <f t="shared" si="7"/>
        <v/>
      </c>
      <c r="V498" s="32" t="str">
        <f>IF($C498="","",IF($Q498&gt;Settings!$B$4,IF($G498="","|","")&amp;"OLD_7D","")&amp;IF($Q498&gt;Settings!$B$5,IF(OR($G498="", $Q498&gt;Settings!$B$4),"|","")&amp;"OLD_30D",""))</f>
        <v/>
      </c>
      <c r="W498" s="21" t="str">
        <f>IF(OR($C498="", $M498&lt;&gt;"APPROVED",$I498="", $U498=0),"",SUMIFS($U$3:$U$502,$H$3:$H$502,$H498,$M$3:$M$502,"APPROVED",$Q$3:$Q$502,"&lt;="&amp;Settings!$B$4,$I$3:$I$502,"&lt;="&amp;$I498))</f>
        <v/>
      </c>
      <c r="X498" s="21" t="str">
        <f>IF(OR($C498="", $M498&lt;&gt;"APPROVED",$I498="", $U498=0),"",SUMIFS($U$3:$U$502,$H$3:$H$502,$H498,$M$3:$M$502,"APPROVED",$Q$3:$Q$502,"&lt;="&amp;Settings!$B$5,$I$3:$I$502,"&lt;="&amp;$I498))</f>
        <v/>
      </c>
      <c r="Y498" s="21" t="str">
        <f>IF($P498="","",IFERROR(MATCH($P498,Lists!$H$2:$H$4,0),""))</f>
        <v/>
      </c>
      <c r="Z498" s="21" t="str">
        <f t="shared" si="8"/>
        <v/>
      </c>
    </row>
    <row r="499" spans="1:26" ht="15.75" customHeight="1" x14ac:dyDescent="0.3">
      <c r="A499" s="16" t="str">
        <f t="shared" si="9"/>
        <v/>
      </c>
      <c r="B499" s="28"/>
      <c r="C499" s="29"/>
      <c r="D499" s="16"/>
      <c r="E499" s="16"/>
      <c r="F499" s="16"/>
      <c r="G499" s="16"/>
      <c r="H499" s="16"/>
      <c r="I499" s="31"/>
      <c r="J499" s="15"/>
      <c r="K499" s="15"/>
      <c r="L499" s="15"/>
      <c r="M499" s="16"/>
      <c r="N499" s="17"/>
      <c r="O499" s="19" t="str">
        <f t="shared" si="5"/>
        <v/>
      </c>
      <c r="P499" s="17"/>
      <c r="Q499" s="17" t="str">
        <f t="shared" ca="1" si="6"/>
        <v/>
      </c>
      <c r="R499" s="21" t="str">
        <f ca="1">IF($Q499="","",IF($Q499&lt;=Settings!$B$8,Settings!$C$8,IF($Q499&lt;=Settings!$B$9,Settings!$C$9,IF($Q499&lt;=Settings!$B$10,Settings!$C$10,IF($Q499&lt;=Settings!$B$11,Settings!$C$11,Settings!$C$12)))))</f>
        <v/>
      </c>
      <c r="S499" s="21" t="str">
        <f>IF($F499="","",IFERROR(VLOOKUP($F499,Settings!$E$8:$F$11,2,FALSE),0))</f>
        <v/>
      </c>
      <c r="T499" s="21">
        <f>IF($G499="",Settings!$B$16,1)</f>
        <v>1</v>
      </c>
      <c r="U499" s="21" t="str">
        <f t="shared" si="7"/>
        <v/>
      </c>
      <c r="V499" s="32" t="str">
        <f>IF($C499="","",IF($Q499&gt;Settings!$B$4,IF($G499="","|","")&amp;"OLD_7D","")&amp;IF($Q499&gt;Settings!$B$5,IF(OR($G499="", $Q499&gt;Settings!$B$4),"|","")&amp;"OLD_30D",""))</f>
        <v/>
      </c>
      <c r="W499" s="21" t="str">
        <f>IF(OR($C499="", $M499&lt;&gt;"APPROVED",$I499="", $U499=0),"",SUMIFS($U$3:$U$502,$H$3:$H$502,$H499,$M$3:$M$502,"APPROVED",$Q$3:$Q$502,"&lt;="&amp;Settings!$B$4,$I$3:$I$502,"&lt;="&amp;$I499))</f>
        <v/>
      </c>
      <c r="X499" s="21" t="str">
        <f>IF(OR($C499="", $M499&lt;&gt;"APPROVED",$I499="", $U499=0),"",SUMIFS($U$3:$U$502,$H$3:$H$502,$H499,$M$3:$M$502,"APPROVED",$Q$3:$Q$502,"&lt;="&amp;Settings!$B$5,$I$3:$I$502,"&lt;="&amp;$I499))</f>
        <v/>
      </c>
      <c r="Y499" s="21" t="str">
        <f>IF($P499="","",IFERROR(MATCH($P499,Lists!$H$2:$H$4,0),""))</f>
        <v/>
      </c>
      <c r="Z499" s="21" t="str">
        <f t="shared" si="8"/>
        <v/>
      </c>
    </row>
    <row r="500" spans="1:26" ht="15.75" customHeight="1" x14ac:dyDescent="0.3">
      <c r="A500" s="16" t="str">
        <f t="shared" si="9"/>
        <v/>
      </c>
      <c r="B500" s="28"/>
      <c r="C500" s="29"/>
      <c r="D500" s="16"/>
      <c r="E500" s="16"/>
      <c r="F500" s="16"/>
      <c r="G500" s="16"/>
      <c r="H500" s="16"/>
      <c r="I500" s="31"/>
      <c r="J500" s="15"/>
      <c r="K500" s="15"/>
      <c r="L500" s="15"/>
      <c r="M500" s="16"/>
      <c r="N500" s="17"/>
      <c r="O500" s="19" t="str">
        <f t="shared" si="5"/>
        <v/>
      </c>
      <c r="P500" s="17"/>
      <c r="Q500" s="17" t="str">
        <f t="shared" ca="1" si="6"/>
        <v/>
      </c>
      <c r="R500" s="21" t="str">
        <f ca="1">IF($Q500="","",IF($Q500&lt;=Settings!$B$8,Settings!$C$8,IF($Q500&lt;=Settings!$B$9,Settings!$C$9,IF($Q500&lt;=Settings!$B$10,Settings!$C$10,IF($Q500&lt;=Settings!$B$11,Settings!$C$11,Settings!$C$12)))))</f>
        <v/>
      </c>
      <c r="S500" s="21" t="str">
        <f>IF($F500="","",IFERROR(VLOOKUP($F500,Settings!$E$8:$F$11,2,FALSE),0))</f>
        <v/>
      </c>
      <c r="T500" s="21">
        <f>IF($G500="",Settings!$B$16,1)</f>
        <v>1</v>
      </c>
      <c r="U500" s="21" t="str">
        <f t="shared" si="7"/>
        <v/>
      </c>
      <c r="V500" s="32" t="str">
        <f>IF($C500="","",IF($Q500&gt;Settings!$B$4,IF($G500="","|","")&amp;"OLD_7D","")&amp;IF($Q500&gt;Settings!$B$5,IF(OR($G500="", $Q500&gt;Settings!$B$4),"|","")&amp;"OLD_30D",""))</f>
        <v/>
      </c>
      <c r="W500" s="21" t="str">
        <f>IF(OR($C500="", $M500&lt;&gt;"APPROVED",$I500="", $U500=0),"",SUMIFS($U$3:$U$502,$H$3:$H$502,$H500,$M$3:$M$502,"APPROVED",$Q$3:$Q$502,"&lt;="&amp;Settings!$B$4,$I$3:$I$502,"&lt;="&amp;$I500))</f>
        <v/>
      </c>
      <c r="X500" s="21" t="str">
        <f>IF(OR($C500="", $M500&lt;&gt;"APPROVED",$I500="", $U500=0),"",SUMIFS($U$3:$U$502,$H$3:$H$502,$H500,$M$3:$M$502,"APPROVED",$Q$3:$Q$502,"&lt;="&amp;Settings!$B$5,$I$3:$I$502,"&lt;="&amp;$I500))</f>
        <v/>
      </c>
      <c r="Y500" s="21" t="str">
        <f>IF($P500="","",IFERROR(MATCH($P500,Lists!$H$2:$H$4,0),""))</f>
        <v/>
      </c>
      <c r="Z500" s="21" t="str">
        <f t="shared" si="8"/>
        <v/>
      </c>
    </row>
    <row r="501" spans="1:26" ht="15.75" customHeight="1" x14ac:dyDescent="0.3">
      <c r="A501" s="16" t="str">
        <f t="shared" si="9"/>
        <v/>
      </c>
      <c r="B501" s="28"/>
      <c r="C501" s="29"/>
      <c r="D501" s="16"/>
      <c r="E501" s="16"/>
      <c r="F501" s="16"/>
      <c r="G501" s="16"/>
      <c r="H501" s="16"/>
      <c r="I501" s="31"/>
      <c r="J501" s="15"/>
      <c r="K501" s="15"/>
      <c r="L501" s="15"/>
      <c r="M501" s="16"/>
      <c r="N501" s="17"/>
      <c r="O501" s="19" t="str">
        <f t="shared" si="5"/>
        <v/>
      </c>
      <c r="P501" s="17"/>
      <c r="Q501" s="17" t="str">
        <f t="shared" ca="1" si="6"/>
        <v/>
      </c>
      <c r="R501" s="21" t="str">
        <f ca="1">IF($Q501="","",IF($Q501&lt;=Settings!$B$8,Settings!$C$8,IF($Q501&lt;=Settings!$B$9,Settings!$C$9,IF($Q501&lt;=Settings!$B$10,Settings!$C$10,IF($Q501&lt;=Settings!$B$11,Settings!$C$11,Settings!$C$12)))))</f>
        <v/>
      </c>
      <c r="S501" s="21" t="str">
        <f>IF($F501="","",IFERROR(VLOOKUP($F501,Settings!$E$8:$F$11,2,FALSE),0))</f>
        <v/>
      </c>
      <c r="T501" s="21">
        <f>IF($G501="",Settings!$B$16,1)</f>
        <v>1</v>
      </c>
      <c r="U501" s="21" t="str">
        <f t="shared" si="7"/>
        <v/>
      </c>
      <c r="V501" s="32" t="str">
        <f>IF($C501="","",IF($Q501&gt;Settings!$B$4,IF($G501="","|","")&amp;"OLD_7D","")&amp;IF($Q501&gt;Settings!$B$5,IF(OR($G501="", $Q501&gt;Settings!$B$4),"|","")&amp;"OLD_30D",""))</f>
        <v/>
      </c>
      <c r="W501" s="21" t="str">
        <f>IF(OR($C501="", $M501&lt;&gt;"APPROVED",$I501="", $U501=0),"",SUMIFS($U$3:$U$502,$H$3:$H$502,$H501,$M$3:$M$502,"APPROVED",$Q$3:$Q$502,"&lt;="&amp;Settings!$B$4,$I$3:$I$502,"&lt;="&amp;$I501))</f>
        <v/>
      </c>
      <c r="X501" s="21" t="str">
        <f>IF(OR($C501="", $M501&lt;&gt;"APPROVED",$I501="", $U501=0),"",SUMIFS($U$3:$U$502,$H$3:$H$502,$H501,$M$3:$M$502,"APPROVED",$Q$3:$Q$502,"&lt;="&amp;Settings!$B$5,$I$3:$I$502,"&lt;="&amp;$I501))</f>
        <v/>
      </c>
      <c r="Y501" s="21" t="str">
        <f>IF($P501="","",IFERROR(MATCH($P501,Lists!$H$2:$H$4,0),""))</f>
        <v/>
      </c>
      <c r="Z501" s="21" t="str">
        <f t="shared" si="8"/>
        <v/>
      </c>
    </row>
    <row r="502" spans="1:26" ht="15.75" customHeight="1" x14ac:dyDescent="0.3">
      <c r="A502" s="16" t="str">
        <f t="shared" si="9"/>
        <v/>
      </c>
      <c r="B502" s="28"/>
      <c r="C502" s="29"/>
      <c r="D502" s="16"/>
      <c r="E502" s="16"/>
      <c r="F502" s="16"/>
      <c r="G502" s="16"/>
      <c r="H502" s="16"/>
      <c r="I502" s="31"/>
      <c r="J502" s="15"/>
      <c r="K502" s="15"/>
      <c r="L502" s="15"/>
      <c r="M502" s="16"/>
      <c r="N502" s="17"/>
      <c r="O502" s="19" t="str">
        <f t="shared" si="5"/>
        <v/>
      </c>
      <c r="P502" s="17"/>
      <c r="Q502" s="17" t="str">
        <f t="shared" ca="1" si="6"/>
        <v/>
      </c>
      <c r="R502" s="21" t="str">
        <f ca="1">IF($Q502="","",IF($Q502&lt;=Settings!$B$8,Settings!$C$8,IF($Q502&lt;=Settings!$B$9,Settings!$C$9,IF($Q502&lt;=Settings!$B$10,Settings!$C$10,IF($Q502&lt;=Settings!$B$11,Settings!$C$11,Settings!$C$12)))))</f>
        <v/>
      </c>
      <c r="S502" s="21" t="str">
        <f>IF($F502="","",IFERROR(VLOOKUP($F502,Settings!$E$8:$F$11,2,FALSE),0))</f>
        <v/>
      </c>
      <c r="T502" s="21">
        <f>IF($G502="",Settings!$B$16,1)</f>
        <v>1</v>
      </c>
      <c r="U502" s="21" t="str">
        <f t="shared" si="7"/>
        <v/>
      </c>
      <c r="V502" s="32" t="str">
        <f>IF($C502="","",IF($Q502&gt;Settings!$B$4,IF($G502="","|","")&amp;"OLD_7D","")&amp;IF($Q502&gt;Settings!$B$5,IF(OR($G502="", $Q502&gt;Settings!$B$4),"|","")&amp;"OLD_30D",""))</f>
        <v/>
      </c>
      <c r="W502" s="21" t="str">
        <f>IF(OR($C502="", $M502&lt;&gt;"APPROVED",$I502="", $U502=0),"",SUMIFS($U$3:$U$502,$H$3:$H$502,$H502,$M$3:$M$502,"APPROVED",$Q$3:$Q$502,"&lt;="&amp;Settings!$B$4,$I$3:$I$502,"&lt;="&amp;$I502))</f>
        <v/>
      </c>
      <c r="X502" s="21" t="str">
        <f>IF(OR($C502="", $M502&lt;&gt;"APPROVED",$I502="", $U502=0),"",SUMIFS($U$3:$U$502,$H$3:$H$502,$H502,$M$3:$M$502,"APPROVED",$Q$3:$Q$502,"&lt;="&amp;Settings!$B$5,$I$3:$I$502,"&lt;="&amp;$I502))</f>
        <v/>
      </c>
      <c r="Y502" s="21" t="str">
        <f>IF($P502="","",IFERROR(MATCH($P502,Lists!$H$2:$H$4,0),""))</f>
        <v/>
      </c>
      <c r="Z502" s="21" t="str">
        <f t="shared" si="8"/>
        <v/>
      </c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X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Test for bot</vt:lpstr>
      <vt:lpstr>Settings</vt:lpstr>
      <vt:lpstr>Lists</vt:lpstr>
      <vt:lpstr>Items</vt:lpstr>
      <vt:lpstr>Trade_Reports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jiang</cp:lastModifiedBy>
  <dcterms:modified xsi:type="dcterms:W3CDTF">2026-02-02T14:18:49Z</dcterms:modified>
</cp:coreProperties>
</file>